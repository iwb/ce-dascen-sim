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roeren-my.sharepoint.com/personal/patrick_jordan_roeren_eu/Documents/01_Internes/99_files/2026-05_simu/Daten_Validierung/"/>
    </mc:Choice>
  </mc:AlternateContent>
  <xr:revisionPtr revIDLastSave="45" documentId="11_1889BE608CC5737FF9571F7E2A023C05E6618139" xr6:coauthVersionLast="47" xr6:coauthVersionMax="47" xr10:uidLastSave="{BBFEF1DF-291D-4FBD-BC03-E04FFB09649A}"/>
  <bookViews>
    <workbookView xWindow="28680" yWindow="-120" windowWidth="51840" windowHeight="21120" tabRatio="500" firstSheet="6" activeTab="15" xr2:uid="{00000000-000D-0000-FFFF-FFFF00000000}"/>
  </bookViews>
  <sheets>
    <sheet name="Summary" sheetId="2" r:id="rId1"/>
    <sheet name="Final_Values" sheetId="3" r:id="rId2"/>
    <sheet name="Runs" sheetId="5" r:id="rId3"/>
    <sheet name="Scenarios" sheetId="6" r:id="rId4"/>
    <sheet name="raw_outputtable" sheetId="7" r:id="rId5"/>
    <sheet name="raw_casetable" sheetId="8" r:id="rId6"/>
    <sheet name="raw_comp_PTA" sheetId="9" r:id="rId7"/>
    <sheet name="raw_comp_PTA_stations" sheetId="10" r:id="rId8"/>
    <sheet name="raw_station_stats_absolute" sheetId="11" r:id="rId9"/>
    <sheet name="raw_eventlog_created_objects" sheetId="12" r:id="rId10"/>
    <sheet name="Factory_PO" sheetId="13" r:id="rId11"/>
    <sheet name="Factory_Stations" sheetId="14" r:id="rId12"/>
    <sheet name="Factory_Components" sheetId="15" r:id="rId13"/>
    <sheet name="Calc_LeadTime" sheetId="16" r:id="rId14"/>
    <sheet name="Calc_Stations" sheetId="17" r:id="rId15"/>
    <sheet name="Calc_Components" sheetId="18" r:id="rId16"/>
  </sheets>
  <definedNames>
    <definedName name="_xlnm._FilterDatabase" localSheetId="13" hidden="1">Calc_LeadTime!$A$1:$R$81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8" i="17" l="1"/>
  <c r="D37" i="17"/>
  <c r="J36" i="17"/>
  <c r="D36" i="17"/>
  <c r="D35" i="17"/>
  <c r="D34" i="17"/>
  <c r="D33" i="17"/>
  <c r="D32" i="17"/>
  <c r="J31" i="17"/>
  <c r="D31" i="17"/>
  <c r="D30" i="17"/>
  <c r="D29" i="17"/>
  <c r="D28" i="17"/>
  <c r="D27" i="17"/>
  <c r="D26" i="17"/>
  <c r="D25" i="17"/>
  <c r="D24" i="17"/>
  <c r="D23" i="17"/>
  <c r="D22" i="17"/>
  <c r="D21" i="17"/>
  <c r="D20" i="17"/>
  <c r="D19" i="17"/>
  <c r="D18" i="17"/>
  <c r="D17" i="17"/>
  <c r="J16" i="17"/>
  <c r="D16" i="17"/>
  <c r="D15" i="17"/>
  <c r="D14" i="17"/>
  <c r="D13" i="17"/>
  <c r="D12" i="17"/>
  <c r="J11" i="17"/>
  <c r="D11" i="17"/>
  <c r="D10" i="17"/>
  <c r="D9" i="17"/>
  <c r="D8" i="17"/>
  <c r="D7" i="17"/>
  <c r="D6" i="17"/>
  <c r="D5" i="17"/>
  <c r="D4" i="17"/>
  <c r="D3" i="17"/>
  <c r="D2" i="17"/>
  <c r="P81" i="16"/>
  <c r="L81" i="16"/>
  <c r="D81" i="16"/>
  <c r="P80" i="16"/>
  <c r="L80" i="16"/>
  <c r="D80" i="16"/>
  <c r="P79" i="16"/>
  <c r="L79" i="16"/>
  <c r="D79" i="16"/>
  <c r="P78" i="16"/>
  <c r="L78" i="16"/>
  <c r="D78" i="16"/>
  <c r="P77" i="16"/>
  <c r="L77" i="16"/>
  <c r="D77" i="16"/>
  <c r="P76" i="16"/>
  <c r="L76" i="16"/>
  <c r="D76" i="16"/>
  <c r="P75" i="16"/>
  <c r="L75" i="16"/>
  <c r="D75" i="16"/>
  <c r="P74" i="16"/>
  <c r="L74" i="16"/>
  <c r="D74" i="16"/>
  <c r="P73" i="16"/>
  <c r="L73" i="16"/>
  <c r="D73" i="16"/>
  <c r="P72" i="16"/>
  <c r="L72" i="16"/>
  <c r="D72" i="16"/>
  <c r="P71" i="16"/>
  <c r="L71" i="16"/>
  <c r="D71" i="16"/>
  <c r="P70" i="16"/>
  <c r="L70" i="16"/>
  <c r="D70" i="16"/>
  <c r="P69" i="16"/>
  <c r="L69" i="16"/>
  <c r="D69" i="16"/>
  <c r="P68" i="16"/>
  <c r="L68" i="16"/>
  <c r="D68" i="16"/>
  <c r="P67" i="16"/>
  <c r="L67" i="16"/>
  <c r="D67" i="16"/>
  <c r="P66" i="16"/>
  <c r="L66" i="16"/>
  <c r="D66" i="16"/>
  <c r="P65" i="16"/>
  <c r="L65" i="16"/>
  <c r="D65" i="16"/>
  <c r="P64" i="16"/>
  <c r="L64" i="16"/>
  <c r="D64" i="16"/>
  <c r="P63" i="16"/>
  <c r="L63" i="16"/>
  <c r="D63" i="16"/>
  <c r="P62" i="16"/>
  <c r="L62" i="16"/>
  <c r="D62" i="16"/>
  <c r="P61" i="16"/>
  <c r="L61" i="16"/>
  <c r="D61" i="16"/>
  <c r="P60" i="16"/>
  <c r="L60" i="16"/>
  <c r="D60" i="16"/>
  <c r="P59" i="16"/>
  <c r="L59" i="16"/>
  <c r="D59" i="16"/>
  <c r="P58" i="16"/>
  <c r="L58" i="16"/>
  <c r="D58" i="16"/>
  <c r="P57" i="16"/>
  <c r="L57" i="16"/>
  <c r="D57" i="16"/>
  <c r="P56" i="16"/>
  <c r="L56" i="16"/>
  <c r="D56" i="16"/>
  <c r="P55" i="16"/>
  <c r="L55" i="16"/>
  <c r="D55" i="16"/>
  <c r="P54" i="16"/>
  <c r="L54" i="16"/>
  <c r="D54" i="16"/>
  <c r="P53" i="16"/>
  <c r="L53" i="16"/>
  <c r="D53" i="16"/>
  <c r="P52" i="16"/>
  <c r="L52" i="16"/>
  <c r="D52" i="16"/>
  <c r="P51" i="16"/>
  <c r="L51" i="16"/>
  <c r="D51" i="16"/>
  <c r="P50" i="16"/>
  <c r="L50" i="16"/>
  <c r="D50" i="16"/>
  <c r="P49" i="16"/>
  <c r="L49" i="16"/>
  <c r="D49" i="16"/>
  <c r="P48" i="16"/>
  <c r="L48" i="16"/>
  <c r="D48" i="16"/>
  <c r="P47" i="16"/>
  <c r="L47" i="16"/>
  <c r="D47" i="16"/>
  <c r="P46" i="16"/>
  <c r="L46" i="16"/>
  <c r="D46" i="16"/>
  <c r="P45" i="16"/>
  <c r="L45" i="16"/>
  <c r="D45" i="16"/>
  <c r="P44" i="16"/>
  <c r="L44" i="16"/>
  <c r="D44" i="16"/>
  <c r="P43" i="16"/>
  <c r="L43" i="16"/>
  <c r="D43" i="16"/>
  <c r="P42" i="16"/>
  <c r="L42" i="16"/>
  <c r="D42" i="16"/>
  <c r="P41" i="16"/>
  <c r="L41" i="16"/>
  <c r="D41" i="16"/>
  <c r="P40" i="16"/>
  <c r="L40" i="16"/>
  <c r="D40" i="16"/>
  <c r="P39" i="16"/>
  <c r="L39" i="16"/>
  <c r="D39" i="16"/>
  <c r="P38" i="16"/>
  <c r="L38" i="16"/>
  <c r="D38" i="16"/>
  <c r="P37" i="16"/>
  <c r="L37" i="16"/>
  <c r="D37" i="16"/>
  <c r="P36" i="16"/>
  <c r="L36" i="16"/>
  <c r="D36" i="16"/>
  <c r="P35" i="16"/>
  <c r="L35" i="16"/>
  <c r="D35" i="16"/>
  <c r="P34" i="16"/>
  <c r="L34" i="16"/>
  <c r="D34" i="16"/>
  <c r="P33" i="16"/>
  <c r="L33" i="16"/>
  <c r="D33" i="16"/>
  <c r="P32" i="16"/>
  <c r="L32" i="16"/>
  <c r="D32" i="16"/>
  <c r="P31" i="16"/>
  <c r="L31" i="16"/>
  <c r="D31" i="16"/>
  <c r="P30" i="16"/>
  <c r="L30" i="16"/>
  <c r="D30" i="16"/>
  <c r="P29" i="16"/>
  <c r="L29" i="16"/>
  <c r="D29" i="16"/>
  <c r="P28" i="16"/>
  <c r="L28" i="16"/>
  <c r="D28" i="16"/>
  <c r="P27" i="16"/>
  <c r="L27" i="16"/>
  <c r="D27" i="16"/>
  <c r="P26" i="16"/>
  <c r="L26" i="16"/>
  <c r="D26" i="16"/>
  <c r="P25" i="16"/>
  <c r="L25" i="16"/>
  <c r="D25" i="16"/>
  <c r="P24" i="16"/>
  <c r="L24" i="16"/>
  <c r="D24" i="16"/>
  <c r="P23" i="16"/>
  <c r="L23" i="16"/>
  <c r="D23" i="16"/>
  <c r="P22" i="16"/>
  <c r="L22" i="16"/>
  <c r="D22" i="16"/>
  <c r="P21" i="16"/>
  <c r="L21" i="16"/>
  <c r="D21" i="16"/>
  <c r="P20" i="16"/>
  <c r="L20" i="16"/>
  <c r="D20" i="16"/>
  <c r="P19" i="16"/>
  <c r="L19" i="16"/>
  <c r="D19" i="16"/>
  <c r="P18" i="16"/>
  <c r="L18" i="16"/>
  <c r="D18" i="16"/>
  <c r="P17" i="16"/>
  <c r="L17" i="16"/>
  <c r="D17" i="16"/>
  <c r="P16" i="16"/>
  <c r="L16" i="16"/>
  <c r="D16" i="16"/>
  <c r="P15" i="16"/>
  <c r="L15" i="16"/>
  <c r="D15" i="16"/>
  <c r="P14" i="16"/>
  <c r="L14" i="16"/>
  <c r="D14" i="16"/>
  <c r="P13" i="16"/>
  <c r="L13" i="16"/>
  <c r="D13" i="16"/>
  <c r="P12" i="16"/>
  <c r="L12" i="16"/>
  <c r="D12" i="16"/>
  <c r="P11" i="16"/>
  <c r="L11" i="16"/>
  <c r="D11" i="16"/>
  <c r="P10" i="16"/>
  <c r="L10" i="16"/>
  <c r="D10" i="16"/>
  <c r="P9" i="16"/>
  <c r="L9" i="16"/>
  <c r="D9" i="16"/>
  <c r="P8" i="16"/>
  <c r="L8" i="16"/>
  <c r="D8" i="16"/>
  <c r="P7" i="16"/>
  <c r="L7" i="16"/>
  <c r="D7" i="16"/>
  <c r="P6" i="16"/>
  <c r="L6" i="16"/>
  <c r="D6" i="16"/>
  <c r="P5" i="16"/>
  <c r="L5" i="16"/>
  <c r="D5" i="16"/>
  <c r="P4" i="16"/>
  <c r="L4" i="16"/>
  <c r="D4" i="16"/>
  <c r="P3" i="16"/>
  <c r="L3" i="16"/>
  <c r="D3" i="16"/>
  <c r="P2" i="16"/>
  <c r="L2" i="16"/>
  <c r="D2" i="16"/>
  <c r="I62" i="15"/>
  <c r="I61" i="15"/>
  <c r="I60" i="15"/>
  <c r="I59" i="15"/>
  <c r="I58" i="15"/>
  <c r="I57" i="15"/>
  <c r="I56" i="15"/>
  <c r="I55" i="15"/>
  <c r="I54" i="15"/>
  <c r="I53" i="15"/>
  <c r="I52" i="15"/>
  <c r="I51" i="15"/>
  <c r="I50" i="15"/>
  <c r="I49" i="15"/>
  <c r="I48" i="15"/>
  <c r="I47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  <c r="I2" i="15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2" i="13"/>
  <c r="E826" i="12"/>
  <c r="F826" i="12" s="1"/>
  <c r="G826" i="12" s="1"/>
  <c r="E825" i="12"/>
  <c r="F825" i="12" s="1"/>
  <c r="G825" i="12" s="1"/>
  <c r="E824" i="12"/>
  <c r="F824" i="12" s="1"/>
  <c r="G824" i="12" s="1"/>
  <c r="F823" i="12"/>
  <c r="G823" i="12" s="1"/>
  <c r="E823" i="12"/>
  <c r="F822" i="12"/>
  <c r="G822" i="12" s="1"/>
  <c r="E822" i="12"/>
  <c r="E821" i="12"/>
  <c r="F821" i="12" s="1"/>
  <c r="G821" i="12" s="1"/>
  <c r="E820" i="12"/>
  <c r="F820" i="12" s="1"/>
  <c r="G820" i="12" s="1"/>
  <c r="G819" i="12"/>
  <c r="F819" i="12"/>
  <c r="E819" i="12"/>
  <c r="E818" i="12"/>
  <c r="F818" i="12" s="1"/>
  <c r="G818" i="12" s="1"/>
  <c r="E817" i="12"/>
  <c r="F817" i="12" s="1"/>
  <c r="G817" i="12" s="1"/>
  <c r="E816" i="12"/>
  <c r="F816" i="12" s="1"/>
  <c r="G816" i="12" s="1"/>
  <c r="E815" i="12"/>
  <c r="F815" i="12" s="1"/>
  <c r="G815" i="12" s="1"/>
  <c r="E814" i="12"/>
  <c r="F814" i="12" s="1"/>
  <c r="G814" i="12" s="1"/>
  <c r="E813" i="12"/>
  <c r="F813" i="12" s="1"/>
  <c r="G813" i="12" s="1"/>
  <c r="E812" i="12"/>
  <c r="F812" i="12" s="1"/>
  <c r="G812" i="12" s="1"/>
  <c r="E811" i="12"/>
  <c r="F811" i="12" s="1"/>
  <c r="G811" i="12" s="1"/>
  <c r="E810" i="12"/>
  <c r="F810" i="12" s="1"/>
  <c r="G810" i="12" s="1"/>
  <c r="E809" i="12"/>
  <c r="F809" i="12" s="1"/>
  <c r="G809" i="12" s="1"/>
  <c r="F808" i="12"/>
  <c r="G808" i="12" s="1"/>
  <c r="E808" i="12"/>
  <c r="F807" i="12"/>
  <c r="G807" i="12" s="1"/>
  <c r="E807" i="12"/>
  <c r="F806" i="12"/>
  <c r="G806" i="12" s="1"/>
  <c r="E806" i="12"/>
  <c r="E805" i="12"/>
  <c r="F805" i="12" s="1"/>
  <c r="G805" i="12" s="1"/>
  <c r="E804" i="12"/>
  <c r="F804" i="12" s="1"/>
  <c r="G804" i="12" s="1"/>
  <c r="E803" i="12"/>
  <c r="F803" i="12" s="1"/>
  <c r="G803" i="12" s="1"/>
  <c r="E802" i="12"/>
  <c r="F802" i="12" s="1"/>
  <c r="G802" i="12" s="1"/>
  <c r="E801" i="12"/>
  <c r="F801" i="12" s="1"/>
  <c r="G801" i="12" s="1"/>
  <c r="F800" i="12"/>
  <c r="G800" i="12" s="1"/>
  <c r="E800" i="12"/>
  <c r="F799" i="12"/>
  <c r="G799" i="12" s="1"/>
  <c r="E799" i="12"/>
  <c r="F798" i="12"/>
  <c r="G798" i="12" s="1"/>
  <c r="E798" i="12"/>
  <c r="E797" i="12"/>
  <c r="F797" i="12" s="1"/>
  <c r="G797" i="12" s="1"/>
  <c r="E796" i="12"/>
  <c r="F796" i="12" s="1"/>
  <c r="G796" i="12" s="1"/>
  <c r="E795" i="12"/>
  <c r="F795" i="12" s="1"/>
  <c r="G795" i="12" s="1"/>
  <c r="E794" i="12"/>
  <c r="F794" i="12" s="1"/>
  <c r="G794" i="12" s="1"/>
  <c r="E793" i="12"/>
  <c r="F793" i="12" s="1"/>
  <c r="G793" i="12" s="1"/>
  <c r="F792" i="12"/>
  <c r="G792" i="12" s="1"/>
  <c r="E792" i="12"/>
  <c r="F791" i="12"/>
  <c r="G791" i="12" s="1"/>
  <c r="E791" i="12"/>
  <c r="F790" i="12"/>
  <c r="G790" i="12" s="1"/>
  <c r="E790" i="12"/>
  <c r="E789" i="12"/>
  <c r="F789" i="12" s="1"/>
  <c r="G789" i="12" s="1"/>
  <c r="E788" i="12"/>
  <c r="F788" i="12" s="1"/>
  <c r="G788" i="12" s="1"/>
  <c r="E787" i="12"/>
  <c r="F787" i="12" s="1"/>
  <c r="G787" i="12" s="1"/>
  <c r="E786" i="12"/>
  <c r="F786" i="12" s="1"/>
  <c r="G786" i="12" s="1"/>
  <c r="E785" i="12"/>
  <c r="F785" i="12" s="1"/>
  <c r="G785" i="12" s="1"/>
  <c r="F784" i="12"/>
  <c r="G784" i="12" s="1"/>
  <c r="E784" i="12"/>
  <c r="F783" i="12"/>
  <c r="G783" i="12" s="1"/>
  <c r="E783" i="12"/>
  <c r="F782" i="12"/>
  <c r="G782" i="12" s="1"/>
  <c r="E782" i="12"/>
  <c r="E781" i="12"/>
  <c r="F781" i="12" s="1"/>
  <c r="G781" i="12" s="1"/>
  <c r="E780" i="12"/>
  <c r="F780" i="12" s="1"/>
  <c r="G780" i="12" s="1"/>
  <c r="E779" i="12"/>
  <c r="F779" i="12" s="1"/>
  <c r="G779" i="12" s="1"/>
  <c r="E778" i="12"/>
  <c r="F778" i="12" s="1"/>
  <c r="G778" i="12" s="1"/>
  <c r="E777" i="12"/>
  <c r="F777" i="12" s="1"/>
  <c r="G777" i="12" s="1"/>
  <c r="F776" i="12"/>
  <c r="G776" i="12" s="1"/>
  <c r="E776" i="12"/>
  <c r="F775" i="12"/>
  <c r="G775" i="12" s="1"/>
  <c r="E775" i="12"/>
  <c r="F774" i="12"/>
  <c r="G774" i="12" s="1"/>
  <c r="E774" i="12"/>
  <c r="E773" i="12"/>
  <c r="F773" i="12" s="1"/>
  <c r="G773" i="12" s="1"/>
  <c r="E772" i="12"/>
  <c r="F772" i="12" s="1"/>
  <c r="G772" i="12" s="1"/>
  <c r="E771" i="12"/>
  <c r="F771" i="12" s="1"/>
  <c r="G771" i="12" s="1"/>
  <c r="E770" i="12"/>
  <c r="F770" i="12" s="1"/>
  <c r="G770" i="12" s="1"/>
  <c r="E769" i="12"/>
  <c r="F769" i="12" s="1"/>
  <c r="G769" i="12" s="1"/>
  <c r="F768" i="12"/>
  <c r="G768" i="12" s="1"/>
  <c r="E768" i="12"/>
  <c r="F767" i="12"/>
  <c r="G767" i="12" s="1"/>
  <c r="E767" i="12"/>
  <c r="F766" i="12"/>
  <c r="G766" i="12" s="1"/>
  <c r="E766" i="12"/>
  <c r="E765" i="12"/>
  <c r="F765" i="12" s="1"/>
  <c r="G765" i="12" s="1"/>
  <c r="E764" i="12"/>
  <c r="F764" i="12" s="1"/>
  <c r="G764" i="12" s="1"/>
  <c r="E763" i="12"/>
  <c r="F763" i="12" s="1"/>
  <c r="G763" i="12" s="1"/>
  <c r="E762" i="12"/>
  <c r="F762" i="12" s="1"/>
  <c r="G762" i="12" s="1"/>
  <c r="E761" i="12"/>
  <c r="F761" i="12" s="1"/>
  <c r="G761" i="12" s="1"/>
  <c r="F760" i="12"/>
  <c r="G760" i="12" s="1"/>
  <c r="E760" i="12"/>
  <c r="F759" i="12"/>
  <c r="G759" i="12" s="1"/>
  <c r="E759" i="12"/>
  <c r="F758" i="12"/>
  <c r="G758" i="12" s="1"/>
  <c r="E758" i="12"/>
  <c r="E757" i="12"/>
  <c r="F757" i="12" s="1"/>
  <c r="G757" i="12" s="1"/>
  <c r="E756" i="12"/>
  <c r="F756" i="12" s="1"/>
  <c r="G756" i="12" s="1"/>
  <c r="E755" i="12"/>
  <c r="F755" i="12" s="1"/>
  <c r="G755" i="12" s="1"/>
  <c r="E754" i="12"/>
  <c r="F754" i="12" s="1"/>
  <c r="G754" i="12" s="1"/>
  <c r="E753" i="12"/>
  <c r="F753" i="12" s="1"/>
  <c r="G753" i="12" s="1"/>
  <c r="F752" i="12"/>
  <c r="G752" i="12" s="1"/>
  <c r="E752" i="12"/>
  <c r="F751" i="12"/>
  <c r="G751" i="12" s="1"/>
  <c r="E751" i="12"/>
  <c r="F750" i="12"/>
  <c r="G750" i="12" s="1"/>
  <c r="E750" i="12"/>
  <c r="E749" i="12"/>
  <c r="F749" i="12" s="1"/>
  <c r="G749" i="12" s="1"/>
  <c r="E748" i="12"/>
  <c r="F748" i="12" s="1"/>
  <c r="G748" i="12" s="1"/>
  <c r="E747" i="12"/>
  <c r="F747" i="12" s="1"/>
  <c r="G747" i="12" s="1"/>
  <c r="E746" i="12"/>
  <c r="F746" i="12" s="1"/>
  <c r="G746" i="12" s="1"/>
  <c r="E745" i="12"/>
  <c r="F745" i="12" s="1"/>
  <c r="G745" i="12" s="1"/>
  <c r="F744" i="12"/>
  <c r="G744" i="12" s="1"/>
  <c r="E744" i="12"/>
  <c r="F743" i="12"/>
  <c r="G743" i="12" s="1"/>
  <c r="E743" i="12"/>
  <c r="F742" i="12"/>
  <c r="G742" i="12" s="1"/>
  <c r="E742" i="12"/>
  <c r="E741" i="12"/>
  <c r="F741" i="12" s="1"/>
  <c r="G741" i="12" s="1"/>
  <c r="E740" i="12"/>
  <c r="F740" i="12" s="1"/>
  <c r="G740" i="12" s="1"/>
  <c r="E739" i="12"/>
  <c r="F739" i="12" s="1"/>
  <c r="G739" i="12" s="1"/>
  <c r="E738" i="12"/>
  <c r="F738" i="12" s="1"/>
  <c r="G738" i="12" s="1"/>
  <c r="E737" i="12"/>
  <c r="F737" i="12" s="1"/>
  <c r="G737" i="12" s="1"/>
  <c r="F736" i="12"/>
  <c r="G736" i="12" s="1"/>
  <c r="E736" i="12"/>
  <c r="F735" i="12"/>
  <c r="G735" i="12" s="1"/>
  <c r="E735" i="12"/>
  <c r="F734" i="12"/>
  <c r="G734" i="12" s="1"/>
  <c r="E734" i="12"/>
  <c r="E733" i="12"/>
  <c r="F733" i="12" s="1"/>
  <c r="G733" i="12" s="1"/>
  <c r="E732" i="12"/>
  <c r="F732" i="12" s="1"/>
  <c r="G732" i="12" s="1"/>
  <c r="E731" i="12"/>
  <c r="F731" i="12" s="1"/>
  <c r="G731" i="12" s="1"/>
  <c r="E730" i="12"/>
  <c r="F730" i="12" s="1"/>
  <c r="G730" i="12" s="1"/>
  <c r="E729" i="12"/>
  <c r="F729" i="12" s="1"/>
  <c r="G729" i="12" s="1"/>
  <c r="F728" i="12"/>
  <c r="G728" i="12" s="1"/>
  <c r="E728" i="12"/>
  <c r="F727" i="12"/>
  <c r="G727" i="12" s="1"/>
  <c r="E727" i="12"/>
  <c r="F726" i="12"/>
  <c r="G726" i="12" s="1"/>
  <c r="E726" i="12"/>
  <c r="G725" i="12"/>
  <c r="F725" i="12"/>
  <c r="E725" i="12"/>
  <c r="E724" i="12"/>
  <c r="F724" i="12" s="1"/>
  <c r="G724" i="12" s="1"/>
  <c r="G723" i="12"/>
  <c r="E723" i="12"/>
  <c r="F723" i="12" s="1"/>
  <c r="E722" i="12"/>
  <c r="F722" i="12" s="1"/>
  <c r="G722" i="12" s="1"/>
  <c r="E721" i="12"/>
  <c r="F721" i="12" s="1"/>
  <c r="G721" i="12" s="1"/>
  <c r="F720" i="12"/>
  <c r="G720" i="12" s="1"/>
  <c r="E720" i="12"/>
  <c r="F719" i="12"/>
  <c r="G719" i="12" s="1"/>
  <c r="E719" i="12"/>
  <c r="F718" i="12"/>
  <c r="G718" i="12" s="1"/>
  <c r="E718" i="12"/>
  <c r="G717" i="12"/>
  <c r="F717" i="12"/>
  <c r="E717" i="12"/>
  <c r="E716" i="12"/>
  <c r="F716" i="12" s="1"/>
  <c r="G716" i="12" s="1"/>
  <c r="E715" i="12"/>
  <c r="F715" i="12" s="1"/>
  <c r="G715" i="12" s="1"/>
  <c r="E714" i="12"/>
  <c r="F714" i="12" s="1"/>
  <c r="G714" i="12" s="1"/>
  <c r="E713" i="12"/>
  <c r="F713" i="12" s="1"/>
  <c r="G713" i="12" s="1"/>
  <c r="F712" i="12"/>
  <c r="G712" i="12" s="1"/>
  <c r="E712" i="12"/>
  <c r="F711" i="12"/>
  <c r="G711" i="12" s="1"/>
  <c r="E711" i="12"/>
  <c r="F710" i="12"/>
  <c r="G710" i="12" s="1"/>
  <c r="E710" i="12"/>
  <c r="G709" i="12"/>
  <c r="F709" i="12"/>
  <c r="E709" i="12"/>
  <c r="E708" i="12"/>
  <c r="F708" i="12" s="1"/>
  <c r="G708" i="12" s="1"/>
  <c r="E707" i="12"/>
  <c r="F707" i="12" s="1"/>
  <c r="G707" i="12" s="1"/>
  <c r="E706" i="12"/>
  <c r="F706" i="12" s="1"/>
  <c r="G706" i="12" s="1"/>
  <c r="E705" i="12"/>
  <c r="F705" i="12" s="1"/>
  <c r="G705" i="12" s="1"/>
  <c r="F704" i="12"/>
  <c r="G704" i="12" s="1"/>
  <c r="E704" i="12"/>
  <c r="F703" i="12"/>
  <c r="G703" i="12" s="1"/>
  <c r="E703" i="12"/>
  <c r="F702" i="12"/>
  <c r="G702" i="12" s="1"/>
  <c r="E702" i="12"/>
  <c r="G701" i="12"/>
  <c r="F701" i="12"/>
  <c r="E701" i="12"/>
  <c r="E700" i="12"/>
  <c r="F700" i="12" s="1"/>
  <c r="G700" i="12" s="1"/>
  <c r="E699" i="12"/>
  <c r="F699" i="12" s="1"/>
  <c r="G699" i="12" s="1"/>
  <c r="E698" i="12"/>
  <c r="F698" i="12" s="1"/>
  <c r="G698" i="12" s="1"/>
  <c r="E697" i="12"/>
  <c r="F697" i="12" s="1"/>
  <c r="G697" i="12" s="1"/>
  <c r="F696" i="12"/>
  <c r="G696" i="12" s="1"/>
  <c r="E696" i="12"/>
  <c r="E695" i="12"/>
  <c r="F695" i="12" s="1"/>
  <c r="G695" i="12" s="1"/>
  <c r="F694" i="12"/>
  <c r="G694" i="12" s="1"/>
  <c r="E694" i="12"/>
  <c r="G693" i="12"/>
  <c r="F693" i="12"/>
  <c r="E693" i="12"/>
  <c r="F692" i="12"/>
  <c r="G692" i="12" s="1"/>
  <c r="E692" i="12"/>
  <c r="G691" i="12"/>
  <c r="E691" i="12"/>
  <c r="F691" i="12" s="1"/>
  <c r="E690" i="12"/>
  <c r="F690" i="12" s="1"/>
  <c r="G690" i="12" s="1"/>
  <c r="G689" i="12"/>
  <c r="E689" i="12"/>
  <c r="F689" i="12" s="1"/>
  <c r="F688" i="12"/>
  <c r="G688" i="12" s="1"/>
  <c r="E688" i="12"/>
  <c r="E687" i="12"/>
  <c r="F687" i="12" s="1"/>
  <c r="G687" i="12" s="1"/>
  <c r="F686" i="12"/>
  <c r="G686" i="12" s="1"/>
  <c r="E686" i="12"/>
  <c r="G685" i="12"/>
  <c r="F685" i="12"/>
  <c r="E685" i="12"/>
  <c r="F684" i="12"/>
  <c r="G684" i="12" s="1"/>
  <c r="E684" i="12"/>
  <c r="G683" i="12"/>
  <c r="E683" i="12"/>
  <c r="F683" i="12" s="1"/>
  <c r="E682" i="12"/>
  <c r="F682" i="12" s="1"/>
  <c r="G682" i="12" s="1"/>
  <c r="E681" i="12"/>
  <c r="F681" i="12" s="1"/>
  <c r="G681" i="12" s="1"/>
  <c r="F680" i="12"/>
  <c r="G680" i="12" s="1"/>
  <c r="E680" i="12"/>
  <c r="E679" i="12"/>
  <c r="F679" i="12" s="1"/>
  <c r="G679" i="12" s="1"/>
  <c r="F678" i="12"/>
  <c r="G678" i="12" s="1"/>
  <c r="E678" i="12"/>
  <c r="G677" i="12"/>
  <c r="F677" i="12"/>
  <c r="E677" i="12"/>
  <c r="F676" i="12"/>
  <c r="G676" i="12" s="1"/>
  <c r="E676" i="12"/>
  <c r="E675" i="12"/>
  <c r="F675" i="12" s="1"/>
  <c r="G675" i="12" s="1"/>
  <c r="E674" i="12"/>
  <c r="F674" i="12" s="1"/>
  <c r="G674" i="12" s="1"/>
  <c r="E673" i="12"/>
  <c r="F673" i="12" s="1"/>
  <c r="G673" i="12" s="1"/>
  <c r="F672" i="12"/>
  <c r="G672" i="12" s="1"/>
  <c r="E672" i="12"/>
  <c r="E671" i="12"/>
  <c r="F671" i="12" s="1"/>
  <c r="G671" i="12" s="1"/>
  <c r="F670" i="12"/>
  <c r="G670" i="12" s="1"/>
  <c r="E670" i="12"/>
  <c r="G669" i="12"/>
  <c r="F669" i="12"/>
  <c r="E669" i="12"/>
  <c r="F668" i="12"/>
  <c r="G668" i="12" s="1"/>
  <c r="E668" i="12"/>
  <c r="E667" i="12"/>
  <c r="F667" i="12" s="1"/>
  <c r="G667" i="12" s="1"/>
  <c r="E666" i="12"/>
  <c r="F666" i="12" s="1"/>
  <c r="G666" i="12" s="1"/>
  <c r="G665" i="12"/>
  <c r="E665" i="12"/>
  <c r="F665" i="12" s="1"/>
  <c r="F664" i="12"/>
  <c r="G664" i="12" s="1"/>
  <c r="E664" i="12"/>
  <c r="E663" i="12"/>
  <c r="F663" i="12" s="1"/>
  <c r="G663" i="12" s="1"/>
  <c r="F662" i="12"/>
  <c r="G662" i="12" s="1"/>
  <c r="E662" i="12"/>
  <c r="G661" i="12"/>
  <c r="F661" i="12"/>
  <c r="E661" i="12"/>
  <c r="F660" i="12"/>
  <c r="G660" i="12" s="1"/>
  <c r="E660" i="12"/>
  <c r="E659" i="12"/>
  <c r="F659" i="12" s="1"/>
  <c r="G659" i="12" s="1"/>
  <c r="E658" i="12"/>
  <c r="F658" i="12" s="1"/>
  <c r="G658" i="12" s="1"/>
  <c r="G657" i="12"/>
  <c r="E657" i="12"/>
  <c r="F657" i="12" s="1"/>
  <c r="F656" i="12"/>
  <c r="G656" i="12" s="1"/>
  <c r="E656" i="12"/>
  <c r="E655" i="12"/>
  <c r="F655" i="12" s="1"/>
  <c r="G655" i="12" s="1"/>
  <c r="F654" i="12"/>
  <c r="G654" i="12" s="1"/>
  <c r="E654" i="12"/>
  <c r="G653" i="12"/>
  <c r="F653" i="12"/>
  <c r="E653" i="12"/>
  <c r="F652" i="12"/>
  <c r="G652" i="12" s="1"/>
  <c r="E652" i="12"/>
  <c r="G651" i="12"/>
  <c r="E651" i="12"/>
  <c r="F651" i="12" s="1"/>
  <c r="E650" i="12"/>
  <c r="F650" i="12" s="1"/>
  <c r="G650" i="12" s="1"/>
  <c r="E649" i="12"/>
  <c r="F649" i="12" s="1"/>
  <c r="G649" i="12" s="1"/>
  <c r="F648" i="12"/>
  <c r="G648" i="12" s="1"/>
  <c r="E648" i="12"/>
  <c r="E647" i="12"/>
  <c r="F647" i="12" s="1"/>
  <c r="G647" i="12" s="1"/>
  <c r="F646" i="12"/>
  <c r="G646" i="12" s="1"/>
  <c r="E646" i="12"/>
  <c r="G645" i="12"/>
  <c r="F645" i="12"/>
  <c r="E645" i="12"/>
  <c r="F644" i="12"/>
  <c r="G644" i="12" s="1"/>
  <c r="E644" i="12"/>
  <c r="E643" i="12"/>
  <c r="F643" i="12" s="1"/>
  <c r="G643" i="12" s="1"/>
  <c r="E642" i="12"/>
  <c r="F642" i="12" s="1"/>
  <c r="G642" i="12" s="1"/>
  <c r="G641" i="12"/>
  <c r="E641" i="12"/>
  <c r="F641" i="12" s="1"/>
  <c r="F640" i="12"/>
  <c r="G640" i="12" s="1"/>
  <c r="E640" i="12"/>
  <c r="E639" i="12"/>
  <c r="F639" i="12" s="1"/>
  <c r="G639" i="12" s="1"/>
  <c r="F638" i="12"/>
  <c r="G638" i="12" s="1"/>
  <c r="E638" i="12"/>
  <c r="G637" i="12"/>
  <c r="F637" i="12"/>
  <c r="E637" i="12"/>
  <c r="F636" i="12"/>
  <c r="G636" i="12" s="1"/>
  <c r="E636" i="12"/>
  <c r="E635" i="12"/>
  <c r="F635" i="12" s="1"/>
  <c r="G635" i="12" s="1"/>
  <c r="E634" i="12"/>
  <c r="F634" i="12" s="1"/>
  <c r="G634" i="12" s="1"/>
  <c r="E633" i="12"/>
  <c r="F633" i="12" s="1"/>
  <c r="G633" i="12" s="1"/>
  <c r="F632" i="12"/>
  <c r="G632" i="12" s="1"/>
  <c r="E632" i="12"/>
  <c r="E631" i="12"/>
  <c r="F631" i="12" s="1"/>
  <c r="G631" i="12" s="1"/>
  <c r="F630" i="12"/>
  <c r="G630" i="12" s="1"/>
  <c r="E630" i="12"/>
  <c r="G629" i="12"/>
  <c r="F629" i="12"/>
  <c r="E629" i="12"/>
  <c r="F628" i="12"/>
  <c r="G628" i="12" s="1"/>
  <c r="E628" i="12"/>
  <c r="G627" i="12"/>
  <c r="E627" i="12"/>
  <c r="F627" i="12" s="1"/>
  <c r="E626" i="12"/>
  <c r="F626" i="12" s="1"/>
  <c r="G626" i="12" s="1"/>
  <c r="G625" i="12"/>
  <c r="E625" i="12"/>
  <c r="F625" i="12" s="1"/>
  <c r="F624" i="12"/>
  <c r="G624" i="12" s="1"/>
  <c r="E624" i="12"/>
  <c r="E623" i="12"/>
  <c r="F623" i="12" s="1"/>
  <c r="G623" i="12" s="1"/>
  <c r="F622" i="12"/>
  <c r="G622" i="12" s="1"/>
  <c r="E622" i="12"/>
  <c r="G621" i="12"/>
  <c r="F621" i="12"/>
  <c r="E621" i="12"/>
  <c r="F620" i="12"/>
  <c r="G620" i="12" s="1"/>
  <c r="E620" i="12"/>
  <c r="G619" i="12"/>
  <c r="E619" i="12"/>
  <c r="F619" i="12" s="1"/>
  <c r="E618" i="12"/>
  <c r="F618" i="12" s="1"/>
  <c r="G618" i="12" s="1"/>
  <c r="E617" i="12"/>
  <c r="F617" i="12" s="1"/>
  <c r="G617" i="12" s="1"/>
  <c r="F616" i="12"/>
  <c r="G616" i="12" s="1"/>
  <c r="E616" i="12"/>
  <c r="E615" i="12"/>
  <c r="F615" i="12" s="1"/>
  <c r="G615" i="12" s="1"/>
  <c r="F614" i="12"/>
  <c r="G614" i="12" s="1"/>
  <c r="E614" i="12"/>
  <c r="G613" i="12"/>
  <c r="F613" i="12"/>
  <c r="E613" i="12"/>
  <c r="F612" i="12"/>
  <c r="G612" i="12" s="1"/>
  <c r="E612" i="12"/>
  <c r="E611" i="12"/>
  <c r="F611" i="12" s="1"/>
  <c r="G611" i="12" s="1"/>
  <c r="E610" i="12"/>
  <c r="F610" i="12" s="1"/>
  <c r="G610" i="12" s="1"/>
  <c r="E609" i="12"/>
  <c r="F609" i="12" s="1"/>
  <c r="G609" i="12" s="1"/>
  <c r="F608" i="12"/>
  <c r="G608" i="12" s="1"/>
  <c r="E608" i="12"/>
  <c r="E607" i="12"/>
  <c r="F607" i="12" s="1"/>
  <c r="G607" i="12" s="1"/>
  <c r="F606" i="12"/>
  <c r="G606" i="12" s="1"/>
  <c r="E606" i="12"/>
  <c r="G605" i="12"/>
  <c r="F605" i="12"/>
  <c r="E605" i="12"/>
  <c r="F604" i="12"/>
  <c r="G604" i="12" s="1"/>
  <c r="E604" i="12"/>
  <c r="G603" i="12"/>
  <c r="E603" i="12"/>
  <c r="F603" i="12" s="1"/>
  <c r="E602" i="12"/>
  <c r="F602" i="12" s="1"/>
  <c r="G602" i="12" s="1"/>
  <c r="G601" i="12"/>
  <c r="E601" i="12"/>
  <c r="F601" i="12" s="1"/>
  <c r="F600" i="12"/>
  <c r="G600" i="12" s="1"/>
  <c r="E600" i="12"/>
  <c r="E599" i="12"/>
  <c r="F599" i="12" s="1"/>
  <c r="G599" i="12" s="1"/>
  <c r="F598" i="12"/>
  <c r="G598" i="12" s="1"/>
  <c r="E598" i="12"/>
  <c r="G597" i="12"/>
  <c r="F597" i="12"/>
  <c r="E597" i="12"/>
  <c r="F596" i="12"/>
  <c r="G596" i="12" s="1"/>
  <c r="E596" i="12"/>
  <c r="E595" i="12"/>
  <c r="F595" i="12" s="1"/>
  <c r="G595" i="12" s="1"/>
  <c r="E594" i="12"/>
  <c r="F594" i="12" s="1"/>
  <c r="G594" i="12" s="1"/>
  <c r="G593" i="12"/>
  <c r="E593" i="12"/>
  <c r="F593" i="12" s="1"/>
  <c r="F592" i="12"/>
  <c r="G592" i="12" s="1"/>
  <c r="E592" i="12"/>
  <c r="E591" i="12"/>
  <c r="F591" i="12" s="1"/>
  <c r="G591" i="12" s="1"/>
  <c r="F590" i="12"/>
  <c r="G590" i="12" s="1"/>
  <c r="E590" i="12"/>
  <c r="G589" i="12"/>
  <c r="F589" i="12"/>
  <c r="E589" i="12"/>
  <c r="F588" i="12"/>
  <c r="G588" i="12" s="1"/>
  <c r="E588" i="12"/>
  <c r="G587" i="12"/>
  <c r="E587" i="12"/>
  <c r="F587" i="12" s="1"/>
  <c r="E586" i="12"/>
  <c r="F586" i="12" s="1"/>
  <c r="G586" i="12" s="1"/>
  <c r="E585" i="12"/>
  <c r="F585" i="12" s="1"/>
  <c r="G585" i="12" s="1"/>
  <c r="F584" i="12"/>
  <c r="G584" i="12" s="1"/>
  <c r="E584" i="12"/>
  <c r="E583" i="12"/>
  <c r="F583" i="12" s="1"/>
  <c r="G583" i="12" s="1"/>
  <c r="F582" i="12"/>
  <c r="G582" i="12" s="1"/>
  <c r="E582" i="12"/>
  <c r="G581" i="12"/>
  <c r="F581" i="12"/>
  <c r="E581" i="12"/>
  <c r="F580" i="12"/>
  <c r="G580" i="12" s="1"/>
  <c r="E580" i="12"/>
  <c r="E579" i="12"/>
  <c r="F579" i="12" s="1"/>
  <c r="G579" i="12" s="1"/>
  <c r="E578" i="12"/>
  <c r="F578" i="12" s="1"/>
  <c r="G578" i="12" s="1"/>
  <c r="G577" i="12"/>
  <c r="E577" i="12"/>
  <c r="F577" i="12" s="1"/>
  <c r="F576" i="12"/>
  <c r="G576" i="12" s="1"/>
  <c r="E576" i="12"/>
  <c r="E575" i="12"/>
  <c r="F575" i="12" s="1"/>
  <c r="G575" i="12" s="1"/>
  <c r="F574" i="12"/>
  <c r="G574" i="12" s="1"/>
  <c r="E574" i="12"/>
  <c r="G573" i="12"/>
  <c r="F573" i="12"/>
  <c r="E573" i="12"/>
  <c r="F572" i="12"/>
  <c r="G572" i="12" s="1"/>
  <c r="E572" i="12"/>
  <c r="E571" i="12"/>
  <c r="F571" i="12" s="1"/>
  <c r="G571" i="12" s="1"/>
  <c r="E570" i="12"/>
  <c r="F570" i="12" s="1"/>
  <c r="G570" i="12" s="1"/>
  <c r="E569" i="12"/>
  <c r="F569" i="12" s="1"/>
  <c r="G569" i="12" s="1"/>
  <c r="F568" i="12"/>
  <c r="G568" i="12" s="1"/>
  <c r="E568" i="12"/>
  <c r="E567" i="12"/>
  <c r="F567" i="12" s="1"/>
  <c r="G567" i="12" s="1"/>
  <c r="F566" i="12"/>
  <c r="G566" i="12" s="1"/>
  <c r="E566" i="12"/>
  <c r="G565" i="12"/>
  <c r="F565" i="12"/>
  <c r="E565" i="12"/>
  <c r="F564" i="12"/>
  <c r="G564" i="12" s="1"/>
  <c r="E564" i="12"/>
  <c r="G563" i="12"/>
  <c r="E563" i="12"/>
  <c r="F563" i="12" s="1"/>
  <c r="E562" i="12"/>
  <c r="F562" i="12" s="1"/>
  <c r="G562" i="12" s="1"/>
  <c r="G561" i="12"/>
  <c r="E561" i="12"/>
  <c r="F561" i="12" s="1"/>
  <c r="F560" i="12"/>
  <c r="G560" i="12" s="1"/>
  <c r="E560" i="12"/>
  <c r="E559" i="12"/>
  <c r="F559" i="12" s="1"/>
  <c r="G559" i="12" s="1"/>
  <c r="F558" i="12"/>
  <c r="G558" i="12" s="1"/>
  <c r="E558" i="12"/>
  <c r="G557" i="12"/>
  <c r="F557" i="12"/>
  <c r="E557" i="12"/>
  <c r="F556" i="12"/>
  <c r="G556" i="12" s="1"/>
  <c r="E556" i="12"/>
  <c r="G555" i="12"/>
  <c r="E555" i="12"/>
  <c r="F555" i="12" s="1"/>
  <c r="E554" i="12"/>
  <c r="F554" i="12" s="1"/>
  <c r="G554" i="12" s="1"/>
  <c r="E553" i="12"/>
  <c r="F553" i="12" s="1"/>
  <c r="G553" i="12" s="1"/>
  <c r="F552" i="12"/>
  <c r="G552" i="12" s="1"/>
  <c r="E552" i="12"/>
  <c r="E551" i="12"/>
  <c r="F551" i="12" s="1"/>
  <c r="G551" i="12" s="1"/>
  <c r="F550" i="12"/>
  <c r="G550" i="12" s="1"/>
  <c r="E550" i="12"/>
  <c r="G549" i="12"/>
  <c r="F549" i="12"/>
  <c r="E549" i="12"/>
  <c r="F548" i="12"/>
  <c r="G548" i="12" s="1"/>
  <c r="E548" i="12"/>
  <c r="E547" i="12"/>
  <c r="F547" i="12" s="1"/>
  <c r="G547" i="12" s="1"/>
  <c r="E546" i="12"/>
  <c r="F546" i="12" s="1"/>
  <c r="G546" i="12" s="1"/>
  <c r="E545" i="12"/>
  <c r="F545" i="12" s="1"/>
  <c r="G545" i="12" s="1"/>
  <c r="F544" i="12"/>
  <c r="G544" i="12" s="1"/>
  <c r="E544" i="12"/>
  <c r="E543" i="12"/>
  <c r="F543" i="12" s="1"/>
  <c r="G543" i="12" s="1"/>
  <c r="F542" i="12"/>
  <c r="G542" i="12" s="1"/>
  <c r="E542" i="12"/>
  <c r="G541" i="12"/>
  <c r="F541" i="12"/>
  <c r="E541" i="12"/>
  <c r="F540" i="12"/>
  <c r="G540" i="12" s="1"/>
  <c r="E540" i="12"/>
  <c r="G539" i="12"/>
  <c r="E539" i="12"/>
  <c r="F539" i="12" s="1"/>
  <c r="E538" i="12"/>
  <c r="F538" i="12" s="1"/>
  <c r="G538" i="12" s="1"/>
  <c r="G537" i="12"/>
  <c r="E537" i="12"/>
  <c r="F537" i="12" s="1"/>
  <c r="F536" i="12"/>
  <c r="G536" i="12" s="1"/>
  <c r="E536" i="12"/>
  <c r="E535" i="12"/>
  <c r="F535" i="12" s="1"/>
  <c r="G535" i="12" s="1"/>
  <c r="F534" i="12"/>
  <c r="G534" i="12" s="1"/>
  <c r="E534" i="12"/>
  <c r="G533" i="12"/>
  <c r="F533" i="12"/>
  <c r="E533" i="12"/>
  <c r="F532" i="12"/>
  <c r="G532" i="12" s="1"/>
  <c r="E532" i="12"/>
  <c r="E531" i="12"/>
  <c r="F531" i="12" s="1"/>
  <c r="G531" i="12" s="1"/>
  <c r="E530" i="12"/>
  <c r="F530" i="12" s="1"/>
  <c r="G530" i="12" s="1"/>
  <c r="E529" i="12"/>
  <c r="F529" i="12" s="1"/>
  <c r="G529" i="12" s="1"/>
  <c r="F528" i="12"/>
  <c r="G528" i="12" s="1"/>
  <c r="E528" i="12"/>
  <c r="E527" i="12"/>
  <c r="F527" i="12" s="1"/>
  <c r="G527" i="12" s="1"/>
  <c r="F526" i="12"/>
  <c r="G526" i="12" s="1"/>
  <c r="E526" i="12"/>
  <c r="G525" i="12"/>
  <c r="F525" i="12"/>
  <c r="E525" i="12"/>
  <c r="F524" i="12"/>
  <c r="G524" i="12" s="1"/>
  <c r="E524" i="12"/>
  <c r="G523" i="12"/>
  <c r="E523" i="12"/>
  <c r="F523" i="12" s="1"/>
  <c r="E522" i="12"/>
  <c r="F522" i="12" s="1"/>
  <c r="G522" i="12" s="1"/>
  <c r="E521" i="12"/>
  <c r="F521" i="12" s="1"/>
  <c r="G521" i="12" s="1"/>
  <c r="F520" i="12"/>
  <c r="G520" i="12" s="1"/>
  <c r="E520" i="12"/>
  <c r="E519" i="12"/>
  <c r="F519" i="12" s="1"/>
  <c r="G519" i="12" s="1"/>
  <c r="F518" i="12"/>
  <c r="G518" i="12" s="1"/>
  <c r="E518" i="12"/>
  <c r="G517" i="12"/>
  <c r="F517" i="12"/>
  <c r="E517" i="12"/>
  <c r="F516" i="12"/>
  <c r="G516" i="12" s="1"/>
  <c r="E516" i="12"/>
  <c r="E515" i="12"/>
  <c r="F515" i="12" s="1"/>
  <c r="G515" i="12" s="1"/>
  <c r="E514" i="12"/>
  <c r="F514" i="12" s="1"/>
  <c r="G514" i="12" s="1"/>
  <c r="G513" i="12"/>
  <c r="E513" i="12"/>
  <c r="F513" i="12" s="1"/>
  <c r="F512" i="12"/>
  <c r="G512" i="12" s="1"/>
  <c r="E512" i="12"/>
  <c r="E511" i="12"/>
  <c r="F511" i="12" s="1"/>
  <c r="G511" i="12" s="1"/>
  <c r="F510" i="12"/>
  <c r="G510" i="12" s="1"/>
  <c r="E510" i="12"/>
  <c r="G509" i="12"/>
  <c r="F509" i="12"/>
  <c r="E509" i="12"/>
  <c r="F508" i="12"/>
  <c r="G508" i="12" s="1"/>
  <c r="E508" i="12"/>
  <c r="E507" i="12"/>
  <c r="F507" i="12" s="1"/>
  <c r="G507" i="12" s="1"/>
  <c r="E506" i="12"/>
  <c r="F506" i="12" s="1"/>
  <c r="G506" i="12" s="1"/>
  <c r="E505" i="12"/>
  <c r="F505" i="12" s="1"/>
  <c r="G505" i="12" s="1"/>
  <c r="F504" i="12"/>
  <c r="G504" i="12" s="1"/>
  <c r="E504" i="12"/>
  <c r="E503" i="12"/>
  <c r="F503" i="12" s="1"/>
  <c r="G503" i="12" s="1"/>
  <c r="F502" i="12"/>
  <c r="G502" i="12" s="1"/>
  <c r="E502" i="12"/>
  <c r="G501" i="12"/>
  <c r="F501" i="12"/>
  <c r="E501" i="12"/>
  <c r="F500" i="12"/>
  <c r="G500" i="12" s="1"/>
  <c r="E500" i="12"/>
  <c r="G499" i="12"/>
  <c r="E499" i="12"/>
  <c r="F499" i="12" s="1"/>
  <c r="E498" i="12"/>
  <c r="F498" i="12" s="1"/>
  <c r="G498" i="12" s="1"/>
  <c r="G497" i="12"/>
  <c r="E497" i="12"/>
  <c r="F497" i="12" s="1"/>
  <c r="F496" i="12"/>
  <c r="G496" i="12" s="1"/>
  <c r="E496" i="12"/>
  <c r="E495" i="12"/>
  <c r="F495" i="12" s="1"/>
  <c r="G495" i="12" s="1"/>
  <c r="F494" i="12"/>
  <c r="G494" i="12" s="1"/>
  <c r="E494" i="12"/>
  <c r="G493" i="12"/>
  <c r="F493" i="12"/>
  <c r="E493" i="12"/>
  <c r="F492" i="12"/>
  <c r="G492" i="12" s="1"/>
  <c r="E492" i="12"/>
  <c r="E491" i="12"/>
  <c r="F491" i="12" s="1"/>
  <c r="G491" i="12" s="1"/>
  <c r="E490" i="12"/>
  <c r="F490" i="12" s="1"/>
  <c r="G490" i="12" s="1"/>
  <c r="E489" i="12"/>
  <c r="F489" i="12" s="1"/>
  <c r="G489" i="12" s="1"/>
  <c r="F488" i="12"/>
  <c r="G488" i="12" s="1"/>
  <c r="E488" i="12"/>
  <c r="E487" i="12"/>
  <c r="F487" i="12" s="1"/>
  <c r="G487" i="12" s="1"/>
  <c r="F486" i="12"/>
  <c r="G486" i="12" s="1"/>
  <c r="E486" i="12"/>
  <c r="G485" i="12"/>
  <c r="F485" i="12"/>
  <c r="E485" i="12"/>
  <c r="F484" i="12"/>
  <c r="G484" i="12" s="1"/>
  <c r="E484" i="12"/>
  <c r="G483" i="12"/>
  <c r="E483" i="12"/>
  <c r="F483" i="12" s="1"/>
  <c r="E482" i="12"/>
  <c r="F482" i="12" s="1"/>
  <c r="G482" i="12" s="1"/>
  <c r="E481" i="12"/>
  <c r="F481" i="12" s="1"/>
  <c r="G481" i="12" s="1"/>
  <c r="F480" i="12"/>
  <c r="G480" i="12" s="1"/>
  <c r="E480" i="12"/>
  <c r="E479" i="12"/>
  <c r="F479" i="12" s="1"/>
  <c r="G479" i="12" s="1"/>
  <c r="F478" i="12"/>
  <c r="G478" i="12" s="1"/>
  <c r="E478" i="12"/>
  <c r="G477" i="12"/>
  <c r="F477" i="12"/>
  <c r="E477" i="12"/>
  <c r="E476" i="12"/>
  <c r="F476" i="12" s="1"/>
  <c r="G476" i="12" s="1"/>
  <c r="E475" i="12"/>
  <c r="F475" i="12" s="1"/>
  <c r="G475" i="12" s="1"/>
  <c r="E474" i="12"/>
  <c r="F474" i="12" s="1"/>
  <c r="G474" i="12" s="1"/>
  <c r="F473" i="12"/>
  <c r="G473" i="12" s="1"/>
  <c r="E473" i="12"/>
  <c r="F472" i="12"/>
  <c r="G472" i="12" s="1"/>
  <c r="E472" i="12"/>
  <c r="E471" i="12"/>
  <c r="F471" i="12" s="1"/>
  <c r="G471" i="12" s="1"/>
  <c r="G470" i="12"/>
  <c r="F470" i="12"/>
  <c r="E470" i="12"/>
  <c r="G469" i="12"/>
  <c r="F469" i="12"/>
  <c r="E469" i="12"/>
  <c r="F468" i="12"/>
  <c r="G468" i="12" s="1"/>
  <c r="E468" i="12"/>
  <c r="G467" i="12"/>
  <c r="E467" i="12"/>
  <c r="F467" i="12" s="1"/>
  <c r="E466" i="12"/>
  <c r="F466" i="12" s="1"/>
  <c r="G466" i="12" s="1"/>
  <c r="G465" i="12"/>
  <c r="F465" i="12"/>
  <c r="E465" i="12"/>
  <c r="F464" i="12"/>
  <c r="G464" i="12" s="1"/>
  <c r="E464" i="12"/>
  <c r="E463" i="12"/>
  <c r="F463" i="12" s="1"/>
  <c r="G463" i="12" s="1"/>
  <c r="F462" i="12"/>
  <c r="G462" i="12" s="1"/>
  <c r="E462" i="12"/>
  <c r="G461" i="12"/>
  <c r="F461" i="12"/>
  <c r="E461" i="12"/>
  <c r="F460" i="12"/>
  <c r="G460" i="12" s="1"/>
  <c r="E460" i="12"/>
  <c r="E459" i="12"/>
  <c r="F459" i="12" s="1"/>
  <c r="G459" i="12" s="1"/>
  <c r="E458" i="12"/>
  <c r="F458" i="12" s="1"/>
  <c r="G458" i="12" s="1"/>
  <c r="F457" i="12"/>
  <c r="G457" i="12" s="1"/>
  <c r="E457" i="12"/>
  <c r="F456" i="12"/>
  <c r="G456" i="12" s="1"/>
  <c r="E456" i="12"/>
  <c r="E455" i="12"/>
  <c r="F455" i="12" s="1"/>
  <c r="G455" i="12" s="1"/>
  <c r="G454" i="12"/>
  <c r="F454" i="12"/>
  <c r="E454" i="12"/>
  <c r="G453" i="12"/>
  <c r="F453" i="12"/>
  <c r="E453" i="12"/>
  <c r="F452" i="12"/>
  <c r="G452" i="12" s="1"/>
  <c r="E452" i="12"/>
  <c r="G451" i="12"/>
  <c r="E451" i="12"/>
  <c r="F451" i="12" s="1"/>
  <c r="E450" i="12"/>
  <c r="F450" i="12" s="1"/>
  <c r="G450" i="12" s="1"/>
  <c r="G449" i="12"/>
  <c r="F449" i="12"/>
  <c r="E449" i="12"/>
  <c r="F448" i="12"/>
  <c r="G448" i="12" s="1"/>
  <c r="E448" i="12"/>
  <c r="E447" i="12"/>
  <c r="F447" i="12" s="1"/>
  <c r="G447" i="12" s="1"/>
  <c r="G446" i="12"/>
  <c r="F446" i="12"/>
  <c r="E446" i="12"/>
  <c r="G445" i="12"/>
  <c r="F445" i="12"/>
  <c r="E445" i="12"/>
  <c r="E444" i="12"/>
  <c r="F444" i="12" s="1"/>
  <c r="G444" i="12" s="1"/>
  <c r="G443" i="12"/>
  <c r="E443" i="12"/>
  <c r="F443" i="12" s="1"/>
  <c r="E442" i="12"/>
  <c r="F442" i="12" s="1"/>
  <c r="G442" i="12" s="1"/>
  <c r="G441" i="12"/>
  <c r="F441" i="12"/>
  <c r="E441" i="12"/>
  <c r="F440" i="12"/>
  <c r="G440" i="12" s="1"/>
  <c r="E440" i="12"/>
  <c r="E439" i="12"/>
  <c r="F439" i="12" s="1"/>
  <c r="G439" i="12" s="1"/>
  <c r="G438" i="12"/>
  <c r="F438" i="12"/>
  <c r="E438" i="12"/>
  <c r="G437" i="12"/>
  <c r="F437" i="12"/>
  <c r="E437" i="12"/>
  <c r="E436" i="12"/>
  <c r="F436" i="12" s="1"/>
  <c r="G436" i="12" s="1"/>
  <c r="G435" i="12"/>
  <c r="E435" i="12"/>
  <c r="F435" i="12" s="1"/>
  <c r="E434" i="12"/>
  <c r="F434" i="12" s="1"/>
  <c r="G434" i="12" s="1"/>
  <c r="G433" i="12"/>
  <c r="F433" i="12"/>
  <c r="E433" i="12"/>
  <c r="F432" i="12"/>
  <c r="G432" i="12" s="1"/>
  <c r="E432" i="12"/>
  <c r="E431" i="12"/>
  <c r="F431" i="12" s="1"/>
  <c r="G431" i="12" s="1"/>
  <c r="F430" i="12"/>
  <c r="G430" i="12" s="1"/>
  <c r="E430" i="12"/>
  <c r="G429" i="12"/>
  <c r="F429" i="12"/>
  <c r="E429" i="12"/>
  <c r="F428" i="12"/>
  <c r="G428" i="12" s="1"/>
  <c r="E428" i="12"/>
  <c r="E427" i="12"/>
  <c r="F427" i="12" s="1"/>
  <c r="G427" i="12" s="1"/>
  <c r="E426" i="12"/>
  <c r="F426" i="12" s="1"/>
  <c r="G426" i="12" s="1"/>
  <c r="E425" i="12"/>
  <c r="F425" i="12" s="1"/>
  <c r="G425" i="12" s="1"/>
  <c r="F424" i="12"/>
  <c r="G424" i="12" s="1"/>
  <c r="E424" i="12"/>
  <c r="E423" i="12"/>
  <c r="F423" i="12" s="1"/>
  <c r="G423" i="12" s="1"/>
  <c r="F422" i="12"/>
  <c r="G422" i="12" s="1"/>
  <c r="E422" i="12"/>
  <c r="G421" i="12"/>
  <c r="F421" i="12"/>
  <c r="E421" i="12"/>
  <c r="F420" i="12"/>
  <c r="G420" i="12" s="1"/>
  <c r="E420" i="12"/>
  <c r="E419" i="12"/>
  <c r="F419" i="12" s="1"/>
  <c r="G419" i="12" s="1"/>
  <c r="E418" i="12"/>
  <c r="F418" i="12" s="1"/>
  <c r="G418" i="12" s="1"/>
  <c r="E417" i="12"/>
  <c r="F417" i="12" s="1"/>
  <c r="G417" i="12" s="1"/>
  <c r="F416" i="12"/>
  <c r="G416" i="12" s="1"/>
  <c r="E416" i="12"/>
  <c r="E415" i="12"/>
  <c r="F415" i="12" s="1"/>
  <c r="G415" i="12" s="1"/>
  <c r="F414" i="12"/>
  <c r="G414" i="12" s="1"/>
  <c r="E414" i="12"/>
  <c r="G413" i="12"/>
  <c r="F413" i="12"/>
  <c r="E413" i="12"/>
  <c r="F412" i="12"/>
  <c r="G412" i="12" s="1"/>
  <c r="E412" i="12"/>
  <c r="E411" i="12"/>
  <c r="F411" i="12" s="1"/>
  <c r="G411" i="12" s="1"/>
  <c r="E410" i="12"/>
  <c r="F410" i="12" s="1"/>
  <c r="G410" i="12" s="1"/>
  <c r="F409" i="12"/>
  <c r="G409" i="12" s="1"/>
  <c r="E409" i="12"/>
  <c r="F408" i="12"/>
  <c r="G408" i="12" s="1"/>
  <c r="E408" i="12"/>
  <c r="E407" i="12"/>
  <c r="F407" i="12" s="1"/>
  <c r="G407" i="12" s="1"/>
  <c r="G406" i="12"/>
  <c r="F406" i="12"/>
  <c r="E406" i="12"/>
  <c r="G405" i="12"/>
  <c r="F405" i="12"/>
  <c r="E405" i="12"/>
  <c r="F404" i="12"/>
  <c r="G404" i="12" s="1"/>
  <c r="E404" i="12"/>
  <c r="G403" i="12"/>
  <c r="E403" i="12"/>
  <c r="F403" i="12" s="1"/>
  <c r="E402" i="12"/>
  <c r="F402" i="12" s="1"/>
  <c r="G402" i="12" s="1"/>
  <c r="E401" i="12"/>
  <c r="F401" i="12" s="1"/>
  <c r="G401" i="12" s="1"/>
  <c r="F400" i="12"/>
  <c r="G400" i="12" s="1"/>
  <c r="E400" i="12"/>
  <c r="E399" i="12"/>
  <c r="F399" i="12" s="1"/>
  <c r="G399" i="12" s="1"/>
  <c r="F398" i="12"/>
  <c r="G398" i="12" s="1"/>
  <c r="E398" i="12"/>
  <c r="G397" i="12"/>
  <c r="F397" i="12"/>
  <c r="E397" i="12"/>
  <c r="F396" i="12"/>
  <c r="G396" i="12" s="1"/>
  <c r="E396" i="12"/>
  <c r="E395" i="12"/>
  <c r="F395" i="12" s="1"/>
  <c r="G395" i="12" s="1"/>
  <c r="E394" i="12"/>
  <c r="F394" i="12" s="1"/>
  <c r="G394" i="12" s="1"/>
  <c r="F393" i="12"/>
  <c r="G393" i="12" s="1"/>
  <c r="E393" i="12"/>
  <c r="F392" i="12"/>
  <c r="G392" i="12" s="1"/>
  <c r="E392" i="12"/>
  <c r="E391" i="12"/>
  <c r="F391" i="12" s="1"/>
  <c r="G391" i="12" s="1"/>
  <c r="G390" i="12"/>
  <c r="F390" i="12"/>
  <c r="E390" i="12"/>
  <c r="G389" i="12"/>
  <c r="F389" i="12"/>
  <c r="E389" i="12"/>
  <c r="F388" i="12"/>
  <c r="G388" i="12" s="1"/>
  <c r="E388" i="12"/>
  <c r="G387" i="12"/>
  <c r="E387" i="12"/>
  <c r="F387" i="12" s="1"/>
  <c r="E386" i="12"/>
  <c r="F386" i="12" s="1"/>
  <c r="G386" i="12" s="1"/>
  <c r="E385" i="12"/>
  <c r="F385" i="12" s="1"/>
  <c r="G385" i="12" s="1"/>
  <c r="F384" i="12"/>
  <c r="G384" i="12" s="1"/>
  <c r="E384" i="12"/>
  <c r="E383" i="12"/>
  <c r="F383" i="12" s="1"/>
  <c r="G383" i="12" s="1"/>
  <c r="G382" i="12"/>
  <c r="F382" i="12"/>
  <c r="E382" i="12"/>
  <c r="G381" i="12"/>
  <c r="F381" i="12"/>
  <c r="E381" i="12"/>
  <c r="E380" i="12"/>
  <c r="F380" i="12" s="1"/>
  <c r="G380" i="12" s="1"/>
  <c r="G379" i="12"/>
  <c r="E379" i="12"/>
  <c r="F379" i="12" s="1"/>
  <c r="E378" i="12"/>
  <c r="F378" i="12" s="1"/>
  <c r="G378" i="12" s="1"/>
  <c r="E377" i="12"/>
  <c r="F377" i="12" s="1"/>
  <c r="G377" i="12" s="1"/>
  <c r="F376" i="12"/>
  <c r="G376" i="12" s="1"/>
  <c r="E376" i="12"/>
  <c r="E375" i="12"/>
  <c r="F375" i="12" s="1"/>
  <c r="G375" i="12" s="1"/>
  <c r="G374" i="12"/>
  <c r="F374" i="12"/>
  <c r="E374" i="12"/>
  <c r="E373" i="12"/>
  <c r="F373" i="12" s="1"/>
  <c r="G373" i="12" s="1"/>
  <c r="F372" i="12"/>
  <c r="G372" i="12" s="1"/>
  <c r="E372" i="12"/>
  <c r="G371" i="12"/>
  <c r="E371" i="12"/>
  <c r="F371" i="12" s="1"/>
  <c r="E370" i="12"/>
  <c r="F370" i="12" s="1"/>
  <c r="G370" i="12" s="1"/>
  <c r="G369" i="12"/>
  <c r="F369" i="12"/>
  <c r="E369" i="12"/>
  <c r="F368" i="12"/>
  <c r="G368" i="12" s="1"/>
  <c r="E368" i="12"/>
  <c r="F367" i="12"/>
  <c r="G367" i="12" s="1"/>
  <c r="E367" i="12"/>
  <c r="F366" i="12"/>
  <c r="G366" i="12" s="1"/>
  <c r="E366" i="12"/>
  <c r="E365" i="12"/>
  <c r="F365" i="12" s="1"/>
  <c r="G365" i="12" s="1"/>
  <c r="E364" i="12"/>
  <c r="F364" i="12" s="1"/>
  <c r="G364" i="12" s="1"/>
  <c r="G363" i="12"/>
  <c r="E363" i="12"/>
  <c r="F363" i="12" s="1"/>
  <c r="E362" i="12"/>
  <c r="F362" i="12" s="1"/>
  <c r="G362" i="12" s="1"/>
  <c r="E361" i="12"/>
  <c r="F361" i="12" s="1"/>
  <c r="G361" i="12" s="1"/>
  <c r="F360" i="12"/>
  <c r="G360" i="12" s="1"/>
  <c r="E360" i="12"/>
  <c r="F359" i="12"/>
  <c r="G359" i="12" s="1"/>
  <c r="E359" i="12"/>
  <c r="G358" i="12"/>
  <c r="F358" i="12"/>
  <c r="E358" i="12"/>
  <c r="G357" i="12"/>
  <c r="E357" i="12"/>
  <c r="F357" i="12" s="1"/>
  <c r="F356" i="12"/>
  <c r="G356" i="12" s="1"/>
  <c r="E356" i="12"/>
  <c r="G355" i="12"/>
  <c r="E355" i="12"/>
  <c r="F355" i="12" s="1"/>
  <c r="E354" i="12"/>
  <c r="F354" i="12" s="1"/>
  <c r="G354" i="12" s="1"/>
  <c r="G353" i="12"/>
  <c r="F353" i="12"/>
  <c r="E353" i="12"/>
  <c r="F352" i="12"/>
  <c r="G352" i="12" s="1"/>
  <c r="E352" i="12"/>
  <c r="F351" i="12"/>
  <c r="G351" i="12" s="1"/>
  <c r="E351" i="12"/>
  <c r="F350" i="12"/>
  <c r="G350" i="12" s="1"/>
  <c r="E350" i="12"/>
  <c r="E349" i="12"/>
  <c r="F349" i="12" s="1"/>
  <c r="G349" i="12" s="1"/>
  <c r="G348" i="12"/>
  <c r="F348" i="12"/>
  <c r="E348" i="12"/>
  <c r="E347" i="12"/>
  <c r="F347" i="12" s="1"/>
  <c r="G347" i="12" s="1"/>
  <c r="E346" i="12"/>
  <c r="F346" i="12" s="1"/>
  <c r="G346" i="12" s="1"/>
  <c r="F345" i="12"/>
  <c r="G345" i="12" s="1"/>
  <c r="E345" i="12"/>
  <c r="F344" i="12"/>
  <c r="G344" i="12" s="1"/>
  <c r="E344" i="12"/>
  <c r="E343" i="12"/>
  <c r="F343" i="12" s="1"/>
  <c r="G343" i="12" s="1"/>
  <c r="G342" i="12"/>
  <c r="F342" i="12"/>
  <c r="E342" i="12"/>
  <c r="G341" i="12"/>
  <c r="E341" i="12"/>
  <c r="F341" i="12" s="1"/>
  <c r="F340" i="12"/>
  <c r="G340" i="12" s="1"/>
  <c r="E340" i="12"/>
  <c r="G339" i="12"/>
  <c r="F339" i="12"/>
  <c r="E339" i="12"/>
  <c r="E338" i="12"/>
  <c r="F338" i="12" s="1"/>
  <c r="G338" i="12" s="1"/>
  <c r="G337" i="12"/>
  <c r="E337" i="12"/>
  <c r="F337" i="12" s="1"/>
  <c r="G336" i="12"/>
  <c r="F336" i="12"/>
  <c r="E336" i="12"/>
  <c r="F335" i="12"/>
  <c r="G335" i="12" s="1"/>
  <c r="E335" i="12"/>
  <c r="G334" i="12"/>
  <c r="E334" i="12"/>
  <c r="F334" i="12" s="1"/>
  <c r="E333" i="12"/>
  <c r="F333" i="12" s="1"/>
  <c r="G333" i="12" s="1"/>
  <c r="F332" i="12"/>
  <c r="G332" i="12" s="1"/>
  <c r="E332" i="12"/>
  <c r="E331" i="12"/>
  <c r="F331" i="12" s="1"/>
  <c r="G331" i="12" s="1"/>
  <c r="E330" i="12"/>
  <c r="F330" i="12" s="1"/>
  <c r="G330" i="12" s="1"/>
  <c r="F329" i="12"/>
  <c r="G329" i="12" s="1"/>
  <c r="E329" i="12"/>
  <c r="G328" i="12"/>
  <c r="F328" i="12"/>
  <c r="E328" i="12"/>
  <c r="F327" i="12"/>
  <c r="G327" i="12" s="1"/>
  <c r="E327" i="12"/>
  <c r="F326" i="12"/>
  <c r="G326" i="12" s="1"/>
  <c r="E326" i="12"/>
  <c r="G325" i="12"/>
  <c r="E325" i="12"/>
  <c r="F325" i="12" s="1"/>
  <c r="E324" i="12"/>
  <c r="F324" i="12" s="1"/>
  <c r="G324" i="12" s="1"/>
  <c r="E323" i="12"/>
  <c r="F323" i="12" s="1"/>
  <c r="G323" i="12" s="1"/>
  <c r="E322" i="12"/>
  <c r="F322" i="12" s="1"/>
  <c r="G322" i="12" s="1"/>
  <c r="G321" i="12"/>
  <c r="E321" i="12"/>
  <c r="F321" i="12" s="1"/>
  <c r="F320" i="12"/>
  <c r="G320" i="12" s="1"/>
  <c r="E320" i="12"/>
  <c r="E319" i="12"/>
  <c r="F319" i="12" s="1"/>
  <c r="G319" i="12" s="1"/>
  <c r="E318" i="12"/>
  <c r="F318" i="12" s="1"/>
  <c r="G318" i="12" s="1"/>
  <c r="G317" i="12"/>
  <c r="E317" i="12"/>
  <c r="F317" i="12" s="1"/>
  <c r="G316" i="12"/>
  <c r="F316" i="12"/>
  <c r="E316" i="12"/>
  <c r="G315" i="12"/>
  <c r="E315" i="12"/>
  <c r="F315" i="12" s="1"/>
  <c r="E314" i="12"/>
  <c r="F314" i="12" s="1"/>
  <c r="G314" i="12" s="1"/>
  <c r="E313" i="12"/>
  <c r="F313" i="12" s="1"/>
  <c r="G313" i="12" s="1"/>
  <c r="G312" i="12"/>
  <c r="F312" i="12"/>
  <c r="E312" i="12"/>
  <c r="E311" i="12"/>
  <c r="F311" i="12" s="1"/>
  <c r="G311" i="12" s="1"/>
  <c r="E310" i="12"/>
  <c r="F310" i="12" s="1"/>
  <c r="G310" i="12" s="1"/>
  <c r="G309" i="12"/>
  <c r="E309" i="12"/>
  <c r="F309" i="12" s="1"/>
  <c r="F308" i="12"/>
  <c r="G308" i="12" s="1"/>
  <c r="E308" i="12"/>
  <c r="G307" i="12"/>
  <c r="F307" i="12"/>
  <c r="E307" i="12"/>
  <c r="E306" i="12"/>
  <c r="F306" i="12" s="1"/>
  <c r="G306" i="12" s="1"/>
  <c r="G305" i="12"/>
  <c r="E305" i="12"/>
  <c r="F305" i="12" s="1"/>
  <c r="G304" i="12"/>
  <c r="F304" i="12"/>
  <c r="E304" i="12"/>
  <c r="F303" i="12"/>
  <c r="G303" i="12" s="1"/>
  <c r="E303" i="12"/>
  <c r="G302" i="12"/>
  <c r="E302" i="12"/>
  <c r="F302" i="12" s="1"/>
  <c r="E301" i="12"/>
  <c r="F301" i="12" s="1"/>
  <c r="G301" i="12" s="1"/>
  <c r="F300" i="12"/>
  <c r="G300" i="12" s="1"/>
  <c r="E300" i="12"/>
  <c r="E299" i="12"/>
  <c r="F299" i="12" s="1"/>
  <c r="G299" i="12" s="1"/>
  <c r="E298" i="12"/>
  <c r="F298" i="12" s="1"/>
  <c r="G298" i="12" s="1"/>
  <c r="F297" i="12"/>
  <c r="G297" i="12" s="1"/>
  <c r="E297" i="12"/>
  <c r="G296" i="12"/>
  <c r="F296" i="12"/>
  <c r="E296" i="12"/>
  <c r="F295" i="12"/>
  <c r="G295" i="12" s="1"/>
  <c r="E295" i="12"/>
  <c r="F294" i="12"/>
  <c r="G294" i="12" s="1"/>
  <c r="E294" i="12"/>
  <c r="G293" i="12"/>
  <c r="E293" i="12"/>
  <c r="F293" i="12" s="1"/>
  <c r="E292" i="12"/>
  <c r="F292" i="12" s="1"/>
  <c r="G292" i="12" s="1"/>
  <c r="E291" i="12"/>
  <c r="F291" i="12" s="1"/>
  <c r="G291" i="12" s="1"/>
  <c r="E290" i="12"/>
  <c r="F290" i="12" s="1"/>
  <c r="G290" i="12" s="1"/>
  <c r="G289" i="12"/>
  <c r="E289" i="12"/>
  <c r="F289" i="12" s="1"/>
  <c r="F288" i="12"/>
  <c r="G288" i="12" s="1"/>
  <c r="E288" i="12"/>
  <c r="E287" i="12"/>
  <c r="F287" i="12" s="1"/>
  <c r="G287" i="12" s="1"/>
  <c r="E286" i="12"/>
  <c r="F286" i="12" s="1"/>
  <c r="G286" i="12" s="1"/>
  <c r="G285" i="12"/>
  <c r="E285" i="12"/>
  <c r="F285" i="12" s="1"/>
  <c r="G284" i="12"/>
  <c r="F284" i="12"/>
  <c r="E284" i="12"/>
  <c r="G283" i="12"/>
  <c r="E283" i="12"/>
  <c r="F283" i="12" s="1"/>
  <c r="E282" i="12"/>
  <c r="F282" i="12" s="1"/>
  <c r="G282" i="12" s="1"/>
  <c r="E281" i="12"/>
  <c r="F281" i="12" s="1"/>
  <c r="G281" i="12" s="1"/>
  <c r="G280" i="12"/>
  <c r="F280" i="12"/>
  <c r="E280" i="12"/>
  <c r="E279" i="12"/>
  <c r="F279" i="12" s="1"/>
  <c r="G279" i="12" s="1"/>
  <c r="E278" i="12"/>
  <c r="F278" i="12" s="1"/>
  <c r="G278" i="12" s="1"/>
  <c r="G277" i="12"/>
  <c r="E277" i="12"/>
  <c r="F277" i="12" s="1"/>
  <c r="F276" i="12"/>
  <c r="G276" i="12" s="1"/>
  <c r="E276" i="12"/>
  <c r="G275" i="12"/>
  <c r="F275" i="12"/>
  <c r="E275" i="12"/>
  <c r="E274" i="12"/>
  <c r="F274" i="12" s="1"/>
  <c r="G274" i="12" s="1"/>
  <c r="G273" i="12"/>
  <c r="E273" i="12"/>
  <c r="F273" i="12" s="1"/>
  <c r="G272" i="12"/>
  <c r="F272" i="12"/>
  <c r="E272" i="12"/>
  <c r="F271" i="12"/>
  <c r="G271" i="12" s="1"/>
  <c r="E271" i="12"/>
  <c r="G270" i="12"/>
  <c r="E270" i="12"/>
  <c r="F270" i="12" s="1"/>
  <c r="E269" i="12"/>
  <c r="F269" i="12" s="1"/>
  <c r="G269" i="12" s="1"/>
  <c r="F268" i="12"/>
  <c r="G268" i="12" s="1"/>
  <c r="E268" i="12"/>
  <c r="E267" i="12"/>
  <c r="F267" i="12" s="1"/>
  <c r="G267" i="12" s="1"/>
  <c r="E266" i="12"/>
  <c r="F266" i="12" s="1"/>
  <c r="G266" i="12" s="1"/>
  <c r="F265" i="12"/>
  <c r="G265" i="12" s="1"/>
  <c r="E265" i="12"/>
  <c r="G264" i="12"/>
  <c r="F264" i="12"/>
  <c r="E264" i="12"/>
  <c r="E263" i="12"/>
  <c r="F263" i="12" s="1"/>
  <c r="G263" i="12" s="1"/>
  <c r="F262" i="12"/>
  <c r="G262" i="12" s="1"/>
  <c r="E262" i="12"/>
  <c r="G261" i="12"/>
  <c r="E261" i="12"/>
  <c r="F261" i="12" s="1"/>
  <c r="E260" i="12"/>
  <c r="F260" i="12" s="1"/>
  <c r="G260" i="12" s="1"/>
  <c r="G259" i="12"/>
  <c r="E259" i="12"/>
  <c r="F259" i="12" s="1"/>
  <c r="E258" i="12"/>
  <c r="F258" i="12" s="1"/>
  <c r="G258" i="12" s="1"/>
  <c r="G257" i="12"/>
  <c r="E257" i="12"/>
  <c r="F257" i="12" s="1"/>
  <c r="F256" i="12"/>
  <c r="G256" i="12" s="1"/>
  <c r="E256" i="12"/>
  <c r="E255" i="12"/>
  <c r="F255" i="12" s="1"/>
  <c r="G255" i="12" s="1"/>
  <c r="E254" i="12"/>
  <c r="F254" i="12" s="1"/>
  <c r="G254" i="12" s="1"/>
  <c r="G253" i="12"/>
  <c r="E253" i="12"/>
  <c r="F253" i="12" s="1"/>
  <c r="G252" i="12"/>
  <c r="F252" i="12"/>
  <c r="E252" i="12"/>
  <c r="G251" i="12"/>
  <c r="E251" i="12"/>
  <c r="F251" i="12" s="1"/>
  <c r="E250" i="12"/>
  <c r="F250" i="12" s="1"/>
  <c r="G250" i="12" s="1"/>
  <c r="E249" i="12"/>
  <c r="F249" i="12" s="1"/>
  <c r="G249" i="12" s="1"/>
  <c r="G248" i="12"/>
  <c r="F248" i="12"/>
  <c r="E248" i="12"/>
  <c r="E247" i="12"/>
  <c r="F247" i="12" s="1"/>
  <c r="G247" i="12" s="1"/>
  <c r="E246" i="12"/>
  <c r="F246" i="12" s="1"/>
  <c r="G246" i="12" s="1"/>
  <c r="G245" i="12"/>
  <c r="E245" i="12"/>
  <c r="F245" i="12" s="1"/>
  <c r="F244" i="12"/>
  <c r="G244" i="12" s="1"/>
  <c r="E244" i="12"/>
  <c r="F243" i="12"/>
  <c r="G243" i="12" s="1"/>
  <c r="E243" i="12"/>
  <c r="E242" i="12"/>
  <c r="F242" i="12" s="1"/>
  <c r="G242" i="12" s="1"/>
  <c r="G241" i="12"/>
  <c r="E241" i="12"/>
  <c r="F241" i="12" s="1"/>
  <c r="G240" i="12"/>
  <c r="F240" i="12"/>
  <c r="E240" i="12"/>
  <c r="F239" i="12"/>
  <c r="G239" i="12" s="1"/>
  <c r="E239" i="12"/>
  <c r="G238" i="12"/>
  <c r="E238" i="12"/>
  <c r="F238" i="12" s="1"/>
  <c r="E237" i="12"/>
  <c r="F237" i="12" s="1"/>
  <c r="G237" i="12" s="1"/>
  <c r="F236" i="12"/>
  <c r="G236" i="12" s="1"/>
  <c r="E236" i="12"/>
  <c r="E235" i="12"/>
  <c r="F235" i="12" s="1"/>
  <c r="G235" i="12" s="1"/>
  <c r="E234" i="12"/>
  <c r="F234" i="12" s="1"/>
  <c r="G234" i="12" s="1"/>
  <c r="F233" i="12"/>
  <c r="G233" i="12" s="1"/>
  <c r="E233" i="12"/>
  <c r="G232" i="12"/>
  <c r="F232" i="12"/>
  <c r="E232" i="12"/>
  <c r="E231" i="12"/>
  <c r="F231" i="12" s="1"/>
  <c r="G231" i="12" s="1"/>
  <c r="F230" i="12"/>
  <c r="G230" i="12" s="1"/>
  <c r="E230" i="12"/>
  <c r="G229" i="12"/>
  <c r="E229" i="12"/>
  <c r="F229" i="12" s="1"/>
  <c r="E228" i="12"/>
  <c r="F228" i="12" s="1"/>
  <c r="G228" i="12" s="1"/>
  <c r="G227" i="12"/>
  <c r="E227" i="12"/>
  <c r="F227" i="12" s="1"/>
  <c r="E226" i="12"/>
  <c r="F226" i="12" s="1"/>
  <c r="G226" i="12" s="1"/>
  <c r="G225" i="12"/>
  <c r="E225" i="12"/>
  <c r="F225" i="12" s="1"/>
  <c r="F224" i="12"/>
  <c r="G224" i="12" s="1"/>
  <c r="E224" i="12"/>
  <c r="E223" i="12"/>
  <c r="F223" i="12" s="1"/>
  <c r="G223" i="12" s="1"/>
  <c r="E222" i="12"/>
  <c r="F222" i="12" s="1"/>
  <c r="G222" i="12" s="1"/>
  <c r="G221" i="12"/>
  <c r="E221" i="12"/>
  <c r="F221" i="12" s="1"/>
  <c r="G220" i="12"/>
  <c r="F220" i="12"/>
  <c r="E220" i="12"/>
  <c r="G219" i="12"/>
  <c r="E219" i="12"/>
  <c r="F219" i="12" s="1"/>
  <c r="E218" i="12"/>
  <c r="F218" i="12" s="1"/>
  <c r="G218" i="12" s="1"/>
  <c r="G217" i="12"/>
  <c r="E217" i="12"/>
  <c r="F217" i="12" s="1"/>
  <c r="G216" i="12"/>
  <c r="F216" i="12"/>
  <c r="E216" i="12"/>
  <c r="E215" i="12"/>
  <c r="F215" i="12" s="1"/>
  <c r="G215" i="12" s="1"/>
  <c r="E214" i="12"/>
  <c r="F214" i="12" s="1"/>
  <c r="G214" i="12" s="1"/>
  <c r="G213" i="12"/>
  <c r="E213" i="12"/>
  <c r="F213" i="12" s="1"/>
  <c r="F212" i="12"/>
  <c r="G212" i="12" s="1"/>
  <c r="E212" i="12"/>
  <c r="G211" i="12"/>
  <c r="F211" i="12"/>
  <c r="E211" i="12"/>
  <c r="E210" i="12"/>
  <c r="F210" i="12" s="1"/>
  <c r="G210" i="12" s="1"/>
  <c r="G209" i="12"/>
  <c r="E209" i="12"/>
  <c r="F209" i="12" s="1"/>
  <c r="G208" i="12"/>
  <c r="F208" i="12"/>
  <c r="E208" i="12"/>
  <c r="F207" i="12"/>
  <c r="G207" i="12" s="1"/>
  <c r="E207" i="12"/>
  <c r="G206" i="12"/>
  <c r="E206" i="12"/>
  <c r="F206" i="12" s="1"/>
  <c r="E205" i="12"/>
  <c r="F205" i="12" s="1"/>
  <c r="G205" i="12" s="1"/>
  <c r="F204" i="12"/>
  <c r="G204" i="12" s="1"/>
  <c r="E204" i="12"/>
  <c r="E203" i="12"/>
  <c r="F203" i="12" s="1"/>
  <c r="G203" i="12" s="1"/>
  <c r="E202" i="12"/>
  <c r="F202" i="12" s="1"/>
  <c r="G202" i="12" s="1"/>
  <c r="F201" i="12"/>
  <c r="G201" i="12" s="1"/>
  <c r="E201" i="12"/>
  <c r="G200" i="12"/>
  <c r="F200" i="12"/>
  <c r="E200" i="12"/>
  <c r="E199" i="12"/>
  <c r="F199" i="12" s="1"/>
  <c r="G199" i="12" s="1"/>
  <c r="F198" i="12"/>
  <c r="G198" i="12" s="1"/>
  <c r="E198" i="12"/>
  <c r="G197" i="12"/>
  <c r="E197" i="12"/>
  <c r="F197" i="12" s="1"/>
  <c r="E196" i="12"/>
  <c r="F196" i="12" s="1"/>
  <c r="G196" i="12" s="1"/>
  <c r="G195" i="12"/>
  <c r="E195" i="12"/>
  <c r="F195" i="12" s="1"/>
  <c r="E194" i="12"/>
  <c r="F194" i="12" s="1"/>
  <c r="G194" i="12" s="1"/>
  <c r="G193" i="12"/>
  <c r="E193" i="12"/>
  <c r="F193" i="12" s="1"/>
  <c r="F192" i="12"/>
  <c r="G192" i="12" s="1"/>
  <c r="E192" i="12"/>
  <c r="E191" i="12"/>
  <c r="F191" i="12" s="1"/>
  <c r="G191" i="12" s="1"/>
  <c r="E190" i="12"/>
  <c r="F190" i="12" s="1"/>
  <c r="G190" i="12" s="1"/>
  <c r="G189" i="12"/>
  <c r="E189" i="12"/>
  <c r="F189" i="12" s="1"/>
  <c r="G188" i="12"/>
  <c r="F188" i="12"/>
  <c r="E188" i="12"/>
  <c r="G187" i="12"/>
  <c r="E187" i="12"/>
  <c r="F187" i="12" s="1"/>
  <c r="E186" i="12"/>
  <c r="F186" i="12" s="1"/>
  <c r="G186" i="12" s="1"/>
  <c r="E185" i="12"/>
  <c r="F185" i="12" s="1"/>
  <c r="G185" i="12" s="1"/>
  <c r="G184" i="12"/>
  <c r="F184" i="12"/>
  <c r="E184" i="12"/>
  <c r="E183" i="12"/>
  <c r="F183" i="12" s="1"/>
  <c r="G183" i="12" s="1"/>
  <c r="E182" i="12"/>
  <c r="F182" i="12" s="1"/>
  <c r="G182" i="12" s="1"/>
  <c r="G181" i="12"/>
  <c r="E181" i="12"/>
  <c r="F181" i="12" s="1"/>
  <c r="F180" i="12"/>
  <c r="G180" i="12" s="1"/>
  <c r="E180" i="12"/>
  <c r="G179" i="12"/>
  <c r="F179" i="12"/>
  <c r="E179" i="12"/>
  <c r="E178" i="12"/>
  <c r="F178" i="12" s="1"/>
  <c r="G178" i="12" s="1"/>
  <c r="G177" i="12"/>
  <c r="E177" i="12"/>
  <c r="F177" i="12" s="1"/>
  <c r="G176" i="12"/>
  <c r="F176" i="12"/>
  <c r="E176" i="12"/>
  <c r="F175" i="12"/>
  <c r="G175" i="12" s="1"/>
  <c r="E175" i="12"/>
  <c r="G174" i="12"/>
  <c r="E174" i="12"/>
  <c r="F174" i="12" s="1"/>
  <c r="E173" i="12"/>
  <c r="F173" i="12" s="1"/>
  <c r="G173" i="12" s="1"/>
  <c r="F172" i="12"/>
  <c r="G172" i="12" s="1"/>
  <c r="E172" i="12"/>
  <c r="E171" i="12"/>
  <c r="F171" i="12" s="1"/>
  <c r="G171" i="12" s="1"/>
  <c r="E170" i="12"/>
  <c r="F170" i="12" s="1"/>
  <c r="G170" i="12" s="1"/>
  <c r="F169" i="12"/>
  <c r="G169" i="12" s="1"/>
  <c r="E169" i="12"/>
  <c r="F168" i="12"/>
  <c r="G168" i="12" s="1"/>
  <c r="E168" i="12"/>
  <c r="E167" i="12"/>
  <c r="F167" i="12" s="1"/>
  <c r="G167" i="12" s="1"/>
  <c r="F166" i="12"/>
  <c r="G166" i="12" s="1"/>
  <c r="E166" i="12"/>
  <c r="G165" i="12"/>
  <c r="E165" i="12"/>
  <c r="F165" i="12" s="1"/>
  <c r="E164" i="12"/>
  <c r="F164" i="12" s="1"/>
  <c r="G164" i="12" s="1"/>
  <c r="G163" i="12"/>
  <c r="E163" i="12"/>
  <c r="F163" i="12" s="1"/>
  <c r="E162" i="12"/>
  <c r="F162" i="12" s="1"/>
  <c r="G162" i="12" s="1"/>
  <c r="G161" i="12"/>
  <c r="E161" i="12"/>
  <c r="F161" i="12" s="1"/>
  <c r="F160" i="12"/>
  <c r="G160" i="12" s="1"/>
  <c r="E160" i="12"/>
  <c r="E159" i="12"/>
  <c r="F159" i="12" s="1"/>
  <c r="G159" i="12" s="1"/>
  <c r="E158" i="12"/>
  <c r="F158" i="12" s="1"/>
  <c r="G158" i="12" s="1"/>
  <c r="G157" i="12"/>
  <c r="E157" i="12"/>
  <c r="F157" i="12" s="1"/>
  <c r="G156" i="12"/>
  <c r="F156" i="12"/>
  <c r="E156" i="12"/>
  <c r="G155" i="12"/>
  <c r="E155" i="12"/>
  <c r="F155" i="12" s="1"/>
  <c r="E154" i="12"/>
  <c r="F154" i="12" s="1"/>
  <c r="G154" i="12" s="1"/>
  <c r="E153" i="12"/>
  <c r="F153" i="12" s="1"/>
  <c r="G153" i="12" s="1"/>
  <c r="G152" i="12"/>
  <c r="F152" i="12"/>
  <c r="E152" i="12"/>
  <c r="E151" i="12"/>
  <c r="F151" i="12" s="1"/>
  <c r="G151" i="12" s="1"/>
  <c r="G150" i="12"/>
  <c r="E150" i="12"/>
  <c r="F150" i="12" s="1"/>
  <c r="G149" i="12"/>
  <c r="E149" i="12"/>
  <c r="F149" i="12" s="1"/>
  <c r="F148" i="12"/>
  <c r="G148" i="12" s="1"/>
  <c r="E148" i="12"/>
  <c r="G147" i="12"/>
  <c r="F147" i="12"/>
  <c r="E147" i="12"/>
  <c r="F146" i="12"/>
  <c r="G146" i="12" s="1"/>
  <c r="E146" i="12"/>
  <c r="E145" i="12"/>
  <c r="F145" i="12" s="1"/>
  <c r="G145" i="12" s="1"/>
  <c r="F144" i="12"/>
  <c r="G144" i="12" s="1"/>
  <c r="E144" i="12"/>
  <c r="F143" i="12"/>
  <c r="G143" i="12" s="1"/>
  <c r="E143" i="12"/>
  <c r="F142" i="12"/>
  <c r="G142" i="12" s="1"/>
  <c r="E142" i="12"/>
  <c r="E141" i="12"/>
  <c r="F141" i="12" s="1"/>
  <c r="G141" i="12" s="1"/>
  <c r="F140" i="12"/>
  <c r="G140" i="12" s="1"/>
  <c r="E140" i="12"/>
  <c r="F139" i="12"/>
  <c r="G139" i="12" s="1"/>
  <c r="E139" i="12"/>
  <c r="F138" i="12"/>
  <c r="G138" i="12" s="1"/>
  <c r="E138" i="12"/>
  <c r="F137" i="12"/>
  <c r="G137" i="12" s="1"/>
  <c r="E137" i="12"/>
  <c r="F136" i="12"/>
  <c r="G136" i="12" s="1"/>
  <c r="E136" i="12"/>
  <c r="G135" i="12"/>
  <c r="F135" i="12"/>
  <c r="E135" i="12"/>
  <c r="G134" i="12"/>
  <c r="E134" i="12"/>
  <c r="F134" i="12" s="1"/>
  <c r="E133" i="12"/>
  <c r="F133" i="12" s="1"/>
  <c r="G133" i="12" s="1"/>
  <c r="F132" i="12"/>
  <c r="G132" i="12" s="1"/>
  <c r="E132" i="12"/>
  <c r="E131" i="12"/>
  <c r="F131" i="12" s="1"/>
  <c r="G131" i="12" s="1"/>
  <c r="F130" i="12"/>
  <c r="G130" i="12" s="1"/>
  <c r="E130" i="12"/>
  <c r="G129" i="12"/>
  <c r="E129" i="12"/>
  <c r="F129" i="12" s="1"/>
  <c r="G128" i="12"/>
  <c r="F128" i="12"/>
  <c r="E128" i="12"/>
  <c r="G127" i="12"/>
  <c r="E127" i="12"/>
  <c r="F127" i="12" s="1"/>
  <c r="F126" i="12"/>
  <c r="G126" i="12" s="1"/>
  <c r="E126" i="12"/>
  <c r="E125" i="12"/>
  <c r="F125" i="12" s="1"/>
  <c r="G125" i="12" s="1"/>
  <c r="G124" i="12"/>
  <c r="F124" i="12"/>
  <c r="E124" i="12"/>
  <c r="G123" i="12"/>
  <c r="E123" i="12"/>
  <c r="F123" i="12" s="1"/>
  <c r="E122" i="12"/>
  <c r="F122" i="12" s="1"/>
  <c r="G122" i="12" s="1"/>
  <c r="F121" i="12"/>
  <c r="G121" i="12" s="1"/>
  <c r="E121" i="12"/>
  <c r="F120" i="12"/>
  <c r="G120" i="12" s="1"/>
  <c r="E120" i="12"/>
  <c r="E119" i="12"/>
  <c r="F119" i="12" s="1"/>
  <c r="G119" i="12" s="1"/>
  <c r="E118" i="12"/>
  <c r="F118" i="12" s="1"/>
  <c r="G118" i="12" s="1"/>
  <c r="E117" i="12"/>
  <c r="F117" i="12" s="1"/>
  <c r="G117" i="12" s="1"/>
  <c r="E116" i="12"/>
  <c r="F116" i="12" s="1"/>
  <c r="G116" i="12" s="1"/>
  <c r="G115" i="12"/>
  <c r="E115" i="12"/>
  <c r="F115" i="12" s="1"/>
  <c r="F114" i="12"/>
  <c r="G114" i="12" s="1"/>
  <c r="E114" i="12"/>
  <c r="F113" i="12"/>
  <c r="G113" i="12" s="1"/>
  <c r="E113" i="12"/>
  <c r="G112" i="12"/>
  <c r="F112" i="12"/>
  <c r="E112" i="12"/>
  <c r="G111" i="12"/>
  <c r="F111" i="12"/>
  <c r="E111" i="12"/>
  <c r="E110" i="12"/>
  <c r="F110" i="12" s="1"/>
  <c r="G110" i="12" s="1"/>
  <c r="G109" i="12"/>
  <c r="E109" i="12"/>
  <c r="F109" i="12" s="1"/>
  <c r="G108" i="12"/>
  <c r="F108" i="12"/>
  <c r="E108" i="12"/>
  <c r="G107" i="12"/>
  <c r="E107" i="12"/>
  <c r="F107" i="12" s="1"/>
  <c r="F106" i="12"/>
  <c r="G106" i="12" s="1"/>
  <c r="E106" i="12"/>
  <c r="F105" i="12"/>
  <c r="G105" i="12" s="1"/>
  <c r="E105" i="12"/>
  <c r="G104" i="12"/>
  <c r="F104" i="12"/>
  <c r="E104" i="12"/>
  <c r="G103" i="12"/>
  <c r="E103" i="12"/>
  <c r="F103" i="12" s="1"/>
  <c r="G102" i="12"/>
  <c r="E102" i="12"/>
  <c r="F102" i="12" s="1"/>
  <c r="G101" i="12"/>
  <c r="E101" i="12"/>
  <c r="F101" i="12" s="1"/>
  <c r="G100" i="12"/>
  <c r="F100" i="12"/>
  <c r="E100" i="12"/>
  <c r="G99" i="12"/>
  <c r="E99" i="12"/>
  <c r="F99" i="12" s="1"/>
  <c r="E98" i="12"/>
  <c r="F98" i="12" s="1"/>
  <c r="G98" i="12" s="1"/>
  <c r="F97" i="12"/>
  <c r="G97" i="12" s="1"/>
  <c r="E97" i="12"/>
  <c r="G96" i="12"/>
  <c r="F96" i="12"/>
  <c r="E96" i="12"/>
  <c r="F95" i="12"/>
  <c r="G95" i="12" s="1"/>
  <c r="E95" i="12"/>
  <c r="G94" i="12"/>
  <c r="F94" i="12"/>
  <c r="E94" i="12"/>
  <c r="E93" i="12"/>
  <c r="F93" i="12" s="1"/>
  <c r="G93" i="12" s="1"/>
  <c r="E92" i="12"/>
  <c r="F92" i="12" s="1"/>
  <c r="G92" i="12" s="1"/>
  <c r="F91" i="12"/>
  <c r="G91" i="12" s="1"/>
  <c r="E91" i="12"/>
  <c r="E90" i="12"/>
  <c r="F90" i="12" s="1"/>
  <c r="G90" i="12" s="1"/>
  <c r="G89" i="12"/>
  <c r="F89" i="12"/>
  <c r="E89" i="12"/>
  <c r="G88" i="12"/>
  <c r="F88" i="12"/>
  <c r="E88" i="12"/>
  <c r="F87" i="12"/>
  <c r="G87" i="12" s="1"/>
  <c r="E87" i="12"/>
  <c r="G86" i="12"/>
  <c r="F86" i="12"/>
  <c r="E86" i="12"/>
  <c r="G85" i="12"/>
  <c r="E85" i="12"/>
  <c r="F85" i="12" s="1"/>
  <c r="F84" i="12"/>
  <c r="G84" i="12" s="1"/>
  <c r="E84" i="12"/>
  <c r="F83" i="12"/>
  <c r="G83" i="12" s="1"/>
  <c r="E83" i="12"/>
  <c r="E82" i="12"/>
  <c r="F82" i="12" s="1"/>
  <c r="G82" i="12" s="1"/>
  <c r="E81" i="12"/>
  <c r="F81" i="12" s="1"/>
  <c r="G81" i="12" s="1"/>
  <c r="G80" i="12"/>
  <c r="F80" i="12"/>
  <c r="E80" i="12"/>
  <c r="G79" i="12"/>
  <c r="F79" i="12"/>
  <c r="E79" i="12"/>
  <c r="F78" i="12"/>
  <c r="G78" i="12" s="1"/>
  <c r="E78" i="12"/>
  <c r="E77" i="12"/>
  <c r="F77" i="12" s="1"/>
  <c r="G77" i="12" s="1"/>
  <c r="G76" i="12"/>
  <c r="F76" i="12"/>
  <c r="E76" i="12"/>
  <c r="F75" i="12"/>
  <c r="G75" i="12" s="1"/>
  <c r="E75" i="12"/>
  <c r="E74" i="12"/>
  <c r="F74" i="12" s="1"/>
  <c r="G74" i="12" s="1"/>
  <c r="G73" i="12"/>
  <c r="F73" i="12"/>
  <c r="E73" i="12"/>
  <c r="F72" i="12"/>
  <c r="G72" i="12" s="1"/>
  <c r="E72" i="12"/>
  <c r="F71" i="12"/>
  <c r="G71" i="12" s="1"/>
  <c r="E71" i="12"/>
  <c r="E70" i="12"/>
  <c r="F70" i="12" s="1"/>
  <c r="G70" i="12" s="1"/>
  <c r="E69" i="12"/>
  <c r="F69" i="12" s="1"/>
  <c r="G69" i="12" s="1"/>
  <c r="E68" i="12"/>
  <c r="F68" i="12" s="1"/>
  <c r="G68" i="12" s="1"/>
  <c r="G67" i="12"/>
  <c r="E67" i="12"/>
  <c r="F67" i="12" s="1"/>
  <c r="F66" i="12"/>
  <c r="G66" i="12" s="1"/>
  <c r="E66" i="12"/>
  <c r="G65" i="12"/>
  <c r="F65" i="12"/>
  <c r="E65" i="12"/>
  <c r="G64" i="12"/>
  <c r="F64" i="12"/>
  <c r="E64" i="12"/>
  <c r="G63" i="12"/>
  <c r="E63" i="12"/>
  <c r="F63" i="12" s="1"/>
  <c r="G62" i="12"/>
  <c r="E62" i="12"/>
  <c r="F62" i="12" s="1"/>
  <c r="E61" i="12"/>
  <c r="F61" i="12" s="1"/>
  <c r="G61" i="12" s="1"/>
  <c r="F60" i="12"/>
  <c r="G60" i="12" s="1"/>
  <c r="E60" i="12"/>
  <c r="F59" i="12"/>
  <c r="G59" i="12" s="1"/>
  <c r="E59" i="12"/>
  <c r="F58" i="12"/>
  <c r="G58" i="12" s="1"/>
  <c r="E58" i="12"/>
  <c r="F57" i="12"/>
  <c r="G57" i="12" s="1"/>
  <c r="E57" i="12"/>
  <c r="G56" i="12"/>
  <c r="F56" i="12"/>
  <c r="E56" i="12"/>
  <c r="F55" i="12"/>
  <c r="G55" i="12" s="1"/>
  <c r="E55" i="12"/>
  <c r="E54" i="12"/>
  <c r="F54" i="12" s="1"/>
  <c r="G54" i="12" s="1"/>
  <c r="G53" i="12"/>
  <c r="E53" i="12"/>
  <c r="F53" i="12" s="1"/>
  <c r="G52" i="12"/>
  <c r="F52" i="12"/>
  <c r="E52" i="12"/>
  <c r="G51" i="12"/>
  <c r="E51" i="12"/>
  <c r="F51" i="12" s="1"/>
  <c r="F50" i="12"/>
  <c r="G50" i="12" s="1"/>
  <c r="E50" i="12"/>
  <c r="F49" i="12"/>
  <c r="G49" i="12" s="1"/>
  <c r="E49" i="12"/>
  <c r="G48" i="12"/>
  <c r="F48" i="12"/>
  <c r="E48" i="12"/>
  <c r="G47" i="12"/>
  <c r="E47" i="12"/>
  <c r="F47" i="12" s="1"/>
  <c r="E46" i="12"/>
  <c r="F46" i="12" s="1"/>
  <c r="G46" i="12" s="1"/>
  <c r="E45" i="12"/>
  <c r="F45" i="12" s="1"/>
  <c r="G45" i="12" s="1"/>
  <c r="G44" i="12"/>
  <c r="E44" i="12"/>
  <c r="F44" i="12" s="1"/>
  <c r="E43" i="12"/>
  <c r="F43" i="12" s="1"/>
  <c r="G43" i="12" s="1"/>
  <c r="E42" i="12"/>
  <c r="F42" i="12" s="1"/>
  <c r="G42" i="12" s="1"/>
  <c r="E41" i="12"/>
  <c r="F41" i="12" s="1"/>
  <c r="G41" i="12" s="1"/>
  <c r="G40" i="12"/>
  <c r="F40" i="12"/>
  <c r="E40" i="12"/>
  <c r="E39" i="12"/>
  <c r="F39" i="12" s="1"/>
  <c r="G39" i="12" s="1"/>
  <c r="F38" i="12"/>
  <c r="G38" i="12" s="1"/>
  <c r="E38" i="12"/>
  <c r="E37" i="12"/>
  <c r="F37" i="12" s="1"/>
  <c r="G37" i="12" s="1"/>
  <c r="E36" i="12"/>
  <c r="F36" i="12" s="1"/>
  <c r="G36" i="12" s="1"/>
  <c r="F35" i="12"/>
  <c r="G35" i="12" s="1"/>
  <c r="E35" i="12"/>
  <c r="E34" i="12"/>
  <c r="F34" i="12" s="1"/>
  <c r="G34" i="12" s="1"/>
  <c r="F33" i="12"/>
  <c r="G33" i="12" s="1"/>
  <c r="E33" i="12"/>
  <c r="F32" i="12"/>
  <c r="G32" i="12" s="1"/>
  <c r="E32" i="12"/>
  <c r="F31" i="12"/>
  <c r="G31" i="12" s="1"/>
  <c r="E31" i="12"/>
  <c r="F30" i="12"/>
  <c r="G30" i="12" s="1"/>
  <c r="E30" i="12"/>
  <c r="E29" i="12"/>
  <c r="F29" i="12" s="1"/>
  <c r="G29" i="12" s="1"/>
  <c r="F28" i="12"/>
  <c r="G28" i="12" s="1"/>
  <c r="E28" i="12"/>
  <c r="G27" i="12"/>
  <c r="F27" i="12"/>
  <c r="E27" i="12"/>
  <c r="F26" i="12"/>
  <c r="G26" i="12" s="1"/>
  <c r="E26" i="12"/>
  <c r="F25" i="12"/>
  <c r="G25" i="12" s="1"/>
  <c r="E25" i="12"/>
  <c r="G24" i="12"/>
  <c r="F24" i="12"/>
  <c r="E24" i="12"/>
  <c r="G23" i="12"/>
  <c r="F23" i="12"/>
  <c r="E23" i="12"/>
  <c r="G22" i="12"/>
  <c r="E22" i="12"/>
  <c r="F22" i="12" s="1"/>
  <c r="G21" i="12"/>
  <c r="E21" i="12"/>
  <c r="F21" i="12" s="1"/>
  <c r="F20" i="12"/>
  <c r="G20" i="12" s="1"/>
  <c r="E20" i="12"/>
  <c r="E19" i="12"/>
  <c r="F19" i="12" s="1"/>
  <c r="G19" i="12" s="1"/>
  <c r="F18" i="12"/>
  <c r="G18" i="12" s="1"/>
  <c r="E18" i="12"/>
  <c r="G17" i="12"/>
  <c r="F17" i="12"/>
  <c r="E17" i="12"/>
  <c r="G16" i="12"/>
  <c r="F16" i="12"/>
  <c r="E16" i="12"/>
  <c r="E15" i="12"/>
  <c r="F15" i="12" s="1"/>
  <c r="G15" i="12" s="1"/>
  <c r="G14" i="12"/>
  <c r="E14" i="12"/>
  <c r="F14" i="12" s="1"/>
  <c r="E13" i="12"/>
  <c r="F13" i="12" s="1"/>
  <c r="G13" i="12" s="1"/>
  <c r="G12" i="12"/>
  <c r="E12" i="12"/>
  <c r="F12" i="12" s="1"/>
  <c r="G11" i="12"/>
  <c r="E11" i="12"/>
  <c r="F11" i="12" s="1"/>
  <c r="E10" i="12"/>
  <c r="F10" i="12" s="1"/>
  <c r="G10" i="12" s="1"/>
  <c r="G9" i="12"/>
  <c r="E9" i="12"/>
  <c r="F9" i="12" s="1"/>
  <c r="G8" i="12"/>
  <c r="F8" i="12"/>
  <c r="E8" i="12"/>
  <c r="F7" i="12"/>
  <c r="G7" i="12" s="1"/>
  <c r="E7" i="12"/>
  <c r="F6" i="12"/>
  <c r="G6" i="12" s="1"/>
  <c r="E6" i="12"/>
  <c r="E5" i="12"/>
  <c r="F5" i="12" s="1"/>
  <c r="G5" i="12" s="1"/>
  <c r="F4" i="12"/>
  <c r="G4" i="12" s="1"/>
  <c r="E4" i="12"/>
  <c r="E3" i="12"/>
  <c r="F3" i="12" s="1"/>
  <c r="G3" i="12" s="1"/>
  <c r="E2" i="12"/>
  <c r="F2" i="12" s="1"/>
  <c r="G2" i="12" s="1"/>
  <c r="J46" i="11"/>
  <c r="J45" i="11"/>
  <c r="J44" i="11"/>
  <c r="J43" i="11"/>
  <c r="J42" i="11"/>
  <c r="J41" i="11"/>
  <c r="J40" i="11"/>
  <c r="J39" i="11"/>
  <c r="J38" i="11"/>
  <c r="J37" i="11"/>
  <c r="J36" i="11"/>
  <c r="J35" i="11"/>
  <c r="J34" i="11"/>
  <c r="J33" i="11"/>
  <c r="J32" i="11"/>
  <c r="J31" i="11"/>
  <c r="J30" i="11"/>
  <c r="J29" i="11"/>
  <c r="J28" i="1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J3" i="11"/>
  <c r="J2" i="11"/>
  <c r="J81" i="9"/>
  <c r="J80" i="9"/>
  <c r="J79" i="9"/>
  <c r="J78" i="9"/>
  <c r="J77" i="9"/>
  <c r="J76" i="9"/>
  <c r="J75" i="9"/>
  <c r="J74" i="9"/>
  <c r="J73" i="9"/>
  <c r="J72" i="9"/>
  <c r="J71" i="9"/>
  <c r="J70" i="9"/>
  <c r="J69" i="9"/>
  <c r="J68" i="9"/>
  <c r="J67" i="9"/>
  <c r="J66" i="9"/>
  <c r="J65" i="9"/>
  <c r="J64" i="9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3" i="9"/>
  <c r="J2" i="9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K816" i="7"/>
  <c r="J816" i="7"/>
  <c r="I816" i="7"/>
  <c r="H816" i="7"/>
  <c r="K815" i="7"/>
  <c r="J815" i="7"/>
  <c r="H815" i="7"/>
  <c r="I815" i="7" s="1"/>
  <c r="K814" i="7"/>
  <c r="J814" i="7"/>
  <c r="I814" i="7"/>
  <c r="H814" i="7"/>
  <c r="K813" i="7"/>
  <c r="J813" i="7"/>
  <c r="H813" i="7"/>
  <c r="I813" i="7" s="1"/>
  <c r="K812" i="7"/>
  <c r="J812" i="7"/>
  <c r="I812" i="7"/>
  <c r="H812" i="7"/>
  <c r="K811" i="7"/>
  <c r="J811" i="7"/>
  <c r="H811" i="7"/>
  <c r="I811" i="7" s="1"/>
  <c r="K810" i="7"/>
  <c r="J810" i="7"/>
  <c r="I810" i="7"/>
  <c r="H810" i="7"/>
  <c r="K809" i="7"/>
  <c r="J809" i="7"/>
  <c r="H809" i="7"/>
  <c r="I809" i="7" s="1"/>
  <c r="K808" i="7"/>
  <c r="J808" i="7"/>
  <c r="I808" i="7"/>
  <c r="H808" i="7"/>
  <c r="K807" i="7"/>
  <c r="J807" i="7"/>
  <c r="H807" i="7"/>
  <c r="I807" i="7" s="1"/>
  <c r="K806" i="7"/>
  <c r="J806" i="7"/>
  <c r="I806" i="7"/>
  <c r="H806" i="7"/>
  <c r="K805" i="7"/>
  <c r="J805" i="7"/>
  <c r="H805" i="7"/>
  <c r="I805" i="7" s="1"/>
  <c r="K804" i="7"/>
  <c r="J804" i="7"/>
  <c r="I804" i="7"/>
  <c r="H804" i="7"/>
  <c r="K803" i="7"/>
  <c r="J803" i="7"/>
  <c r="H803" i="7"/>
  <c r="I803" i="7" s="1"/>
  <c r="K802" i="7"/>
  <c r="J802" i="7"/>
  <c r="I802" i="7"/>
  <c r="H802" i="7"/>
  <c r="K801" i="7"/>
  <c r="J801" i="7"/>
  <c r="H801" i="7"/>
  <c r="I801" i="7" s="1"/>
  <c r="K800" i="7"/>
  <c r="J800" i="7"/>
  <c r="I800" i="7"/>
  <c r="H800" i="7"/>
  <c r="K799" i="7"/>
  <c r="J799" i="7"/>
  <c r="H799" i="7"/>
  <c r="I799" i="7" s="1"/>
  <c r="K798" i="7"/>
  <c r="J798" i="7"/>
  <c r="I798" i="7"/>
  <c r="H798" i="7"/>
  <c r="K797" i="7"/>
  <c r="J797" i="7"/>
  <c r="H797" i="7"/>
  <c r="I797" i="7" s="1"/>
  <c r="K796" i="7"/>
  <c r="J796" i="7"/>
  <c r="I796" i="7"/>
  <c r="H796" i="7"/>
  <c r="K795" i="7"/>
  <c r="J795" i="7"/>
  <c r="H795" i="7"/>
  <c r="I795" i="7" s="1"/>
  <c r="K794" i="7"/>
  <c r="J794" i="7"/>
  <c r="I794" i="7"/>
  <c r="H794" i="7"/>
  <c r="K793" i="7"/>
  <c r="J793" i="7"/>
  <c r="H793" i="7"/>
  <c r="I793" i="7" s="1"/>
  <c r="K792" i="7"/>
  <c r="J792" i="7"/>
  <c r="I792" i="7"/>
  <c r="H792" i="7"/>
  <c r="K791" i="7"/>
  <c r="J791" i="7"/>
  <c r="H791" i="7"/>
  <c r="I791" i="7" s="1"/>
  <c r="K790" i="7"/>
  <c r="J790" i="7"/>
  <c r="I790" i="7"/>
  <c r="H790" i="7"/>
  <c r="K789" i="7"/>
  <c r="J789" i="7"/>
  <c r="H789" i="7"/>
  <c r="I789" i="7" s="1"/>
  <c r="K788" i="7"/>
  <c r="J788" i="7"/>
  <c r="I788" i="7"/>
  <c r="H788" i="7"/>
  <c r="K787" i="7"/>
  <c r="J787" i="7"/>
  <c r="H787" i="7"/>
  <c r="I787" i="7" s="1"/>
  <c r="K786" i="7"/>
  <c r="J786" i="7"/>
  <c r="I786" i="7"/>
  <c r="H786" i="7"/>
  <c r="K785" i="7"/>
  <c r="J785" i="7"/>
  <c r="H785" i="7"/>
  <c r="I785" i="7" s="1"/>
  <c r="K784" i="7"/>
  <c r="J784" i="7"/>
  <c r="I784" i="7"/>
  <c r="H784" i="7"/>
  <c r="K783" i="7"/>
  <c r="J783" i="7"/>
  <c r="H783" i="7"/>
  <c r="I783" i="7" s="1"/>
  <c r="K782" i="7"/>
  <c r="J782" i="7"/>
  <c r="I782" i="7"/>
  <c r="H782" i="7"/>
  <c r="K781" i="7"/>
  <c r="J781" i="7"/>
  <c r="H781" i="7"/>
  <c r="I781" i="7" s="1"/>
  <c r="K780" i="7"/>
  <c r="J780" i="7"/>
  <c r="H780" i="7"/>
  <c r="I780" i="7" s="1"/>
  <c r="K779" i="7"/>
  <c r="J779" i="7"/>
  <c r="H779" i="7"/>
  <c r="I779" i="7" s="1"/>
  <c r="K778" i="7"/>
  <c r="J778" i="7"/>
  <c r="I778" i="7"/>
  <c r="H778" i="7"/>
  <c r="K777" i="7"/>
  <c r="J777" i="7"/>
  <c r="H777" i="7"/>
  <c r="I777" i="7" s="1"/>
  <c r="K776" i="7"/>
  <c r="J776" i="7"/>
  <c r="I776" i="7"/>
  <c r="H776" i="7"/>
  <c r="K775" i="7"/>
  <c r="J775" i="7"/>
  <c r="H775" i="7"/>
  <c r="I775" i="7" s="1"/>
  <c r="K774" i="7"/>
  <c r="J774" i="7"/>
  <c r="H774" i="7"/>
  <c r="I774" i="7" s="1"/>
  <c r="K773" i="7"/>
  <c r="J773" i="7"/>
  <c r="H773" i="7"/>
  <c r="I773" i="7" s="1"/>
  <c r="K772" i="7"/>
  <c r="J772" i="7"/>
  <c r="I772" i="7"/>
  <c r="H772" i="7"/>
  <c r="K771" i="7"/>
  <c r="J771" i="7"/>
  <c r="H771" i="7"/>
  <c r="I771" i="7" s="1"/>
  <c r="K770" i="7"/>
  <c r="J770" i="7"/>
  <c r="I770" i="7"/>
  <c r="H770" i="7"/>
  <c r="K769" i="7"/>
  <c r="J769" i="7"/>
  <c r="H769" i="7"/>
  <c r="I769" i="7" s="1"/>
  <c r="K768" i="7"/>
  <c r="J768" i="7"/>
  <c r="H768" i="7"/>
  <c r="I768" i="7" s="1"/>
  <c r="K767" i="7"/>
  <c r="J767" i="7"/>
  <c r="H767" i="7"/>
  <c r="I767" i="7" s="1"/>
  <c r="K766" i="7"/>
  <c r="J766" i="7"/>
  <c r="I766" i="7"/>
  <c r="H766" i="7"/>
  <c r="K765" i="7"/>
  <c r="J765" i="7"/>
  <c r="H765" i="7"/>
  <c r="I765" i="7" s="1"/>
  <c r="K764" i="7"/>
  <c r="J764" i="7"/>
  <c r="H764" i="7"/>
  <c r="I764" i="7" s="1"/>
  <c r="K763" i="7"/>
  <c r="J763" i="7"/>
  <c r="H763" i="7"/>
  <c r="I763" i="7" s="1"/>
  <c r="K762" i="7"/>
  <c r="J762" i="7"/>
  <c r="I762" i="7"/>
  <c r="H762" i="7"/>
  <c r="K761" i="7"/>
  <c r="J761" i="7"/>
  <c r="H761" i="7"/>
  <c r="I761" i="7" s="1"/>
  <c r="K760" i="7"/>
  <c r="J760" i="7"/>
  <c r="I760" i="7"/>
  <c r="H760" i="7"/>
  <c r="K759" i="7"/>
  <c r="J759" i="7"/>
  <c r="H759" i="7"/>
  <c r="I759" i="7" s="1"/>
  <c r="K758" i="7"/>
  <c r="J758" i="7"/>
  <c r="H758" i="7"/>
  <c r="I758" i="7" s="1"/>
  <c r="K757" i="7"/>
  <c r="J757" i="7"/>
  <c r="H757" i="7"/>
  <c r="I757" i="7" s="1"/>
  <c r="K756" i="7"/>
  <c r="J756" i="7"/>
  <c r="I756" i="7"/>
  <c r="H756" i="7"/>
  <c r="K755" i="7"/>
  <c r="J755" i="7"/>
  <c r="H755" i="7"/>
  <c r="I755" i="7" s="1"/>
  <c r="K754" i="7"/>
  <c r="J754" i="7"/>
  <c r="I754" i="7"/>
  <c r="H754" i="7"/>
  <c r="K753" i="7"/>
  <c r="J753" i="7"/>
  <c r="H753" i="7"/>
  <c r="I753" i="7" s="1"/>
  <c r="K752" i="7"/>
  <c r="J752" i="7"/>
  <c r="H752" i="7"/>
  <c r="I752" i="7" s="1"/>
  <c r="K751" i="7"/>
  <c r="J751" i="7"/>
  <c r="H751" i="7"/>
  <c r="I751" i="7" s="1"/>
  <c r="K750" i="7"/>
  <c r="J750" i="7"/>
  <c r="I750" i="7"/>
  <c r="H750" i="7"/>
  <c r="K749" i="7"/>
  <c r="J749" i="7"/>
  <c r="H749" i="7"/>
  <c r="I749" i="7" s="1"/>
  <c r="K748" i="7"/>
  <c r="J748" i="7"/>
  <c r="H748" i="7"/>
  <c r="I748" i="7" s="1"/>
  <c r="K747" i="7"/>
  <c r="J747" i="7"/>
  <c r="H747" i="7"/>
  <c r="I747" i="7" s="1"/>
  <c r="K746" i="7"/>
  <c r="J746" i="7"/>
  <c r="I746" i="7"/>
  <c r="H746" i="7"/>
  <c r="K745" i="7"/>
  <c r="J745" i="7"/>
  <c r="H745" i="7"/>
  <c r="I745" i="7" s="1"/>
  <c r="K744" i="7"/>
  <c r="J744" i="7"/>
  <c r="I744" i="7"/>
  <c r="H744" i="7"/>
  <c r="K743" i="7"/>
  <c r="J743" i="7"/>
  <c r="H743" i="7"/>
  <c r="I743" i="7" s="1"/>
  <c r="K742" i="7"/>
  <c r="J742" i="7"/>
  <c r="H742" i="7"/>
  <c r="I742" i="7" s="1"/>
  <c r="K741" i="7"/>
  <c r="J741" i="7"/>
  <c r="H741" i="7"/>
  <c r="I741" i="7" s="1"/>
  <c r="K740" i="7"/>
  <c r="J740" i="7"/>
  <c r="I740" i="7"/>
  <c r="H740" i="7"/>
  <c r="K739" i="7"/>
  <c r="J739" i="7"/>
  <c r="H739" i="7"/>
  <c r="I739" i="7" s="1"/>
  <c r="K738" i="7"/>
  <c r="J738" i="7"/>
  <c r="I738" i="7"/>
  <c r="H738" i="7"/>
  <c r="K737" i="7"/>
  <c r="J737" i="7"/>
  <c r="H737" i="7"/>
  <c r="I737" i="7" s="1"/>
  <c r="K736" i="7"/>
  <c r="J736" i="7"/>
  <c r="H736" i="7"/>
  <c r="I736" i="7" s="1"/>
  <c r="K735" i="7"/>
  <c r="J735" i="7"/>
  <c r="H735" i="7"/>
  <c r="I735" i="7" s="1"/>
  <c r="K734" i="7"/>
  <c r="J734" i="7"/>
  <c r="I734" i="7"/>
  <c r="H734" i="7"/>
  <c r="K733" i="7"/>
  <c r="J733" i="7"/>
  <c r="H733" i="7"/>
  <c r="I733" i="7" s="1"/>
  <c r="K732" i="7"/>
  <c r="J732" i="7"/>
  <c r="H732" i="7"/>
  <c r="I732" i="7" s="1"/>
  <c r="K731" i="7"/>
  <c r="J731" i="7"/>
  <c r="H731" i="7"/>
  <c r="I731" i="7" s="1"/>
  <c r="K730" i="7"/>
  <c r="J730" i="7"/>
  <c r="I730" i="7"/>
  <c r="H730" i="7"/>
  <c r="K729" i="7"/>
  <c r="J729" i="7"/>
  <c r="H729" i="7"/>
  <c r="I729" i="7" s="1"/>
  <c r="K728" i="7"/>
  <c r="J728" i="7"/>
  <c r="I728" i="7"/>
  <c r="H728" i="7"/>
  <c r="K727" i="7"/>
  <c r="J727" i="7"/>
  <c r="H727" i="7"/>
  <c r="I727" i="7" s="1"/>
  <c r="K726" i="7"/>
  <c r="J726" i="7"/>
  <c r="I726" i="7"/>
  <c r="H726" i="7"/>
  <c r="K725" i="7"/>
  <c r="J725" i="7"/>
  <c r="H725" i="7"/>
  <c r="I725" i="7" s="1"/>
  <c r="K724" i="7"/>
  <c r="J724" i="7"/>
  <c r="I724" i="7"/>
  <c r="H724" i="7"/>
  <c r="K723" i="7"/>
  <c r="J723" i="7"/>
  <c r="H723" i="7"/>
  <c r="I723" i="7" s="1"/>
  <c r="K722" i="7"/>
  <c r="J722" i="7"/>
  <c r="I722" i="7"/>
  <c r="H722" i="7"/>
  <c r="K721" i="7"/>
  <c r="J721" i="7"/>
  <c r="H721" i="7"/>
  <c r="I721" i="7" s="1"/>
  <c r="K720" i="7"/>
  <c r="J720" i="7"/>
  <c r="H720" i="7"/>
  <c r="I720" i="7" s="1"/>
  <c r="K719" i="7"/>
  <c r="J719" i="7"/>
  <c r="H719" i="7"/>
  <c r="I719" i="7" s="1"/>
  <c r="K718" i="7"/>
  <c r="J718" i="7"/>
  <c r="I718" i="7"/>
  <c r="H718" i="7"/>
  <c r="K717" i="7"/>
  <c r="J717" i="7"/>
  <c r="H717" i="7"/>
  <c r="I717" i="7" s="1"/>
  <c r="K716" i="7"/>
  <c r="J716" i="7"/>
  <c r="H716" i="7"/>
  <c r="I716" i="7" s="1"/>
  <c r="K715" i="7"/>
  <c r="J715" i="7"/>
  <c r="H715" i="7"/>
  <c r="I715" i="7" s="1"/>
  <c r="K714" i="7"/>
  <c r="J714" i="7"/>
  <c r="I714" i="7"/>
  <c r="H714" i="7"/>
  <c r="K713" i="7"/>
  <c r="J713" i="7"/>
  <c r="H713" i="7"/>
  <c r="I713" i="7" s="1"/>
  <c r="K712" i="7"/>
  <c r="J712" i="7"/>
  <c r="H712" i="7"/>
  <c r="I712" i="7" s="1"/>
  <c r="K711" i="7"/>
  <c r="J711" i="7"/>
  <c r="H711" i="7"/>
  <c r="I711" i="7" s="1"/>
  <c r="K710" i="7"/>
  <c r="J710" i="7"/>
  <c r="I710" i="7"/>
  <c r="H710" i="7"/>
  <c r="K709" i="7"/>
  <c r="J709" i="7"/>
  <c r="H709" i="7"/>
  <c r="I709" i="7" s="1"/>
  <c r="K708" i="7"/>
  <c r="J708" i="7"/>
  <c r="I708" i="7"/>
  <c r="H708" i="7"/>
  <c r="K707" i="7"/>
  <c r="J707" i="7"/>
  <c r="H707" i="7"/>
  <c r="I707" i="7" s="1"/>
  <c r="K706" i="7"/>
  <c r="J706" i="7"/>
  <c r="I706" i="7"/>
  <c r="H706" i="7"/>
  <c r="K705" i="7"/>
  <c r="J705" i="7"/>
  <c r="H705" i="7"/>
  <c r="I705" i="7" s="1"/>
  <c r="K704" i="7"/>
  <c r="J704" i="7"/>
  <c r="H704" i="7"/>
  <c r="I704" i="7" s="1"/>
  <c r="K703" i="7"/>
  <c r="J703" i="7"/>
  <c r="H703" i="7"/>
  <c r="I703" i="7" s="1"/>
  <c r="K702" i="7"/>
  <c r="J702" i="7"/>
  <c r="I702" i="7"/>
  <c r="H702" i="7"/>
  <c r="K701" i="7"/>
  <c r="J701" i="7"/>
  <c r="H701" i="7"/>
  <c r="I701" i="7" s="1"/>
  <c r="K700" i="7"/>
  <c r="J700" i="7"/>
  <c r="H700" i="7"/>
  <c r="I700" i="7" s="1"/>
  <c r="K699" i="7"/>
  <c r="J699" i="7"/>
  <c r="H699" i="7"/>
  <c r="I699" i="7" s="1"/>
  <c r="K698" i="7"/>
  <c r="J698" i="7"/>
  <c r="I698" i="7"/>
  <c r="H698" i="7"/>
  <c r="K697" i="7"/>
  <c r="J697" i="7"/>
  <c r="H697" i="7"/>
  <c r="I697" i="7" s="1"/>
  <c r="K696" i="7"/>
  <c r="J696" i="7"/>
  <c r="H696" i="7"/>
  <c r="I696" i="7" s="1"/>
  <c r="K695" i="7"/>
  <c r="J695" i="7"/>
  <c r="H695" i="7"/>
  <c r="I695" i="7" s="1"/>
  <c r="K694" i="7"/>
  <c r="J694" i="7"/>
  <c r="I694" i="7"/>
  <c r="H694" i="7"/>
  <c r="K693" i="7"/>
  <c r="J693" i="7"/>
  <c r="H693" i="7"/>
  <c r="I693" i="7" s="1"/>
  <c r="K692" i="7"/>
  <c r="J692" i="7"/>
  <c r="I692" i="7"/>
  <c r="H692" i="7"/>
  <c r="K691" i="7"/>
  <c r="J691" i="7"/>
  <c r="H691" i="7"/>
  <c r="I691" i="7" s="1"/>
  <c r="K690" i="7"/>
  <c r="J690" i="7"/>
  <c r="I690" i="7"/>
  <c r="H690" i="7"/>
  <c r="K689" i="7"/>
  <c r="J689" i="7"/>
  <c r="H689" i="7"/>
  <c r="I689" i="7" s="1"/>
  <c r="K688" i="7"/>
  <c r="J688" i="7"/>
  <c r="H688" i="7"/>
  <c r="I688" i="7" s="1"/>
  <c r="K687" i="7"/>
  <c r="J687" i="7"/>
  <c r="H687" i="7"/>
  <c r="I687" i="7" s="1"/>
  <c r="K686" i="7"/>
  <c r="J686" i="7"/>
  <c r="I686" i="7"/>
  <c r="H686" i="7"/>
  <c r="K685" i="7"/>
  <c r="J685" i="7"/>
  <c r="H685" i="7"/>
  <c r="I685" i="7" s="1"/>
  <c r="K684" i="7"/>
  <c r="J684" i="7"/>
  <c r="H684" i="7"/>
  <c r="I684" i="7" s="1"/>
  <c r="K683" i="7"/>
  <c r="J683" i="7"/>
  <c r="H683" i="7"/>
  <c r="I683" i="7" s="1"/>
  <c r="K682" i="7"/>
  <c r="J682" i="7"/>
  <c r="I682" i="7"/>
  <c r="H682" i="7"/>
  <c r="K681" i="7"/>
  <c r="J681" i="7"/>
  <c r="H681" i="7"/>
  <c r="I681" i="7" s="1"/>
  <c r="K680" i="7"/>
  <c r="J680" i="7"/>
  <c r="H680" i="7"/>
  <c r="I680" i="7" s="1"/>
  <c r="K679" i="7"/>
  <c r="J679" i="7"/>
  <c r="H679" i="7"/>
  <c r="I679" i="7" s="1"/>
  <c r="K678" i="7"/>
  <c r="J678" i="7"/>
  <c r="I678" i="7"/>
  <c r="H678" i="7"/>
  <c r="K677" i="7"/>
  <c r="J677" i="7"/>
  <c r="H677" i="7"/>
  <c r="I677" i="7" s="1"/>
  <c r="K676" i="7"/>
  <c r="J676" i="7"/>
  <c r="I676" i="7"/>
  <c r="H676" i="7"/>
  <c r="K675" i="7"/>
  <c r="J675" i="7"/>
  <c r="H675" i="7"/>
  <c r="I675" i="7" s="1"/>
  <c r="K674" i="7"/>
  <c r="J674" i="7"/>
  <c r="I674" i="7"/>
  <c r="H674" i="7"/>
  <c r="K673" i="7"/>
  <c r="J673" i="7"/>
  <c r="H673" i="7"/>
  <c r="I673" i="7" s="1"/>
  <c r="K672" i="7"/>
  <c r="J672" i="7"/>
  <c r="H672" i="7"/>
  <c r="I672" i="7" s="1"/>
  <c r="K671" i="7"/>
  <c r="J671" i="7"/>
  <c r="H671" i="7"/>
  <c r="I671" i="7" s="1"/>
  <c r="K670" i="7"/>
  <c r="J670" i="7"/>
  <c r="I670" i="7"/>
  <c r="H670" i="7"/>
  <c r="K669" i="7"/>
  <c r="J669" i="7"/>
  <c r="H669" i="7"/>
  <c r="I669" i="7" s="1"/>
  <c r="K668" i="7"/>
  <c r="J668" i="7"/>
  <c r="H668" i="7"/>
  <c r="I668" i="7" s="1"/>
  <c r="K667" i="7"/>
  <c r="J667" i="7"/>
  <c r="H667" i="7"/>
  <c r="I667" i="7" s="1"/>
  <c r="K666" i="7"/>
  <c r="J666" i="7"/>
  <c r="I666" i="7"/>
  <c r="H666" i="7"/>
  <c r="K665" i="7"/>
  <c r="J665" i="7"/>
  <c r="H665" i="7"/>
  <c r="I665" i="7" s="1"/>
  <c r="K664" i="7"/>
  <c r="J664" i="7"/>
  <c r="H664" i="7"/>
  <c r="I664" i="7" s="1"/>
  <c r="K663" i="7"/>
  <c r="J663" i="7"/>
  <c r="H663" i="7"/>
  <c r="I663" i="7" s="1"/>
  <c r="K662" i="7"/>
  <c r="J662" i="7"/>
  <c r="I662" i="7"/>
  <c r="H662" i="7"/>
  <c r="K661" i="7"/>
  <c r="J661" i="7"/>
  <c r="H661" i="7"/>
  <c r="I661" i="7" s="1"/>
  <c r="K660" i="7"/>
  <c r="J660" i="7"/>
  <c r="I660" i="7"/>
  <c r="H660" i="7"/>
  <c r="K659" i="7"/>
  <c r="J659" i="7"/>
  <c r="H659" i="7"/>
  <c r="I659" i="7" s="1"/>
  <c r="K658" i="7"/>
  <c r="J658" i="7"/>
  <c r="I658" i="7"/>
  <c r="H658" i="7"/>
  <c r="K657" i="7"/>
  <c r="J657" i="7"/>
  <c r="H657" i="7"/>
  <c r="I657" i="7" s="1"/>
  <c r="K656" i="7"/>
  <c r="J656" i="7"/>
  <c r="H656" i="7"/>
  <c r="I656" i="7" s="1"/>
  <c r="K655" i="7"/>
  <c r="J655" i="7"/>
  <c r="H655" i="7"/>
  <c r="I655" i="7" s="1"/>
  <c r="K654" i="7"/>
  <c r="J654" i="7"/>
  <c r="I654" i="7"/>
  <c r="H654" i="7"/>
  <c r="K653" i="7"/>
  <c r="J653" i="7"/>
  <c r="H653" i="7"/>
  <c r="I653" i="7" s="1"/>
  <c r="K652" i="7"/>
  <c r="J652" i="7"/>
  <c r="H652" i="7"/>
  <c r="I652" i="7" s="1"/>
  <c r="K651" i="7"/>
  <c r="J651" i="7"/>
  <c r="H651" i="7"/>
  <c r="I651" i="7" s="1"/>
  <c r="K650" i="7"/>
  <c r="J650" i="7"/>
  <c r="I650" i="7"/>
  <c r="H650" i="7"/>
  <c r="K649" i="7"/>
  <c r="J649" i="7"/>
  <c r="H649" i="7"/>
  <c r="I649" i="7" s="1"/>
  <c r="K648" i="7"/>
  <c r="J648" i="7"/>
  <c r="H648" i="7"/>
  <c r="I648" i="7" s="1"/>
  <c r="K647" i="7"/>
  <c r="J647" i="7"/>
  <c r="H647" i="7"/>
  <c r="I647" i="7" s="1"/>
  <c r="K646" i="7"/>
  <c r="J646" i="7"/>
  <c r="I646" i="7"/>
  <c r="H646" i="7"/>
  <c r="K645" i="7"/>
  <c r="J645" i="7"/>
  <c r="H645" i="7"/>
  <c r="I645" i="7" s="1"/>
  <c r="K644" i="7"/>
  <c r="J644" i="7"/>
  <c r="I644" i="7"/>
  <c r="H644" i="7"/>
  <c r="K643" i="7"/>
  <c r="J643" i="7"/>
  <c r="H643" i="7"/>
  <c r="I643" i="7" s="1"/>
  <c r="K642" i="7"/>
  <c r="J642" i="7"/>
  <c r="I642" i="7"/>
  <c r="H642" i="7"/>
  <c r="K641" i="7"/>
  <c r="J641" i="7"/>
  <c r="H641" i="7"/>
  <c r="I641" i="7" s="1"/>
  <c r="K640" i="7"/>
  <c r="J640" i="7"/>
  <c r="H640" i="7"/>
  <c r="I640" i="7" s="1"/>
  <c r="K639" i="7"/>
  <c r="J639" i="7"/>
  <c r="H639" i="7"/>
  <c r="I639" i="7" s="1"/>
  <c r="K638" i="7"/>
  <c r="J638" i="7"/>
  <c r="I638" i="7"/>
  <c r="H638" i="7"/>
  <c r="K637" i="7"/>
  <c r="J637" i="7"/>
  <c r="H637" i="7"/>
  <c r="I637" i="7" s="1"/>
  <c r="K636" i="7"/>
  <c r="J636" i="7"/>
  <c r="H636" i="7"/>
  <c r="I636" i="7" s="1"/>
  <c r="K635" i="7"/>
  <c r="J635" i="7"/>
  <c r="H635" i="7"/>
  <c r="I635" i="7" s="1"/>
  <c r="K634" i="7"/>
  <c r="J634" i="7"/>
  <c r="I634" i="7"/>
  <c r="H634" i="7"/>
  <c r="K633" i="7"/>
  <c r="J633" i="7"/>
  <c r="H633" i="7"/>
  <c r="I633" i="7" s="1"/>
  <c r="K632" i="7"/>
  <c r="J632" i="7"/>
  <c r="I632" i="7"/>
  <c r="H632" i="7"/>
  <c r="K631" i="7"/>
  <c r="J631" i="7"/>
  <c r="H631" i="7"/>
  <c r="I631" i="7" s="1"/>
  <c r="K630" i="7"/>
  <c r="J630" i="7"/>
  <c r="H630" i="7"/>
  <c r="I630" i="7" s="1"/>
  <c r="K629" i="7"/>
  <c r="J629" i="7"/>
  <c r="H629" i="7"/>
  <c r="I629" i="7" s="1"/>
  <c r="K628" i="7"/>
  <c r="J628" i="7"/>
  <c r="I628" i="7"/>
  <c r="H628" i="7"/>
  <c r="K627" i="7"/>
  <c r="J627" i="7"/>
  <c r="H627" i="7"/>
  <c r="I627" i="7" s="1"/>
  <c r="K626" i="7"/>
  <c r="J626" i="7"/>
  <c r="I626" i="7"/>
  <c r="H626" i="7"/>
  <c r="K625" i="7"/>
  <c r="J625" i="7"/>
  <c r="H625" i="7"/>
  <c r="I625" i="7" s="1"/>
  <c r="K624" i="7"/>
  <c r="J624" i="7"/>
  <c r="H624" i="7"/>
  <c r="I624" i="7" s="1"/>
  <c r="K623" i="7"/>
  <c r="J623" i="7"/>
  <c r="H623" i="7"/>
  <c r="I623" i="7" s="1"/>
  <c r="K622" i="7"/>
  <c r="J622" i="7"/>
  <c r="I622" i="7"/>
  <c r="H622" i="7"/>
  <c r="K621" i="7"/>
  <c r="J621" i="7"/>
  <c r="H621" i="7"/>
  <c r="I621" i="7" s="1"/>
  <c r="K620" i="7"/>
  <c r="J620" i="7"/>
  <c r="H620" i="7"/>
  <c r="I620" i="7" s="1"/>
  <c r="K619" i="7"/>
  <c r="J619" i="7"/>
  <c r="H619" i="7"/>
  <c r="I619" i="7" s="1"/>
  <c r="K618" i="7"/>
  <c r="J618" i="7"/>
  <c r="I618" i="7"/>
  <c r="H618" i="7"/>
  <c r="K617" i="7"/>
  <c r="J617" i="7"/>
  <c r="H617" i="7"/>
  <c r="I617" i="7" s="1"/>
  <c r="K616" i="7"/>
  <c r="J616" i="7"/>
  <c r="I616" i="7"/>
  <c r="H616" i="7"/>
  <c r="K615" i="7"/>
  <c r="J615" i="7"/>
  <c r="H615" i="7"/>
  <c r="I615" i="7" s="1"/>
  <c r="K614" i="7"/>
  <c r="J614" i="7"/>
  <c r="H614" i="7"/>
  <c r="I614" i="7" s="1"/>
  <c r="K613" i="7"/>
  <c r="J613" i="7"/>
  <c r="I613" i="7"/>
  <c r="H613" i="7"/>
  <c r="K612" i="7"/>
  <c r="J612" i="7"/>
  <c r="H612" i="7"/>
  <c r="I612" i="7" s="1"/>
  <c r="K611" i="7"/>
  <c r="J611" i="7"/>
  <c r="I611" i="7"/>
  <c r="H611" i="7"/>
  <c r="K610" i="7"/>
  <c r="J610" i="7"/>
  <c r="H610" i="7"/>
  <c r="I610" i="7" s="1"/>
  <c r="K609" i="7"/>
  <c r="J609" i="7"/>
  <c r="I609" i="7"/>
  <c r="H609" i="7"/>
  <c r="K608" i="7"/>
  <c r="J608" i="7"/>
  <c r="H608" i="7"/>
  <c r="I608" i="7" s="1"/>
  <c r="K607" i="7"/>
  <c r="J607" i="7"/>
  <c r="I607" i="7"/>
  <c r="H607" i="7"/>
  <c r="K606" i="7"/>
  <c r="J606" i="7"/>
  <c r="H606" i="7"/>
  <c r="I606" i="7" s="1"/>
  <c r="K605" i="7"/>
  <c r="J605" i="7"/>
  <c r="I605" i="7"/>
  <c r="H605" i="7"/>
  <c r="K604" i="7"/>
  <c r="J604" i="7"/>
  <c r="H604" i="7"/>
  <c r="I604" i="7" s="1"/>
  <c r="K603" i="7"/>
  <c r="J603" i="7"/>
  <c r="I603" i="7"/>
  <c r="H603" i="7"/>
  <c r="K602" i="7"/>
  <c r="J602" i="7"/>
  <c r="H602" i="7"/>
  <c r="I602" i="7" s="1"/>
  <c r="K601" i="7"/>
  <c r="J601" i="7"/>
  <c r="I601" i="7"/>
  <c r="H601" i="7"/>
  <c r="K600" i="7"/>
  <c r="J600" i="7"/>
  <c r="H600" i="7"/>
  <c r="I600" i="7" s="1"/>
  <c r="K599" i="7"/>
  <c r="J599" i="7"/>
  <c r="I599" i="7"/>
  <c r="H599" i="7"/>
  <c r="K598" i="7"/>
  <c r="J598" i="7"/>
  <c r="H598" i="7"/>
  <c r="I598" i="7" s="1"/>
  <c r="K597" i="7"/>
  <c r="J597" i="7"/>
  <c r="I597" i="7"/>
  <c r="H597" i="7"/>
  <c r="K596" i="7"/>
  <c r="J596" i="7"/>
  <c r="H596" i="7"/>
  <c r="I596" i="7" s="1"/>
  <c r="K595" i="7"/>
  <c r="J595" i="7"/>
  <c r="I595" i="7"/>
  <c r="H595" i="7"/>
  <c r="K594" i="7"/>
  <c r="J594" i="7"/>
  <c r="H594" i="7"/>
  <c r="I594" i="7" s="1"/>
  <c r="K593" i="7"/>
  <c r="J593" i="7"/>
  <c r="I593" i="7"/>
  <c r="H593" i="7"/>
  <c r="K592" i="7"/>
  <c r="J592" i="7"/>
  <c r="H592" i="7"/>
  <c r="I592" i="7" s="1"/>
  <c r="K591" i="7"/>
  <c r="J591" i="7"/>
  <c r="I591" i="7"/>
  <c r="H591" i="7"/>
  <c r="K590" i="7"/>
  <c r="J590" i="7"/>
  <c r="H590" i="7"/>
  <c r="I590" i="7" s="1"/>
  <c r="K589" i="7"/>
  <c r="J589" i="7"/>
  <c r="I589" i="7"/>
  <c r="H589" i="7"/>
  <c r="K588" i="7"/>
  <c r="J588" i="7"/>
  <c r="H588" i="7"/>
  <c r="I588" i="7" s="1"/>
  <c r="K587" i="7"/>
  <c r="J587" i="7"/>
  <c r="I587" i="7"/>
  <c r="H587" i="7"/>
  <c r="K586" i="7"/>
  <c r="J586" i="7"/>
  <c r="H586" i="7"/>
  <c r="I586" i="7" s="1"/>
  <c r="K585" i="7"/>
  <c r="J585" i="7"/>
  <c r="I585" i="7"/>
  <c r="H585" i="7"/>
  <c r="K584" i="7"/>
  <c r="J584" i="7"/>
  <c r="H584" i="7"/>
  <c r="I584" i="7" s="1"/>
  <c r="K583" i="7"/>
  <c r="J583" i="7"/>
  <c r="I583" i="7"/>
  <c r="H583" i="7"/>
  <c r="K582" i="7"/>
  <c r="J582" i="7"/>
  <c r="H582" i="7"/>
  <c r="I582" i="7" s="1"/>
  <c r="K581" i="7"/>
  <c r="J581" i="7"/>
  <c r="I581" i="7"/>
  <c r="H581" i="7"/>
  <c r="K580" i="7"/>
  <c r="J580" i="7"/>
  <c r="H580" i="7"/>
  <c r="I580" i="7" s="1"/>
  <c r="K579" i="7"/>
  <c r="J579" i="7"/>
  <c r="I579" i="7"/>
  <c r="H579" i="7"/>
  <c r="K578" i="7"/>
  <c r="J578" i="7"/>
  <c r="H578" i="7"/>
  <c r="I578" i="7" s="1"/>
  <c r="K577" i="7"/>
  <c r="J577" i="7"/>
  <c r="I577" i="7"/>
  <c r="H577" i="7"/>
  <c r="K576" i="7"/>
  <c r="J576" i="7"/>
  <c r="H576" i="7"/>
  <c r="I576" i="7" s="1"/>
  <c r="K575" i="7"/>
  <c r="J575" i="7"/>
  <c r="I575" i="7"/>
  <c r="H575" i="7"/>
  <c r="K574" i="7"/>
  <c r="J574" i="7"/>
  <c r="H574" i="7"/>
  <c r="I574" i="7" s="1"/>
  <c r="K573" i="7"/>
  <c r="J573" i="7"/>
  <c r="I573" i="7"/>
  <c r="H573" i="7"/>
  <c r="K572" i="7"/>
  <c r="J572" i="7"/>
  <c r="H572" i="7"/>
  <c r="I572" i="7" s="1"/>
  <c r="K571" i="7"/>
  <c r="J571" i="7"/>
  <c r="I571" i="7"/>
  <c r="H571" i="7"/>
  <c r="K570" i="7"/>
  <c r="J570" i="7"/>
  <c r="H570" i="7"/>
  <c r="I570" i="7" s="1"/>
  <c r="K569" i="7"/>
  <c r="J569" i="7"/>
  <c r="I569" i="7"/>
  <c r="H569" i="7"/>
  <c r="K568" i="7"/>
  <c r="J568" i="7"/>
  <c r="H568" i="7"/>
  <c r="I568" i="7" s="1"/>
  <c r="K567" i="7"/>
  <c r="J567" i="7"/>
  <c r="I567" i="7"/>
  <c r="H567" i="7"/>
  <c r="K566" i="7"/>
  <c r="J566" i="7"/>
  <c r="H566" i="7"/>
  <c r="I566" i="7" s="1"/>
  <c r="K565" i="7"/>
  <c r="J565" i="7"/>
  <c r="I565" i="7"/>
  <c r="H565" i="7"/>
  <c r="K564" i="7"/>
  <c r="J564" i="7"/>
  <c r="H564" i="7"/>
  <c r="I564" i="7" s="1"/>
  <c r="K563" i="7"/>
  <c r="J563" i="7"/>
  <c r="I563" i="7"/>
  <c r="H563" i="7"/>
  <c r="K562" i="7"/>
  <c r="J562" i="7"/>
  <c r="H562" i="7"/>
  <c r="I562" i="7" s="1"/>
  <c r="K561" i="7"/>
  <c r="J561" i="7"/>
  <c r="I561" i="7"/>
  <c r="H561" i="7"/>
  <c r="K560" i="7"/>
  <c r="J560" i="7"/>
  <c r="H560" i="7"/>
  <c r="I560" i="7" s="1"/>
  <c r="K559" i="7"/>
  <c r="J559" i="7"/>
  <c r="I559" i="7"/>
  <c r="H559" i="7"/>
  <c r="K558" i="7"/>
  <c r="J558" i="7"/>
  <c r="H558" i="7"/>
  <c r="I558" i="7" s="1"/>
  <c r="K557" i="7"/>
  <c r="J557" i="7"/>
  <c r="I557" i="7"/>
  <c r="H557" i="7"/>
  <c r="K556" i="7"/>
  <c r="J556" i="7"/>
  <c r="H556" i="7"/>
  <c r="I556" i="7" s="1"/>
  <c r="K555" i="7"/>
  <c r="J555" i="7"/>
  <c r="I555" i="7"/>
  <c r="H555" i="7"/>
  <c r="K554" i="7"/>
  <c r="J554" i="7"/>
  <c r="H554" i="7"/>
  <c r="I554" i="7" s="1"/>
  <c r="K553" i="7"/>
  <c r="J553" i="7"/>
  <c r="I553" i="7"/>
  <c r="H553" i="7"/>
  <c r="K552" i="7"/>
  <c r="J552" i="7"/>
  <c r="H552" i="7"/>
  <c r="I552" i="7" s="1"/>
  <c r="K551" i="7"/>
  <c r="J551" i="7"/>
  <c r="I551" i="7"/>
  <c r="H551" i="7"/>
  <c r="K550" i="7"/>
  <c r="J550" i="7"/>
  <c r="H550" i="7"/>
  <c r="I550" i="7" s="1"/>
  <c r="K549" i="7"/>
  <c r="J549" i="7"/>
  <c r="I549" i="7"/>
  <c r="H549" i="7"/>
  <c r="K548" i="7"/>
  <c r="J548" i="7"/>
  <c r="H548" i="7"/>
  <c r="I548" i="7" s="1"/>
  <c r="K547" i="7"/>
  <c r="J547" i="7"/>
  <c r="I547" i="7"/>
  <c r="H547" i="7"/>
  <c r="K546" i="7"/>
  <c r="J546" i="7"/>
  <c r="H546" i="7"/>
  <c r="I546" i="7" s="1"/>
  <c r="K545" i="7"/>
  <c r="J545" i="7"/>
  <c r="I545" i="7"/>
  <c r="H545" i="7"/>
  <c r="K544" i="7"/>
  <c r="J544" i="7"/>
  <c r="H544" i="7"/>
  <c r="I544" i="7" s="1"/>
  <c r="K543" i="7"/>
  <c r="J543" i="7"/>
  <c r="I543" i="7"/>
  <c r="H543" i="7"/>
  <c r="K542" i="7"/>
  <c r="J542" i="7"/>
  <c r="H542" i="7"/>
  <c r="I542" i="7" s="1"/>
  <c r="K541" i="7"/>
  <c r="J541" i="7"/>
  <c r="I541" i="7"/>
  <c r="H541" i="7"/>
  <c r="K540" i="7"/>
  <c r="J540" i="7"/>
  <c r="H540" i="7"/>
  <c r="I540" i="7" s="1"/>
  <c r="K539" i="7"/>
  <c r="J539" i="7"/>
  <c r="I539" i="7"/>
  <c r="H539" i="7"/>
  <c r="K538" i="7"/>
  <c r="J538" i="7"/>
  <c r="H538" i="7"/>
  <c r="I538" i="7" s="1"/>
  <c r="K537" i="7"/>
  <c r="J537" i="7"/>
  <c r="I537" i="7"/>
  <c r="H537" i="7"/>
  <c r="K536" i="7"/>
  <c r="J536" i="7"/>
  <c r="H536" i="7"/>
  <c r="I536" i="7" s="1"/>
  <c r="K535" i="7"/>
  <c r="J535" i="7"/>
  <c r="I535" i="7"/>
  <c r="H535" i="7"/>
  <c r="K534" i="7"/>
  <c r="J534" i="7"/>
  <c r="H534" i="7"/>
  <c r="I534" i="7" s="1"/>
  <c r="K533" i="7"/>
  <c r="J533" i="7"/>
  <c r="I533" i="7"/>
  <c r="H533" i="7"/>
  <c r="K532" i="7"/>
  <c r="J532" i="7"/>
  <c r="H532" i="7"/>
  <c r="I532" i="7" s="1"/>
  <c r="K531" i="7"/>
  <c r="J531" i="7"/>
  <c r="I531" i="7"/>
  <c r="H531" i="7"/>
  <c r="K530" i="7"/>
  <c r="J530" i="7"/>
  <c r="H530" i="7"/>
  <c r="I530" i="7" s="1"/>
  <c r="K529" i="7"/>
  <c r="J529" i="7"/>
  <c r="I529" i="7"/>
  <c r="H529" i="7"/>
  <c r="K528" i="7"/>
  <c r="J528" i="7"/>
  <c r="H528" i="7"/>
  <c r="I528" i="7" s="1"/>
  <c r="K527" i="7"/>
  <c r="J527" i="7"/>
  <c r="I527" i="7"/>
  <c r="H527" i="7"/>
  <c r="K526" i="7"/>
  <c r="J526" i="7"/>
  <c r="H526" i="7"/>
  <c r="I526" i="7" s="1"/>
  <c r="K525" i="7"/>
  <c r="J525" i="7"/>
  <c r="I525" i="7"/>
  <c r="H525" i="7"/>
  <c r="K524" i="7"/>
  <c r="J524" i="7"/>
  <c r="H524" i="7"/>
  <c r="I524" i="7" s="1"/>
  <c r="K523" i="7"/>
  <c r="J523" i="7"/>
  <c r="I523" i="7"/>
  <c r="H523" i="7"/>
  <c r="K522" i="7"/>
  <c r="J522" i="7"/>
  <c r="H522" i="7"/>
  <c r="I522" i="7" s="1"/>
  <c r="K521" i="7"/>
  <c r="J521" i="7"/>
  <c r="I521" i="7"/>
  <c r="H521" i="7"/>
  <c r="K520" i="7"/>
  <c r="J520" i="7"/>
  <c r="H520" i="7"/>
  <c r="I520" i="7" s="1"/>
  <c r="K519" i="7"/>
  <c r="J519" i="7"/>
  <c r="I519" i="7"/>
  <c r="H519" i="7"/>
  <c r="K518" i="7"/>
  <c r="J518" i="7"/>
  <c r="H518" i="7"/>
  <c r="I518" i="7" s="1"/>
  <c r="K517" i="7"/>
  <c r="J517" i="7"/>
  <c r="I517" i="7"/>
  <c r="H517" i="7"/>
  <c r="K516" i="7"/>
  <c r="J516" i="7"/>
  <c r="H516" i="7"/>
  <c r="I516" i="7" s="1"/>
  <c r="K515" i="7"/>
  <c r="J515" i="7"/>
  <c r="I515" i="7"/>
  <c r="H515" i="7"/>
  <c r="K514" i="7"/>
  <c r="J514" i="7"/>
  <c r="H514" i="7"/>
  <c r="I514" i="7" s="1"/>
  <c r="K513" i="7"/>
  <c r="J513" i="7"/>
  <c r="I513" i="7"/>
  <c r="H513" i="7"/>
  <c r="K512" i="7"/>
  <c r="J512" i="7"/>
  <c r="H512" i="7"/>
  <c r="I512" i="7" s="1"/>
  <c r="K511" i="7"/>
  <c r="J511" i="7"/>
  <c r="I511" i="7"/>
  <c r="H511" i="7"/>
  <c r="K510" i="7"/>
  <c r="J510" i="7"/>
  <c r="H510" i="7"/>
  <c r="I510" i="7" s="1"/>
  <c r="K509" i="7"/>
  <c r="J509" i="7"/>
  <c r="I509" i="7"/>
  <c r="H509" i="7"/>
  <c r="K508" i="7"/>
  <c r="J508" i="7"/>
  <c r="H508" i="7"/>
  <c r="I508" i="7" s="1"/>
  <c r="K507" i="7"/>
  <c r="J507" i="7"/>
  <c r="I507" i="7"/>
  <c r="H507" i="7"/>
  <c r="K506" i="7"/>
  <c r="J506" i="7"/>
  <c r="H506" i="7"/>
  <c r="I506" i="7" s="1"/>
  <c r="K505" i="7"/>
  <c r="J505" i="7"/>
  <c r="I505" i="7"/>
  <c r="H505" i="7"/>
  <c r="K504" i="7"/>
  <c r="J504" i="7"/>
  <c r="H504" i="7"/>
  <c r="I504" i="7" s="1"/>
  <c r="K503" i="7"/>
  <c r="J503" i="7"/>
  <c r="I503" i="7"/>
  <c r="H503" i="7"/>
  <c r="K502" i="7"/>
  <c r="J502" i="7"/>
  <c r="H502" i="7"/>
  <c r="I502" i="7" s="1"/>
  <c r="K501" i="7"/>
  <c r="J501" i="7"/>
  <c r="I501" i="7"/>
  <c r="H501" i="7"/>
  <c r="K500" i="7"/>
  <c r="J500" i="7"/>
  <c r="H500" i="7"/>
  <c r="I500" i="7" s="1"/>
  <c r="K499" i="7"/>
  <c r="J499" i="7"/>
  <c r="I499" i="7"/>
  <c r="H499" i="7"/>
  <c r="K498" i="7"/>
  <c r="J498" i="7"/>
  <c r="H498" i="7"/>
  <c r="I498" i="7" s="1"/>
  <c r="K497" i="7"/>
  <c r="J497" i="7"/>
  <c r="I497" i="7"/>
  <c r="H497" i="7"/>
  <c r="K496" i="7"/>
  <c r="J496" i="7"/>
  <c r="H496" i="7"/>
  <c r="I496" i="7" s="1"/>
  <c r="K495" i="7"/>
  <c r="J495" i="7"/>
  <c r="I495" i="7"/>
  <c r="H495" i="7"/>
  <c r="K494" i="7"/>
  <c r="J494" i="7"/>
  <c r="H494" i="7"/>
  <c r="I494" i="7" s="1"/>
  <c r="K493" i="7"/>
  <c r="J493" i="7"/>
  <c r="I493" i="7"/>
  <c r="H493" i="7"/>
  <c r="K492" i="7"/>
  <c r="J492" i="7"/>
  <c r="H492" i="7"/>
  <c r="I492" i="7" s="1"/>
  <c r="K491" i="7"/>
  <c r="J491" i="7"/>
  <c r="I491" i="7"/>
  <c r="H491" i="7"/>
  <c r="K490" i="7"/>
  <c r="J490" i="7"/>
  <c r="H490" i="7"/>
  <c r="I490" i="7" s="1"/>
  <c r="K489" i="7"/>
  <c r="J489" i="7"/>
  <c r="I489" i="7"/>
  <c r="H489" i="7"/>
  <c r="K488" i="7"/>
  <c r="J488" i="7"/>
  <c r="H488" i="7"/>
  <c r="I488" i="7" s="1"/>
  <c r="K487" i="7"/>
  <c r="J487" i="7"/>
  <c r="I487" i="7"/>
  <c r="H487" i="7"/>
  <c r="K486" i="7"/>
  <c r="J486" i="7"/>
  <c r="H486" i="7"/>
  <c r="I486" i="7" s="1"/>
  <c r="K485" i="7"/>
  <c r="J485" i="7"/>
  <c r="I485" i="7"/>
  <c r="H485" i="7"/>
  <c r="K484" i="7"/>
  <c r="J484" i="7"/>
  <c r="H484" i="7"/>
  <c r="I484" i="7" s="1"/>
  <c r="K483" i="7"/>
  <c r="J483" i="7"/>
  <c r="I483" i="7"/>
  <c r="H483" i="7"/>
  <c r="K482" i="7"/>
  <c r="J482" i="7"/>
  <c r="H482" i="7"/>
  <c r="I482" i="7" s="1"/>
  <c r="K481" i="7"/>
  <c r="J481" i="7"/>
  <c r="I481" i="7"/>
  <c r="H481" i="7"/>
  <c r="K480" i="7"/>
  <c r="J480" i="7"/>
  <c r="H480" i="7"/>
  <c r="I480" i="7" s="1"/>
  <c r="K479" i="7"/>
  <c r="J479" i="7"/>
  <c r="I479" i="7"/>
  <c r="H479" i="7"/>
  <c r="K478" i="7"/>
  <c r="J478" i="7"/>
  <c r="H478" i="7"/>
  <c r="I478" i="7" s="1"/>
  <c r="K477" i="7"/>
  <c r="J477" i="7"/>
  <c r="I477" i="7"/>
  <c r="H477" i="7"/>
  <c r="K476" i="7"/>
  <c r="J476" i="7"/>
  <c r="H476" i="7"/>
  <c r="I476" i="7" s="1"/>
  <c r="K475" i="7"/>
  <c r="J475" i="7"/>
  <c r="I475" i="7"/>
  <c r="H475" i="7"/>
  <c r="K474" i="7"/>
  <c r="J474" i="7"/>
  <c r="H474" i="7"/>
  <c r="I474" i="7" s="1"/>
  <c r="K473" i="7"/>
  <c r="J473" i="7"/>
  <c r="I473" i="7"/>
  <c r="H473" i="7"/>
  <c r="K472" i="7"/>
  <c r="J472" i="7"/>
  <c r="H472" i="7"/>
  <c r="I472" i="7" s="1"/>
  <c r="K471" i="7"/>
  <c r="J471" i="7"/>
  <c r="I471" i="7"/>
  <c r="H471" i="7"/>
  <c r="K470" i="7"/>
  <c r="J470" i="7"/>
  <c r="H470" i="7"/>
  <c r="I470" i="7" s="1"/>
  <c r="K469" i="7"/>
  <c r="J469" i="7"/>
  <c r="I469" i="7"/>
  <c r="H469" i="7"/>
  <c r="K468" i="7"/>
  <c r="J468" i="7"/>
  <c r="H468" i="7"/>
  <c r="I468" i="7" s="1"/>
  <c r="K467" i="7"/>
  <c r="J467" i="7"/>
  <c r="I467" i="7"/>
  <c r="H467" i="7"/>
  <c r="K466" i="7"/>
  <c r="J466" i="7"/>
  <c r="H466" i="7"/>
  <c r="I466" i="7" s="1"/>
  <c r="K465" i="7"/>
  <c r="J465" i="7"/>
  <c r="I465" i="7"/>
  <c r="H465" i="7"/>
  <c r="K464" i="7"/>
  <c r="J464" i="7"/>
  <c r="H464" i="7"/>
  <c r="I464" i="7" s="1"/>
  <c r="K463" i="7"/>
  <c r="J463" i="7"/>
  <c r="I463" i="7"/>
  <c r="H463" i="7"/>
  <c r="K462" i="7"/>
  <c r="J462" i="7"/>
  <c r="H462" i="7"/>
  <c r="I462" i="7" s="1"/>
  <c r="K461" i="7"/>
  <c r="J461" i="7"/>
  <c r="I461" i="7"/>
  <c r="H461" i="7"/>
  <c r="K460" i="7"/>
  <c r="J460" i="7"/>
  <c r="H460" i="7"/>
  <c r="I460" i="7" s="1"/>
  <c r="K459" i="7"/>
  <c r="J459" i="7"/>
  <c r="I459" i="7"/>
  <c r="H459" i="7"/>
  <c r="K458" i="7"/>
  <c r="J458" i="7"/>
  <c r="H458" i="7"/>
  <c r="I458" i="7" s="1"/>
  <c r="K457" i="7"/>
  <c r="J457" i="7"/>
  <c r="I457" i="7"/>
  <c r="H457" i="7"/>
  <c r="K456" i="7"/>
  <c r="J456" i="7"/>
  <c r="H456" i="7"/>
  <c r="I456" i="7" s="1"/>
  <c r="K455" i="7"/>
  <c r="J455" i="7"/>
  <c r="I455" i="7"/>
  <c r="H455" i="7"/>
  <c r="K454" i="7"/>
  <c r="J454" i="7"/>
  <c r="H454" i="7"/>
  <c r="I454" i="7" s="1"/>
  <c r="K453" i="7"/>
  <c r="J453" i="7"/>
  <c r="I453" i="7"/>
  <c r="H453" i="7"/>
  <c r="K452" i="7"/>
  <c r="J452" i="7"/>
  <c r="H452" i="7"/>
  <c r="I452" i="7" s="1"/>
  <c r="K451" i="7"/>
  <c r="J451" i="7"/>
  <c r="I451" i="7"/>
  <c r="H451" i="7"/>
  <c r="K450" i="7"/>
  <c r="J450" i="7"/>
  <c r="H450" i="7"/>
  <c r="I450" i="7" s="1"/>
  <c r="K449" i="7"/>
  <c r="J449" i="7"/>
  <c r="I449" i="7"/>
  <c r="H449" i="7"/>
  <c r="K448" i="7"/>
  <c r="J448" i="7"/>
  <c r="H448" i="7"/>
  <c r="I448" i="7" s="1"/>
  <c r="K447" i="7"/>
  <c r="J447" i="7"/>
  <c r="I447" i="7"/>
  <c r="H447" i="7"/>
  <c r="K446" i="7"/>
  <c r="J446" i="7"/>
  <c r="H446" i="7"/>
  <c r="I446" i="7" s="1"/>
  <c r="K445" i="7"/>
  <c r="J445" i="7"/>
  <c r="I445" i="7"/>
  <c r="H445" i="7"/>
  <c r="K444" i="7"/>
  <c r="J444" i="7"/>
  <c r="H444" i="7"/>
  <c r="I444" i="7" s="1"/>
  <c r="K443" i="7"/>
  <c r="J443" i="7"/>
  <c r="I443" i="7"/>
  <c r="H443" i="7"/>
  <c r="K442" i="7"/>
  <c r="J442" i="7"/>
  <c r="H442" i="7"/>
  <c r="I442" i="7" s="1"/>
  <c r="K441" i="7"/>
  <c r="J441" i="7"/>
  <c r="I441" i="7"/>
  <c r="H441" i="7"/>
  <c r="K440" i="7"/>
  <c r="J440" i="7"/>
  <c r="H440" i="7"/>
  <c r="I440" i="7" s="1"/>
  <c r="K439" i="7"/>
  <c r="J439" i="7"/>
  <c r="I439" i="7"/>
  <c r="H439" i="7"/>
  <c r="K438" i="7"/>
  <c r="J438" i="7"/>
  <c r="H438" i="7"/>
  <c r="I438" i="7" s="1"/>
  <c r="K437" i="7"/>
  <c r="J437" i="7"/>
  <c r="I437" i="7"/>
  <c r="H437" i="7"/>
  <c r="K436" i="7"/>
  <c r="J436" i="7"/>
  <c r="H436" i="7"/>
  <c r="I436" i="7" s="1"/>
  <c r="K435" i="7"/>
  <c r="J435" i="7"/>
  <c r="I435" i="7"/>
  <c r="H435" i="7"/>
  <c r="K434" i="7"/>
  <c r="J434" i="7"/>
  <c r="H434" i="7"/>
  <c r="I434" i="7" s="1"/>
  <c r="K433" i="7"/>
  <c r="J433" i="7"/>
  <c r="I433" i="7"/>
  <c r="H433" i="7"/>
  <c r="K432" i="7"/>
  <c r="J432" i="7"/>
  <c r="H432" i="7"/>
  <c r="I432" i="7" s="1"/>
  <c r="K431" i="7"/>
  <c r="J431" i="7"/>
  <c r="I431" i="7"/>
  <c r="H431" i="7"/>
  <c r="K430" i="7"/>
  <c r="J430" i="7"/>
  <c r="H430" i="7"/>
  <c r="I430" i="7" s="1"/>
  <c r="K429" i="7"/>
  <c r="J429" i="7"/>
  <c r="I429" i="7"/>
  <c r="H429" i="7"/>
  <c r="K428" i="7"/>
  <c r="J428" i="7"/>
  <c r="H428" i="7"/>
  <c r="I428" i="7" s="1"/>
  <c r="K427" i="7"/>
  <c r="J427" i="7"/>
  <c r="I427" i="7"/>
  <c r="H427" i="7"/>
  <c r="K426" i="7"/>
  <c r="J426" i="7"/>
  <c r="H426" i="7"/>
  <c r="I426" i="7" s="1"/>
  <c r="K425" i="7"/>
  <c r="J425" i="7"/>
  <c r="I425" i="7"/>
  <c r="H425" i="7"/>
  <c r="K424" i="7"/>
  <c r="J424" i="7"/>
  <c r="H424" i="7"/>
  <c r="I424" i="7" s="1"/>
  <c r="K423" i="7"/>
  <c r="J423" i="7"/>
  <c r="I423" i="7"/>
  <c r="H423" i="7"/>
  <c r="K422" i="7"/>
  <c r="J422" i="7"/>
  <c r="H422" i="7"/>
  <c r="I422" i="7" s="1"/>
  <c r="K421" i="7"/>
  <c r="J421" i="7"/>
  <c r="I421" i="7"/>
  <c r="H421" i="7"/>
  <c r="K420" i="7"/>
  <c r="J420" i="7"/>
  <c r="H420" i="7"/>
  <c r="I420" i="7" s="1"/>
  <c r="K419" i="7"/>
  <c r="J419" i="7"/>
  <c r="I419" i="7"/>
  <c r="H419" i="7"/>
  <c r="K418" i="7"/>
  <c r="J418" i="7"/>
  <c r="H418" i="7"/>
  <c r="I418" i="7" s="1"/>
  <c r="K417" i="7"/>
  <c r="J417" i="7"/>
  <c r="I417" i="7"/>
  <c r="H417" i="7"/>
  <c r="K416" i="7"/>
  <c r="J416" i="7"/>
  <c r="H416" i="7"/>
  <c r="I416" i="7" s="1"/>
  <c r="K415" i="7"/>
  <c r="J415" i="7"/>
  <c r="I415" i="7"/>
  <c r="H415" i="7"/>
  <c r="K414" i="7"/>
  <c r="J414" i="7"/>
  <c r="H414" i="7"/>
  <c r="I414" i="7" s="1"/>
  <c r="K413" i="7"/>
  <c r="J413" i="7"/>
  <c r="I413" i="7"/>
  <c r="H413" i="7"/>
  <c r="K412" i="7"/>
  <c r="J412" i="7"/>
  <c r="H412" i="7"/>
  <c r="I412" i="7" s="1"/>
  <c r="K411" i="7"/>
  <c r="J411" i="7"/>
  <c r="I411" i="7"/>
  <c r="H411" i="7"/>
  <c r="K410" i="7"/>
  <c r="J410" i="7"/>
  <c r="H410" i="7"/>
  <c r="I410" i="7" s="1"/>
  <c r="K409" i="7"/>
  <c r="J409" i="7"/>
  <c r="I409" i="7"/>
  <c r="H409" i="7"/>
  <c r="K408" i="7"/>
  <c r="J408" i="7"/>
  <c r="H408" i="7"/>
  <c r="I408" i="7" s="1"/>
  <c r="K407" i="7"/>
  <c r="J407" i="7"/>
  <c r="I407" i="7"/>
  <c r="H407" i="7"/>
  <c r="K406" i="7"/>
  <c r="J406" i="7"/>
  <c r="H406" i="7"/>
  <c r="I406" i="7" s="1"/>
  <c r="K405" i="7"/>
  <c r="J405" i="7"/>
  <c r="I405" i="7"/>
  <c r="H405" i="7"/>
  <c r="K404" i="7"/>
  <c r="J404" i="7"/>
  <c r="H404" i="7"/>
  <c r="I404" i="7" s="1"/>
  <c r="K403" i="7"/>
  <c r="J403" i="7"/>
  <c r="I403" i="7"/>
  <c r="H403" i="7"/>
  <c r="K402" i="7"/>
  <c r="J402" i="7"/>
  <c r="H402" i="7"/>
  <c r="I402" i="7" s="1"/>
  <c r="K401" i="7"/>
  <c r="J401" i="7"/>
  <c r="I401" i="7"/>
  <c r="H401" i="7"/>
  <c r="K400" i="7"/>
  <c r="J400" i="7"/>
  <c r="H400" i="7"/>
  <c r="I400" i="7" s="1"/>
  <c r="K399" i="7"/>
  <c r="J399" i="7"/>
  <c r="I399" i="7"/>
  <c r="H399" i="7"/>
  <c r="K398" i="7"/>
  <c r="J398" i="7"/>
  <c r="H398" i="7"/>
  <c r="I398" i="7" s="1"/>
  <c r="K397" i="7"/>
  <c r="J397" i="7"/>
  <c r="I397" i="7"/>
  <c r="H397" i="7"/>
  <c r="K396" i="7"/>
  <c r="J396" i="7"/>
  <c r="H396" i="7"/>
  <c r="I396" i="7" s="1"/>
  <c r="K395" i="7"/>
  <c r="J395" i="7"/>
  <c r="I395" i="7"/>
  <c r="H395" i="7"/>
  <c r="K394" i="7"/>
  <c r="J394" i="7"/>
  <c r="H394" i="7"/>
  <c r="I394" i="7" s="1"/>
  <c r="K393" i="7"/>
  <c r="J393" i="7"/>
  <c r="I393" i="7"/>
  <c r="H393" i="7"/>
  <c r="K392" i="7"/>
  <c r="J392" i="7"/>
  <c r="H392" i="7"/>
  <c r="I392" i="7" s="1"/>
  <c r="K391" i="7"/>
  <c r="J391" i="7"/>
  <c r="I391" i="7"/>
  <c r="H391" i="7"/>
  <c r="K390" i="7"/>
  <c r="J390" i="7"/>
  <c r="H390" i="7"/>
  <c r="I390" i="7" s="1"/>
  <c r="K389" i="7"/>
  <c r="J389" i="7"/>
  <c r="I389" i="7"/>
  <c r="H389" i="7"/>
  <c r="K388" i="7"/>
  <c r="J388" i="7"/>
  <c r="H388" i="7"/>
  <c r="I388" i="7" s="1"/>
  <c r="K387" i="7"/>
  <c r="J387" i="7"/>
  <c r="I387" i="7"/>
  <c r="H387" i="7"/>
  <c r="K386" i="7"/>
  <c r="J386" i="7"/>
  <c r="H386" i="7"/>
  <c r="I386" i="7" s="1"/>
  <c r="K385" i="7"/>
  <c r="J385" i="7"/>
  <c r="I385" i="7"/>
  <c r="H385" i="7"/>
  <c r="K384" i="7"/>
  <c r="J384" i="7"/>
  <c r="H384" i="7"/>
  <c r="I384" i="7" s="1"/>
  <c r="K383" i="7"/>
  <c r="J383" i="7"/>
  <c r="I383" i="7"/>
  <c r="H383" i="7"/>
  <c r="K382" i="7"/>
  <c r="J382" i="7"/>
  <c r="H382" i="7"/>
  <c r="I382" i="7" s="1"/>
  <c r="K381" i="7"/>
  <c r="J381" i="7"/>
  <c r="I381" i="7"/>
  <c r="H381" i="7"/>
  <c r="K380" i="7"/>
  <c r="J380" i="7"/>
  <c r="H380" i="7"/>
  <c r="I380" i="7" s="1"/>
  <c r="K379" i="7"/>
  <c r="J379" i="7"/>
  <c r="I379" i="7"/>
  <c r="H379" i="7"/>
  <c r="K378" i="7"/>
  <c r="J378" i="7"/>
  <c r="H378" i="7"/>
  <c r="I378" i="7" s="1"/>
  <c r="K377" i="7"/>
  <c r="J377" i="7"/>
  <c r="I377" i="7"/>
  <c r="H377" i="7"/>
  <c r="K376" i="7"/>
  <c r="J376" i="7"/>
  <c r="H376" i="7"/>
  <c r="I376" i="7" s="1"/>
  <c r="K375" i="7"/>
  <c r="J375" i="7"/>
  <c r="I375" i="7"/>
  <c r="H375" i="7"/>
  <c r="K374" i="7"/>
  <c r="J374" i="7"/>
  <c r="H374" i="7"/>
  <c r="I374" i="7" s="1"/>
  <c r="K373" i="7"/>
  <c r="J373" i="7"/>
  <c r="I373" i="7"/>
  <c r="H373" i="7"/>
  <c r="K372" i="7"/>
  <c r="J372" i="7"/>
  <c r="H372" i="7"/>
  <c r="I372" i="7" s="1"/>
  <c r="K371" i="7"/>
  <c r="J371" i="7"/>
  <c r="I371" i="7"/>
  <c r="H371" i="7"/>
  <c r="K370" i="7"/>
  <c r="J370" i="7"/>
  <c r="H370" i="7"/>
  <c r="I370" i="7" s="1"/>
  <c r="K369" i="7"/>
  <c r="J369" i="7"/>
  <c r="I369" i="7"/>
  <c r="H369" i="7"/>
  <c r="K368" i="7"/>
  <c r="J368" i="7"/>
  <c r="H368" i="7"/>
  <c r="I368" i="7" s="1"/>
  <c r="K367" i="7"/>
  <c r="J367" i="7"/>
  <c r="I367" i="7"/>
  <c r="H367" i="7"/>
  <c r="K366" i="7"/>
  <c r="J366" i="7"/>
  <c r="H366" i="7"/>
  <c r="I366" i="7" s="1"/>
  <c r="K365" i="7"/>
  <c r="J365" i="7"/>
  <c r="I365" i="7"/>
  <c r="H365" i="7"/>
  <c r="K364" i="7"/>
  <c r="J364" i="7"/>
  <c r="H364" i="7"/>
  <c r="I364" i="7" s="1"/>
  <c r="K363" i="7"/>
  <c r="J363" i="7"/>
  <c r="I363" i="7"/>
  <c r="H363" i="7"/>
  <c r="K362" i="7"/>
  <c r="J362" i="7"/>
  <c r="H362" i="7"/>
  <c r="I362" i="7" s="1"/>
  <c r="K361" i="7"/>
  <c r="J361" i="7"/>
  <c r="I361" i="7"/>
  <c r="H361" i="7"/>
  <c r="K360" i="7"/>
  <c r="J360" i="7"/>
  <c r="H360" i="7"/>
  <c r="I360" i="7" s="1"/>
  <c r="K359" i="7"/>
  <c r="J359" i="7"/>
  <c r="I359" i="7"/>
  <c r="H359" i="7"/>
  <c r="K358" i="7"/>
  <c r="J358" i="7"/>
  <c r="H358" i="7"/>
  <c r="I358" i="7" s="1"/>
  <c r="K357" i="7"/>
  <c r="J357" i="7"/>
  <c r="I357" i="7"/>
  <c r="H357" i="7"/>
  <c r="K356" i="7"/>
  <c r="J356" i="7"/>
  <c r="H356" i="7"/>
  <c r="I356" i="7" s="1"/>
  <c r="K355" i="7"/>
  <c r="J355" i="7"/>
  <c r="I355" i="7"/>
  <c r="H355" i="7"/>
  <c r="K354" i="7"/>
  <c r="J354" i="7"/>
  <c r="H354" i="7"/>
  <c r="I354" i="7" s="1"/>
  <c r="K353" i="7"/>
  <c r="J353" i="7"/>
  <c r="I353" i="7"/>
  <c r="H353" i="7"/>
  <c r="K352" i="7"/>
  <c r="J352" i="7"/>
  <c r="H352" i="7"/>
  <c r="I352" i="7" s="1"/>
  <c r="K351" i="7"/>
  <c r="J351" i="7"/>
  <c r="I351" i="7"/>
  <c r="H351" i="7"/>
  <c r="K350" i="7"/>
  <c r="J350" i="7"/>
  <c r="H350" i="7"/>
  <c r="I350" i="7" s="1"/>
  <c r="K349" i="7"/>
  <c r="J349" i="7"/>
  <c r="I349" i="7"/>
  <c r="H349" i="7"/>
  <c r="K348" i="7"/>
  <c r="J348" i="7"/>
  <c r="H348" i="7"/>
  <c r="I348" i="7" s="1"/>
  <c r="K347" i="7"/>
  <c r="J347" i="7"/>
  <c r="I347" i="7"/>
  <c r="H347" i="7"/>
  <c r="K346" i="7"/>
  <c r="J346" i="7"/>
  <c r="H346" i="7"/>
  <c r="I346" i="7" s="1"/>
  <c r="K345" i="7"/>
  <c r="J345" i="7"/>
  <c r="I345" i="7"/>
  <c r="H345" i="7"/>
  <c r="K344" i="7"/>
  <c r="J344" i="7"/>
  <c r="H344" i="7"/>
  <c r="I344" i="7" s="1"/>
  <c r="K343" i="7"/>
  <c r="J343" i="7"/>
  <c r="I343" i="7"/>
  <c r="H343" i="7"/>
  <c r="K342" i="7"/>
  <c r="J342" i="7"/>
  <c r="H342" i="7"/>
  <c r="I342" i="7" s="1"/>
  <c r="K341" i="7"/>
  <c r="J341" i="7"/>
  <c r="I341" i="7"/>
  <c r="H341" i="7"/>
  <c r="K340" i="7"/>
  <c r="J340" i="7"/>
  <c r="H340" i="7"/>
  <c r="I340" i="7" s="1"/>
  <c r="K339" i="7"/>
  <c r="J339" i="7"/>
  <c r="I339" i="7"/>
  <c r="H339" i="7"/>
  <c r="K338" i="7"/>
  <c r="J338" i="7"/>
  <c r="H338" i="7"/>
  <c r="I338" i="7" s="1"/>
  <c r="K337" i="7"/>
  <c r="J337" i="7"/>
  <c r="I337" i="7"/>
  <c r="H337" i="7"/>
  <c r="K336" i="7"/>
  <c r="J336" i="7"/>
  <c r="H336" i="7"/>
  <c r="I336" i="7" s="1"/>
  <c r="K335" i="7"/>
  <c r="J335" i="7"/>
  <c r="I335" i="7"/>
  <c r="H335" i="7"/>
  <c r="K334" i="7"/>
  <c r="J334" i="7"/>
  <c r="H334" i="7"/>
  <c r="I334" i="7" s="1"/>
  <c r="K333" i="7"/>
  <c r="J333" i="7"/>
  <c r="I333" i="7"/>
  <c r="H333" i="7"/>
  <c r="K332" i="7"/>
  <c r="J332" i="7"/>
  <c r="H332" i="7"/>
  <c r="I332" i="7" s="1"/>
  <c r="K331" i="7"/>
  <c r="J331" i="7"/>
  <c r="I331" i="7"/>
  <c r="H331" i="7"/>
  <c r="K330" i="7"/>
  <c r="J330" i="7"/>
  <c r="H330" i="7"/>
  <c r="I330" i="7" s="1"/>
  <c r="K329" i="7"/>
  <c r="J329" i="7"/>
  <c r="I329" i="7"/>
  <c r="H329" i="7"/>
  <c r="K328" i="7"/>
  <c r="J328" i="7"/>
  <c r="H328" i="7"/>
  <c r="I328" i="7" s="1"/>
  <c r="K327" i="7"/>
  <c r="J327" i="7"/>
  <c r="I327" i="7"/>
  <c r="H327" i="7"/>
  <c r="K326" i="7"/>
  <c r="J326" i="7"/>
  <c r="H326" i="7"/>
  <c r="I326" i="7" s="1"/>
  <c r="K325" i="7"/>
  <c r="J325" i="7"/>
  <c r="I325" i="7"/>
  <c r="H325" i="7"/>
  <c r="K324" i="7"/>
  <c r="J324" i="7"/>
  <c r="H324" i="7"/>
  <c r="I324" i="7" s="1"/>
  <c r="K323" i="7"/>
  <c r="J323" i="7"/>
  <c r="I323" i="7"/>
  <c r="H323" i="7"/>
  <c r="K322" i="7"/>
  <c r="J322" i="7"/>
  <c r="H322" i="7"/>
  <c r="I322" i="7" s="1"/>
  <c r="K321" i="7"/>
  <c r="J321" i="7"/>
  <c r="I321" i="7"/>
  <c r="H321" i="7"/>
  <c r="K320" i="7"/>
  <c r="J320" i="7"/>
  <c r="H320" i="7"/>
  <c r="I320" i="7" s="1"/>
  <c r="K319" i="7"/>
  <c r="J319" i="7"/>
  <c r="I319" i="7"/>
  <c r="H319" i="7"/>
  <c r="K318" i="7"/>
  <c r="J318" i="7"/>
  <c r="H318" i="7"/>
  <c r="I318" i="7" s="1"/>
  <c r="K317" i="7"/>
  <c r="J317" i="7"/>
  <c r="I317" i="7"/>
  <c r="H317" i="7"/>
  <c r="K316" i="7"/>
  <c r="J316" i="7"/>
  <c r="H316" i="7"/>
  <c r="I316" i="7" s="1"/>
  <c r="K315" i="7"/>
  <c r="J315" i="7"/>
  <c r="I315" i="7"/>
  <c r="H315" i="7"/>
  <c r="K314" i="7"/>
  <c r="J314" i="7"/>
  <c r="H314" i="7"/>
  <c r="I314" i="7" s="1"/>
  <c r="K313" i="7"/>
  <c r="J313" i="7"/>
  <c r="I313" i="7"/>
  <c r="H313" i="7"/>
  <c r="K312" i="7"/>
  <c r="J312" i="7"/>
  <c r="H312" i="7"/>
  <c r="I312" i="7" s="1"/>
  <c r="K311" i="7"/>
  <c r="J311" i="7"/>
  <c r="I311" i="7"/>
  <c r="H311" i="7"/>
  <c r="K310" i="7"/>
  <c r="J310" i="7"/>
  <c r="H310" i="7"/>
  <c r="I310" i="7" s="1"/>
  <c r="K309" i="7"/>
  <c r="J309" i="7"/>
  <c r="I309" i="7"/>
  <c r="H309" i="7"/>
  <c r="K308" i="7"/>
  <c r="J308" i="7"/>
  <c r="H308" i="7"/>
  <c r="I308" i="7" s="1"/>
  <c r="K307" i="7"/>
  <c r="J307" i="7"/>
  <c r="I307" i="7"/>
  <c r="H307" i="7"/>
  <c r="K306" i="7"/>
  <c r="J306" i="7"/>
  <c r="H306" i="7"/>
  <c r="I306" i="7" s="1"/>
  <c r="K305" i="7"/>
  <c r="J305" i="7"/>
  <c r="I305" i="7"/>
  <c r="H305" i="7"/>
  <c r="K304" i="7"/>
  <c r="J304" i="7"/>
  <c r="H304" i="7"/>
  <c r="I304" i="7" s="1"/>
  <c r="K303" i="7"/>
  <c r="J303" i="7"/>
  <c r="I303" i="7"/>
  <c r="H303" i="7"/>
  <c r="K302" i="7"/>
  <c r="J302" i="7"/>
  <c r="H302" i="7"/>
  <c r="I302" i="7" s="1"/>
  <c r="K301" i="7"/>
  <c r="J301" i="7"/>
  <c r="I301" i="7"/>
  <c r="H301" i="7"/>
  <c r="K300" i="7"/>
  <c r="J300" i="7"/>
  <c r="H300" i="7"/>
  <c r="I300" i="7" s="1"/>
  <c r="K299" i="7"/>
  <c r="J299" i="7"/>
  <c r="I299" i="7"/>
  <c r="H299" i="7"/>
  <c r="K298" i="7"/>
  <c r="J298" i="7"/>
  <c r="H298" i="7"/>
  <c r="I298" i="7" s="1"/>
  <c r="K297" i="7"/>
  <c r="J297" i="7"/>
  <c r="I297" i="7"/>
  <c r="H297" i="7"/>
  <c r="K296" i="7"/>
  <c r="J296" i="7"/>
  <c r="H296" i="7"/>
  <c r="I296" i="7" s="1"/>
  <c r="K295" i="7"/>
  <c r="J295" i="7"/>
  <c r="I295" i="7"/>
  <c r="H295" i="7"/>
  <c r="K294" i="7"/>
  <c r="J294" i="7"/>
  <c r="H294" i="7"/>
  <c r="I294" i="7" s="1"/>
  <c r="K293" i="7"/>
  <c r="J293" i="7"/>
  <c r="I293" i="7"/>
  <c r="H293" i="7"/>
  <c r="K292" i="7"/>
  <c r="J292" i="7"/>
  <c r="H292" i="7"/>
  <c r="I292" i="7" s="1"/>
  <c r="K291" i="7"/>
  <c r="J291" i="7"/>
  <c r="I291" i="7"/>
  <c r="H291" i="7"/>
  <c r="K290" i="7"/>
  <c r="J290" i="7"/>
  <c r="H290" i="7"/>
  <c r="I290" i="7" s="1"/>
  <c r="K289" i="7"/>
  <c r="J289" i="7"/>
  <c r="I289" i="7"/>
  <c r="H289" i="7"/>
  <c r="K288" i="7"/>
  <c r="J288" i="7"/>
  <c r="H288" i="7"/>
  <c r="I288" i="7" s="1"/>
  <c r="K287" i="7"/>
  <c r="J287" i="7"/>
  <c r="I287" i="7"/>
  <c r="H287" i="7"/>
  <c r="K286" i="7"/>
  <c r="J286" i="7"/>
  <c r="H286" i="7"/>
  <c r="I286" i="7" s="1"/>
  <c r="K285" i="7"/>
  <c r="J285" i="7"/>
  <c r="I285" i="7"/>
  <c r="H285" i="7"/>
  <c r="K284" i="7"/>
  <c r="J284" i="7"/>
  <c r="H284" i="7"/>
  <c r="I284" i="7" s="1"/>
  <c r="K283" i="7"/>
  <c r="J283" i="7"/>
  <c r="I283" i="7"/>
  <c r="H283" i="7"/>
  <c r="K282" i="7"/>
  <c r="J282" i="7"/>
  <c r="H282" i="7"/>
  <c r="I282" i="7" s="1"/>
  <c r="K281" i="7"/>
  <c r="J281" i="7"/>
  <c r="I281" i="7"/>
  <c r="H281" i="7"/>
  <c r="K280" i="7"/>
  <c r="J280" i="7"/>
  <c r="H280" i="7"/>
  <c r="I280" i="7" s="1"/>
  <c r="K279" i="7"/>
  <c r="J279" i="7"/>
  <c r="I279" i="7"/>
  <c r="H279" i="7"/>
  <c r="K278" i="7"/>
  <c r="J278" i="7"/>
  <c r="H278" i="7"/>
  <c r="I278" i="7" s="1"/>
  <c r="K277" i="7"/>
  <c r="J277" i="7"/>
  <c r="I277" i="7"/>
  <c r="H277" i="7"/>
  <c r="K276" i="7"/>
  <c r="J276" i="7"/>
  <c r="H276" i="7"/>
  <c r="I276" i="7" s="1"/>
  <c r="K275" i="7"/>
  <c r="J275" i="7"/>
  <c r="I275" i="7"/>
  <c r="H275" i="7"/>
  <c r="K274" i="7"/>
  <c r="J274" i="7"/>
  <c r="H274" i="7"/>
  <c r="I274" i="7" s="1"/>
  <c r="K273" i="7"/>
  <c r="J273" i="7"/>
  <c r="I273" i="7"/>
  <c r="H273" i="7"/>
  <c r="K272" i="7"/>
  <c r="J272" i="7"/>
  <c r="H272" i="7"/>
  <c r="I272" i="7" s="1"/>
  <c r="K271" i="7"/>
  <c r="J271" i="7"/>
  <c r="I271" i="7"/>
  <c r="H271" i="7"/>
  <c r="K270" i="7"/>
  <c r="J270" i="7"/>
  <c r="H270" i="7"/>
  <c r="I270" i="7" s="1"/>
  <c r="K269" i="7"/>
  <c r="J269" i="7"/>
  <c r="I269" i="7"/>
  <c r="H269" i="7"/>
  <c r="K268" i="7"/>
  <c r="J268" i="7"/>
  <c r="H268" i="7"/>
  <c r="I268" i="7" s="1"/>
  <c r="K267" i="7"/>
  <c r="J267" i="7"/>
  <c r="I267" i="7"/>
  <c r="H267" i="7"/>
  <c r="K266" i="7"/>
  <c r="J266" i="7"/>
  <c r="H266" i="7"/>
  <c r="I266" i="7" s="1"/>
  <c r="K265" i="7"/>
  <c r="J265" i="7"/>
  <c r="I265" i="7"/>
  <c r="H265" i="7"/>
  <c r="K264" i="7"/>
  <c r="J264" i="7"/>
  <c r="H264" i="7"/>
  <c r="I264" i="7" s="1"/>
  <c r="K263" i="7"/>
  <c r="J263" i="7"/>
  <c r="I263" i="7"/>
  <c r="H263" i="7"/>
  <c r="K262" i="7"/>
  <c r="J262" i="7"/>
  <c r="H262" i="7"/>
  <c r="I262" i="7" s="1"/>
  <c r="K261" i="7"/>
  <c r="J261" i="7"/>
  <c r="I261" i="7"/>
  <c r="H261" i="7"/>
  <c r="K260" i="7"/>
  <c r="J260" i="7"/>
  <c r="H260" i="7"/>
  <c r="I260" i="7" s="1"/>
  <c r="K259" i="7"/>
  <c r="J259" i="7"/>
  <c r="I259" i="7"/>
  <c r="H259" i="7"/>
  <c r="K258" i="7"/>
  <c r="J258" i="7"/>
  <c r="H258" i="7"/>
  <c r="I258" i="7" s="1"/>
  <c r="K257" i="7"/>
  <c r="J257" i="7"/>
  <c r="I257" i="7"/>
  <c r="H257" i="7"/>
  <c r="K256" i="7"/>
  <c r="J256" i="7"/>
  <c r="H256" i="7"/>
  <c r="I256" i="7" s="1"/>
  <c r="K255" i="7"/>
  <c r="J255" i="7"/>
  <c r="I255" i="7"/>
  <c r="H255" i="7"/>
  <c r="K254" i="7"/>
  <c r="J254" i="7"/>
  <c r="H254" i="7"/>
  <c r="I254" i="7" s="1"/>
  <c r="K253" i="7"/>
  <c r="J253" i="7"/>
  <c r="I253" i="7"/>
  <c r="H253" i="7"/>
  <c r="K252" i="7"/>
  <c r="J252" i="7"/>
  <c r="H252" i="7"/>
  <c r="I252" i="7" s="1"/>
  <c r="K251" i="7"/>
  <c r="J251" i="7"/>
  <c r="I251" i="7"/>
  <c r="H251" i="7"/>
  <c r="K250" i="7"/>
  <c r="J250" i="7"/>
  <c r="H250" i="7"/>
  <c r="I250" i="7" s="1"/>
  <c r="K249" i="7"/>
  <c r="J249" i="7"/>
  <c r="I249" i="7"/>
  <c r="H249" i="7"/>
  <c r="K248" i="7"/>
  <c r="J248" i="7"/>
  <c r="H248" i="7"/>
  <c r="I248" i="7" s="1"/>
  <c r="K247" i="7"/>
  <c r="J247" i="7"/>
  <c r="I247" i="7"/>
  <c r="H247" i="7"/>
  <c r="K246" i="7"/>
  <c r="J246" i="7"/>
  <c r="H246" i="7"/>
  <c r="I246" i="7" s="1"/>
  <c r="K245" i="7"/>
  <c r="J245" i="7"/>
  <c r="I245" i="7"/>
  <c r="H245" i="7"/>
  <c r="K244" i="7"/>
  <c r="J244" i="7"/>
  <c r="H244" i="7"/>
  <c r="I244" i="7" s="1"/>
  <c r="K243" i="7"/>
  <c r="J243" i="7"/>
  <c r="I243" i="7"/>
  <c r="H243" i="7"/>
  <c r="K242" i="7"/>
  <c r="J242" i="7"/>
  <c r="H242" i="7"/>
  <c r="I242" i="7" s="1"/>
  <c r="K241" i="7"/>
  <c r="J241" i="7"/>
  <c r="I241" i="7"/>
  <c r="H241" i="7"/>
  <c r="K240" i="7"/>
  <c r="J240" i="7"/>
  <c r="H240" i="7"/>
  <c r="I240" i="7" s="1"/>
  <c r="K239" i="7"/>
  <c r="J239" i="7"/>
  <c r="I239" i="7"/>
  <c r="H239" i="7"/>
  <c r="K238" i="7"/>
  <c r="J238" i="7"/>
  <c r="H238" i="7"/>
  <c r="I238" i="7" s="1"/>
  <c r="K237" i="7"/>
  <c r="J237" i="7"/>
  <c r="I237" i="7"/>
  <c r="H237" i="7"/>
  <c r="K236" i="7"/>
  <c r="J236" i="7"/>
  <c r="H236" i="7"/>
  <c r="I236" i="7" s="1"/>
  <c r="K235" i="7"/>
  <c r="J235" i="7"/>
  <c r="I235" i="7"/>
  <c r="H235" i="7"/>
  <c r="K234" i="7"/>
  <c r="J234" i="7"/>
  <c r="H234" i="7"/>
  <c r="I234" i="7" s="1"/>
  <c r="K233" i="7"/>
  <c r="J233" i="7"/>
  <c r="I233" i="7"/>
  <c r="H233" i="7"/>
  <c r="K232" i="7"/>
  <c r="J232" i="7"/>
  <c r="H232" i="7"/>
  <c r="I232" i="7" s="1"/>
  <c r="K231" i="7"/>
  <c r="J231" i="7"/>
  <c r="I231" i="7"/>
  <c r="H231" i="7"/>
  <c r="K230" i="7"/>
  <c r="J230" i="7"/>
  <c r="H230" i="7"/>
  <c r="I230" i="7" s="1"/>
  <c r="K229" i="7"/>
  <c r="J229" i="7"/>
  <c r="I229" i="7"/>
  <c r="H229" i="7"/>
  <c r="K228" i="7"/>
  <c r="J228" i="7"/>
  <c r="H228" i="7"/>
  <c r="I228" i="7" s="1"/>
  <c r="K227" i="7"/>
  <c r="J227" i="7"/>
  <c r="I227" i="7"/>
  <c r="H227" i="7"/>
  <c r="K226" i="7"/>
  <c r="J226" i="7"/>
  <c r="H226" i="7"/>
  <c r="I226" i="7" s="1"/>
  <c r="K225" i="7"/>
  <c r="J225" i="7"/>
  <c r="I225" i="7"/>
  <c r="H225" i="7"/>
  <c r="K224" i="7"/>
  <c r="J224" i="7"/>
  <c r="H224" i="7"/>
  <c r="I224" i="7" s="1"/>
  <c r="K223" i="7"/>
  <c r="J223" i="7"/>
  <c r="I223" i="7"/>
  <c r="H223" i="7"/>
  <c r="K222" i="7"/>
  <c r="J222" i="7"/>
  <c r="H222" i="7"/>
  <c r="I222" i="7" s="1"/>
  <c r="K221" i="7"/>
  <c r="J221" i="7"/>
  <c r="I221" i="7"/>
  <c r="H221" i="7"/>
  <c r="K220" i="7"/>
  <c r="J220" i="7"/>
  <c r="H220" i="7"/>
  <c r="I220" i="7" s="1"/>
  <c r="K219" i="7"/>
  <c r="J219" i="7"/>
  <c r="I219" i="7"/>
  <c r="H219" i="7"/>
  <c r="K218" i="7"/>
  <c r="J218" i="7"/>
  <c r="H218" i="7"/>
  <c r="I218" i="7" s="1"/>
  <c r="K217" i="7"/>
  <c r="J217" i="7"/>
  <c r="I217" i="7"/>
  <c r="H217" i="7"/>
  <c r="K216" i="7"/>
  <c r="J216" i="7"/>
  <c r="H216" i="7"/>
  <c r="I216" i="7" s="1"/>
  <c r="K215" i="7"/>
  <c r="J215" i="7"/>
  <c r="I215" i="7"/>
  <c r="H215" i="7"/>
  <c r="K214" i="7"/>
  <c r="J214" i="7"/>
  <c r="H214" i="7"/>
  <c r="I214" i="7" s="1"/>
  <c r="K213" i="7"/>
  <c r="J213" i="7"/>
  <c r="I213" i="7"/>
  <c r="H213" i="7"/>
  <c r="K212" i="7"/>
  <c r="J212" i="7"/>
  <c r="H212" i="7"/>
  <c r="I212" i="7" s="1"/>
  <c r="K211" i="7"/>
  <c r="J211" i="7"/>
  <c r="I211" i="7"/>
  <c r="H211" i="7"/>
  <c r="K210" i="7"/>
  <c r="J210" i="7"/>
  <c r="H210" i="7"/>
  <c r="I210" i="7" s="1"/>
  <c r="K209" i="7"/>
  <c r="J209" i="7"/>
  <c r="I209" i="7"/>
  <c r="H209" i="7"/>
  <c r="K208" i="7"/>
  <c r="J208" i="7"/>
  <c r="H208" i="7"/>
  <c r="I208" i="7" s="1"/>
  <c r="K207" i="7"/>
  <c r="J207" i="7"/>
  <c r="I207" i="7"/>
  <c r="H207" i="7"/>
  <c r="K206" i="7"/>
  <c r="J206" i="7"/>
  <c r="H206" i="7"/>
  <c r="I206" i="7" s="1"/>
  <c r="K205" i="7"/>
  <c r="J205" i="7"/>
  <c r="I205" i="7"/>
  <c r="H205" i="7"/>
  <c r="K204" i="7"/>
  <c r="J204" i="7"/>
  <c r="H204" i="7"/>
  <c r="I204" i="7" s="1"/>
  <c r="K203" i="7"/>
  <c r="J203" i="7"/>
  <c r="I203" i="7"/>
  <c r="H203" i="7"/>
  <c r="K202" i="7"/>
  <c r="J202" i="7"/>
  <c r="H202" i="7"/>
  <c r="I202" i="7" s="1"/>
  <c r="K201" i="7"/>
  <c r="J201" i="7"/>
  <c r="I201" i="7"/>
  <c r="H201" i="7"/>
  <c r="K200" i="7"/>
  <c r="J200" i="7"/>
  <c r="H200" i="7"/>
  <c r="I200" i="7" s="1"/>
  <c r="K199" i="7"/>
  <c r="J199" i="7"/>
  <c r="I199" i="7"/>
  <c r="H199" i="7"/>
  <c r="K198" i="7"/>
  <c r="J198" i="7"/>
  <c r="H198" i="7"/>
  <c r="I198" i="7" s="1"/>
  <c r="K197" i="7"/>
  <c r="J197" i="7"/>
  <c r="I197" i="7"/>
  <c r="H197" i="7"/>
  <c r="K196" i="7"/>
  <c r="J196" i="7"/>
  <c r="H196" i="7"/>
  <c r="I196" i="7" s="1"/>
  <c r="K195" i="7"/>
  <c r="J195" i="7"/>
  <c r="I195" i="7"/>
  <c r="H195" i="7"/>
  <c r="K194" i="7"/>
  <c r="J194" i="7"/>
  <c r="H194" i="7"/>
  <c r="I194" i="7" s="1"/>
  <c r="K193" i="7"/>
  <c r="J193" i="7"/>
  <c r="I193" i="7"/>
  <c r="H193" i="7"/>
  <c r="K192" i="7"/>
  <c r="J192" i="7"/>
  <c r="H192" i="7"/>
  <c r="I192" i="7" s="1"/>
  <c r="K191" i="7"/>
  <c r="J191" i="7"/>
  <c r="I191" i="7"/>
  <c r="H191" i="7"/>
  <c r="K190" i="7"/>
  <c r="J190" i="7"/>
  <c r="H190" i="7"/>
  <c r="I190" i="7" s="1"/>
  <c r="K189" i="7"/>
  <c r="G21" i="16" s="1"/>
  <c r="J189" i="7"/>
  <c r="F21" i="16" s="1"/>
  <c r="I189" i="7"/>
  <c r="H189" i="7"/>
  <c r="K188" i="7"/>
  <c r="J188" i="7"/>
  <c r="H188" i="7"/>
  <c r="I188" i="7" s="1"/>
  <c r="K187" i="7"/>
  <c r="J187" i="7"/>
  <c r="I187" i="7"/>
  <c r="H187" i="7"/>
  <c r="K186" i="7"/>
  <c r="J186" i="7"/>
  <c r="H186" i="7"/>
  <c r="I186" i="7" s="1"/>
  <c r="K185" i="7"/>
  <c r="J185" i="7"/>
  <c r="I185" i="7"/>
  <c r="H185" i="7"/>
  <c r="K184" i="7"/>
  <c r="J184" i="7"/>
  <c r="H184" i="7"/>
  <c r="I184" i="7" s="1"/>
  <c r="K183" i="7"/>
  <c r="J183" i="7"/>
  <c r="I183" i="7"/>
  <c r="H183" i="7"/>
  <c r="K182" i="7"/>
  <c r="J182" i="7"/>
  <c r="H182" i="7"/>
  <c r="I182" i="7" s="1"/>
  <c r="K181" i="7"/>
  <c r="J181" i="7"/>
  <c r="I181" i="7"/>
  <c r="H181" i="7"/>
  <c r="K180" i="7"/>
  <c r="J180" i="7"/>
  <c r="H180" i="7"/>
  <c r="I180" i="7" s="1"/>
  <c r="K179" i="7"/>
  <c r="J179" i="7"/>
  <c r="I179" i="7"/>
  <c r="H179" i="7"/>
  <c r="K178" i="7"/>
  <c r="J178" i="7"/>
  <c r="H178" i="7"/>
  <c r="I178" i="7" s="1"/>
  <c r="K177" i="7"/>
  <c r="J177" i="7"/>
  <c r="I177" i="7"/>
  <c r="H177" i="7"/>
  <c r="K176" i="7"/>
  <c r="J176" i="7"/>
  <c r="H176" i="7"/>
  <c r="I176" i="7" s="1"/>
  <c r="K175" i="7"/>
  <c r="J175" i="7"/>
  <c r="I175" i="7"/>
  <c r="H175" i="7"/>
  <c r="K174" i="7"/>
  <c r="J174" i="7"/>
  <c r="H174" i="7"/>
  <c r="I174" i="7" s="1"/>
  <c r="K173" i="7"/>
  <c r="J173" i="7"/>
  <c r="I173" i="7"/>
  <c r="H173" i="7"/>
  <c r="K172" i="7"/>
  <c r="J172" i="7"/>
  <c r="H172" i="7"/>
  <c r="I172" i="7" s="1"/>
  <c r="K171" i="7"/>
  <c r="J171" i="7"/>
  <c r="I171" i="7"/>
  <c r="H171" i="7"/>
  <c r="K170" i="7"/>
  <c r="J170" i="7"/>
  <c r="H170" i="7"/>
  <c r="I170" i="7" s="1"/>
  <c r="K169" i="7"/>
  <c r="J169" i="7"/>
  <c r="I169" i="7"/>
  <c r="H169" i="7"/>
  <c r="K168" i="7"/>
  <c r="J168" i="7"/>
  <c r="H168" i="7"/>
  <c r="I168" i="7" s="1"/>
  <c r="K167" i="7"/>
  <c r="J167" i="7"/>
  <c r="I167" i="7"/>
  <c r="H167" i="7"/>
  <c r="K166" i="7"/>
  <c r="J166" i="7"/>
  <c r="H166" i="7"/>
  <c r="I166" i="7" s="1"/>
  <c r="K165" i="7"/>
  <c r="J165" i="7"/>
  <c r="I165" i="7"/>
  <c r="H165" i="7"/>
  <c r="K164" i="7"/>
  <c r="J164" i="7"/>
  <c r="H164" i="7"/>
  <c r="I164" i="7" s="1"/>
  <c r="K163" i="7"/>
  <c r="J163" i="7"/>
  <c r="I163" i="7"/>
  <c r="H163" i="7"/>
  <c r="K162" i="7"/>
  <c r="J162" i="7"/>
  <c r="H162" i="7"/>
  <c r="I162" i="7" s="1"/>
  <c r="K161" i="7"/>
  <c r="J161" i="7"/>
  <c r="I161" i="7"/>
  <c r="H161" i="7"/>
  <c r="K160" i="7"/>
  <c r="J160" i="7"/>
  <c r="H160" i="7"/>
  <c r="I160" i="7" s="1"/>
  <c r="K159" i="7"/>
  <c r="J159" i="7"/>
  <c r="I159" i="7"/>
  <c r="H159" i="7"/>
  <c r="K158" i="7"/>
  <c r="J158" i="7"/>
  <c r="H158" i="7"/>
  <c r="I158" i="7" s="1"/>
  <c r="K157" i="7"/>
  <c r="J157" i="7"/>
  <c r="I157" i="7"/>
  <c r="H157" i="7"/>
  <c r="K156" i="7"/>
  <c r="J156" i="7"/>
  <c r="H156" i="7"/>
  <c r="I156" i="7" s="1"/>
  <c r="K155" i="7"/>
  <c r="J155" i="7"/>
  <c r="I155" i="7"/>
  <c r="H155" i="7"/>
  <c r="K154" i="7"/>
  <c r="J154" i="7"/>
  <c r="H154" i="7"/>
  <c r="I154" i="7" s="1"/>
  <c r="K153" i="7"/>
  <c r="J153" i="7"/>
  <c r="I153" i="7"/>
  <c r="H153" i="7"/>
  <c r="K152" i="7"/>
  <c r="J152" i="7"/>
  <c r="H152" i="7"/>
  <c r="I152" i="7" s="1"/>
  <c r="K151" i="7"/>
  <c r="J151" i="7"/>
  <c r="I151" i="7"/>
  <c r="H151" i="7"/>
  <c r="K150" i="7"/>
  <c r="J150" i="7"/>
  <c r="H150" i="7"/>
  <c r="I150" i="7" s="1"/>
  <c r="K149" i="7"/>
  <c r="J149" i="7"/>
  <c r="I149" i="7"/>
  <c r="H149" i="7"/>
  <c r="K148" i="7"/>
  <c r="J148" i="7"/>
  <c r="H148" i="7"/>
  <c r="I148" i="7" s="1"/>
  <c r="K147" i="7"/>
  <c r="J147" i="7"/>
  <c r="I147" i="7"/>
  <c r="H147" i="7"/>
  <c r="K146" i="7"/>
  <c r="J146" i="7"/>
  <c r="H146" i="7"/>
  <c r="I146" i="7" s="1"/>
  <c r="K145" i="7"/>
  <c r="J145" i="7"/>
  <c r="I145" i="7"/>
  <c r="H145" i="7"/>
  <c r="K144" i="7"/>
  <c r="J144" i="7"/>
  <c r="H144" i="7"/>
  <c r="I144" i="7" s="1"/>
  <c r="K143" i="7"/>
  <c r="J143" i="7"/>
  <c r="I143" i="7"/>
  <c r="H143" i="7"/>
  <c r="K142" i="7"/>
  <c r="J142" i="7"/>
  <c r="H142" i="7"/>
  <c r="I142" i="7" s="1"/>
  <c r="K141" i="7"/>
  <c r="J141" i="7"/>
  <c r="I141" i="7"/>
  <c r="H141" i="7"/>
  <c r="K140" i="7"/>
  <c r="J140" i="7"/>
  <c r="H140" i="7"/>
  <c r="I140" i="7" s="1"/>
  <c r="K139" i="7"/>
  <c r="J139" i="7"/>
  <c r="I139" i="7"/>
  <c r="H139" i="7"/>
  <c r="K138" i="7"/>
  <c r="J138" i="7"/>
  <c r="H138" i="7"/>
  <c r="I138" i="7" s="1"/>
  <c r="K137" i="7"/>
  <c r="J137" i="7"/>
  <c r="I137" i="7"/>
  <c r="H137" i="7"/>
  <c r="K136" i="7"/>
  <c r="J136" i="7"/>
  <c r="H136" i="7"/>
  <c r="I136" i="7" s="1"/>
  <c r="K135" i="7"/>
  <c r="J135" i="7"/>
  <c r="I135" i="7"/>
  <c r="H135" i="7"/>
  <c r="K134" i="7"/>
  <c r="J134" i="7"/>
  <c r="H134" i="7"/>
  <c r="I134" i="7" s="1"/>
  <c r="K133" i="7"/>
  <c r="J133" i="7"/>
  <c r="I133" i="7"/>
  <c r="H133" i="7"/>
  <c r="K132" i="7"/>
  <c r="J132" i="7"/>
  <c r="H132" i="7"/>
  <c r="I132" i="7" s="1"/>
  <c r="K131" i="7"/>
  <c r="J131" i="7"/>
  <c r="I131" i="7"/>
  <c r="H131" i="7"/>
  <c r="K130" i="7"/>
  <c r="J130" i="7"/>
  <c r="H130" i="7"/>
  <c r="I130" i="7" s="1"/>
  <c r="K129" i="7"/>
  <c r="J129" i="7"/>
  <c r="I129" i="7"/>
  <c r="H129" i="7"/>
  <c r="K128" i="7"/>
  <c r="J128" i="7"/>
  <c r="H128" i="7"/>
  <c r="I128" i="7" s="1"/>
  <c r="K127" i="7"/>
  <c r="J127" i="7"/>
  <c r="I127" i="7"/>
  <c r="H127" i="7"/>
  <c r="K126" i="7"/>
  <c r="J126" i="7"/>
  <c r="H126" i="7"/>
  <c r="I126" i="7" s="1"/>
  <c r="K125" i="7"/>
  <c r="J125" i="7"/>
  <c r="I125" i="7"/>
  <c r="H125" i="7"/>
  <c r="K124" i="7"/>
  <c r="J124" i="7"/>
  <c r="H124" i="7"/>
  <c r="I124" i="7" s="1"/>
  <c r="K123" i="7"/>
  <c r="J123" i="7"/>
  <c r="I123" i="7"/>
  <c r="H123" i="7"/>
  <c r="K122" i="7"/>
  <c r="J122" i="7"/>
  <c r="H122" i="7"/>
  <c r="I122" i="7" s="1"/>
  <c r="K121" i="7"/>
  <c r="J121" i="7"/>
  <c r="I121" i="7"/>
  <c r="H121" i="7"/>
  <c r="K120" i="7"/>
  <c r="J120" i="7"/>
  <c r="H120" i="7"/>
  <c r="I120" i="7" s="1"/>
  <c r="K119" i="7"/>
  <c r="J119" i="7"/>
  <c r="I119" i="7"/>
  <c r="H119" i="7"/>
  <c r="K118" i="7"/>
  <c r="J118" i="7"/>
  <c r="H118" i="7"/>
  <c r="I118" i="7" s="1"/>
  <c r="K117" i="7"/>
  <c r="J117" i="7"/>
  <c r="I117" i="7"/>
  <c r="H117" i="7"/>
  <c r="K116" i="7"/>
  <c r="J116" i="7"/>
  <c r="H116" i="7"/>
  <c r="I116" i="7" s="1"/>
  <c r="K115" i="7"/>
  <c r="J115" i="7"/>
  <c r="I115" i="7"/>
  <c r="H115" i="7"/>
  <c r="K114" i="7"/>
  <c r="J114" i="7"/>
  <c r="H114" i="7"/>
  <c r="I114" i="7" s="1"/>
  <c r="K113" i="7"/>
  <c r="J113" i="7"/>
  <c r="I113" i="7"/>
  <c r="H113" i="7"/>
  <c r="K112" i="7"/>
  <c r="J112" i="7"/>
  <c r="H112" i="7"/>
  <c r="I112" i="7" s="1"/>
  <c r="K111" i="7"/>
  <c r="J111" i="7"/>
  <c r="I111" i="7"/>
  <c r="H111" i="7"/>
  <c r="K110" i="7"/>
  <c r="J110" i="7"/>
  <c r="H110" i="7"/>
  <c r="I110" i="7" s="1"/>
  <c r="K109" i="7"/>
  <c r="J109" i="7"/>
  <c r="I109" i="7"/>
  <c r="H109" i="7"/>
  <c r="K108" i="7"/>
  <c r="J108" i="7"/>
  <c r="H108" i="7"/>
  <c r="I108" i="7" s="1"/>
  <c r="K107" i="7"/>
  <c r="J107" i="7"/>
  <c r="I107" i="7"/>
  <c r="H107" i="7"/>
  <c r="K106" i="7"/>
  <c r="J106" i="7"/>
  <c r="H106" i="7"/>
  <c r="I106" i="7" s="1"/>
  <c r="K105" i="7"/>
  <c r="J105" i="7"/>
  <c r="I105" i="7"/>
  <c r="H105" i="7"/>
  <c r="K104" i="7"/>
  <c r="J104" i="7"/>
  <c r="H104" i="7"/>
  <c r="I104" i="7" s="1"/>
  <c r="K103" i="7"/>
  <c r="J103" i="7"/>
  <c r="I103" i="7"/>
  <c r="H103" i="7"/>
  <c r="K102" i="7"/>
  <c r="J102" i="7"/>
  <c r="H102" i="7"/>
  <c r="I102" i="7" s="1"/>
  <c r="K101" i="7"/>
  <c r="J101" i="7"/>
  <c r="I101" i="7"/>
  <c r="H101" i="7"/>
  <c r="K100" i="7"/>
  <c r="J100" i="7"/>
  <c r="H100" i="7"/>
  <c r="I100" i="7" s="1"/>
  <c r="K99" i="7"/>
  <c r="J99" i="7"/>
  <c r="I99" i="7"/>
  <c r="H99" i="7"/>
  <c r="K98" i="7"/>
  <c r="J98" i="7"/>
  <c r="H98" i="7"/>
  <c r="I98" i="7" s="1"/>
  <c r="K97" i="7"/>
  <c r="J97" i="7"/>
  <c r="I97" i="7"/>
  <c r="H97" i="7"/>
  <c r="K96" i="7"/>
  <c r="J96" i="7"/>
  <c r="H96" i="7"/>
  <c r="I96" i="7" s="1"/>
  <c r="K95" i="7"/>
  <c r="J95" i="7"/>
  <c r="I95" i="7"/>
  <c r="H95" i="7"/>
  <c r="K94" i="7"/>
  <c r="J94" i="7"/>
  <c r="H94" i="7"/>
  <c r="I94" i="7" s="1"/>
  <c r="K93" i="7"/>
  <c r="J93" i="7"/>
  <c r="I93" i="7"/>
  <c r="H93" i="7"/>
  <c r="K92" i="7"/>
  <c r="J92" i="7"/>
  <c r="H92" i="7"/>
  <c r="I92" i="7" s="1"/>
  <c r="K91" i="7"/>
  <c r="J91" i="7"/>
  <c r="I91" i="7"/>
  <c r="H91" i="7"/>
  <c r="K90" i="7"/>
  <c r="J90" i="7"/>
  <c r="H90" i="7"/>
  <c r="I90" i="7" s="1"/>
  <c r="K89" i="7"/>
  <c r="J89" i="7"/>
  <c r="I89" i="7"/>
  <c r="H89" i="7"/>
  <c r="K88" i="7"/>
  <c r="J88" i="7"/>
  <c r="H88" i="7"/>
  <c r="I88" i="7" s="1"/>
  <c r="K87" i="7"/>
  <c r="J87" i="7"/>
  <c r="I87" i="7"/>
  <c r="H87" i="7"/>
  <c r="K86" i="7"/>
  <c r="J86" i="7"/>
  <c r="H86" i="7"/>
  <c r="I86" i="7" s="1"/>
  <c r="K85" i="7"/>
  <c r="J85" i="7"/>
  <c r="I85" i="7"/>
  <c r="H85" i="7"/>
  <c r="K84" i="7"/>
  <c r="J84" i="7"/>
  <c r="H84" i="7"/>
  <c r="I84" i="7" s="1"/>
  <c r="K83" i="7"/>
  <c r="J83" i="7"/>
  <c r="I83" i="7"/>
  <c r="H83" i="7"/>
  <c r="K82" i="7"/>
  <c r="J82" i="7"/>
  <c r="H82" i="7"/>
  <c r="I82" i="7" s="1"/>
  <c r="K81" i="7"/>
  <c r="J81" i="7"/>
  <c r="I81" i="7"/>
  <c r="H81" i="7"/>
  <c r="K80" i="7"/>
  <c r="J80" i="7"/>
  <c r="H80" i="7"/>
  <c r="I80" i="7" s="1"/>
  <c r="K79" i="7"/>
  <c r="J79" i="7"/>
  <c r="I79" i="7"/>
  <c r="H79" i="7"/>
  <c r="K78" i="7"/>
  <c r="J78" i="7"/>
  <c r="H78" i="7"/>
  <c r="I78" i="7" s="1"/>
  <c r="K77" i="7"/>
  <c r="J77" i="7"/>
  <c r="I77" i="7"/>
  <c r="H77" i="7"/>
  <c r="K76" i="7"/>
  <c r="J76" i="7"/>
  <c r="H76" i="7"/>
  <c r="I76" i="7" s="1"/>
  <c r="K75" i="7"/>
  <c r="J75" i="7"/>
  <c r="I75" i="7"/>
  <c r="H75" i="7"/>
  <c r="K74" i="7"/>
  <c r="J74" i="7"/>
  <c r="H74" i="7"/>
  <c r="I74" i="7" s="1"/>
  <c r="K73" i="7"/>
  <c r="J73" i="7"/>
  <c r="I73" i="7"/>
  <c r="H73" i="7"/>
  <c r="K72" i="7"/>
  <c r="J72" i="7"/>
  <c r="H72" i="7"/>
  <c r="I72" i="7" s="1"/>
  <c r="K71" i="7"/>
  <c r="J71" i="7"/>
  <c r="I71" i="7"/>
  <c r="H71" i="7"/>
  <c r="K70" i="7"/>
  <c r="J70" i="7"/>
  <c r="H70" i="7"/>
  <c r="I70" i="7" s="1"/>
  <c r="K69" i="7"/>
  <c r="J69" i="7"/>
  <c r="I69" i="7"/>
  <c r="H69" i="7"/>
  <c r="K68" i="7"/>
  <c r="J68" i="7"/>
  <c r="H68" i="7"/>
  <c r="I68" i="7" s="1"/>
  <c r="K67" i="7"/>
  <c r="J67" i="7"/>
  <c r="I67" i="7"/>
  <c r="H67" i="7"/>
  <c r="K66" i="7"/>
  <c r="J66" i="7"/>
  <c r="H66" i="7"/>
  <c r="I66" i="7" s="1"/>
  <c r="K65" i="7"/>
  <c r="J65" i="7"/>
  <c r="I65" i="7"/>
  <c r="H65" i="7"/>
  <c r="K64" i="7"/>
  <c r="J64" i="7"/>
  <c r="H64" i="7"/>
  <c r="I64" i="7" s="1"/>
  <c r="K63" i="7"/>
  <c r="J63" i="7"/>
  <c r="I63" i="7"/>
  <c r="H63" i="7"/>
  <c r="K62" i="7"/>
  <c r="J62" i="7"/>
  <c r="H62" i="7"/>
  <c r="I62" i="7" s="1"/>
  <c r="K61" i="7"/>
  <c r="J61" i="7"/>
  <c r="I61" i="7"/>
  <c r="H61" i="7"/>
  <c r="K60" i="7"/>
  <c r="J60" i="7"/>
  <c r="H60" i="7"/>
  <c r="I60" i="7" s="1"/>
  <c r="K59" i="7"/>
  <c r="J59" i="7"/>
  <c r="I59" i="7"/>
  <c r="H59" i="7"/>
  <c r="K58" i="7"/>
  <c r="J58" i="7"/>
  <c r="H58" i="7"/>
  <c r="I58" i="7" s="1"/>
  <c r="K57" i="7"/>
  <c r="J57" i="7"/>
  <c r="I57" i="7"/>
  <c r="H57" i="7"/>
  <c r="K56" i="7"/>
  <c r="J56" i="7"/>
  <c r="H56" i="7"/>
  <c r="I56" i="7" s="1"/>
  <c r="K55" i="7"/>
  <c r="J55" i="7"/>
  <c r="I55" i="7"/>
  <c r="H55" i="7"/>
  <c r="K54" i="7"/>
  <c r="J54" i="7"/>
  <c r="H54" i="7"/>
  <c r="I54" i="7" s="1"/>
  <c r="K53" i="7"/>
  <c r="J53" i="7"/>
  <c r="I53" i="7"/>
  <c r="H53" i="7"/>
  <c r="K52" i="7"/>
  <c r="J52" i="7"/>
  <c r="H52" i="7"/>
  <c r="I52" i="7" s="1"/>
  <c r="K51" i="7"/>
  <c r="J51" i="7"/>
  <c r="I51" i="7"/>
  <c r="H51" i="7"/>
  <c r="K50" i="7"/>
  <c r="J50" i="7"/>
  <c r="H50" i="7"/>
  <c r="I50" i="7" s="1"/>
  <c r="K49" i="7"/>
  <c r="J49" i="7"/>
  <c r="I49" i="7"/>
  <c r="H49" i="7"/>
  <c r="K48" i="7"/>
  <c r="J48" i="7"/>
  <c r="H48" i="7"/>
  <c r="I48" i="7" s="1"/>
  <c r="K47" i="7"/>
  <c r="J47" i="7"/>
  <c r="I47" i="7"/>
  <c r="H47" i="7"/>
  <c r="K46" i="7"/>
  <c r="J46" i="7"/>
  <c r="H46" i="7"/>
  <c r="I46" i="7" s="1"/>
  <c r="K45" i="7"/>
  <c r="J45" i="7"/>
  <c r="I45" i="7"/>
  <c r="H45" i="7"/>
  <c r="K44" i="7"/>
  <c r="J44" i="7"/>
  <c r="H44" i="7"/>
  <c r="I44" i="7" s="1"/>
  <c r="K43" i="7"/>
  <c r="J43" i="7"/>
  <c r="I43" i="7"/>
  <c r="H43" i="7"/>
  <c r="K42" i="7"/>
  <c r="J42" i="7"/>
  <c r="H42" i="7"/>
  <c r="I42" i="7" s="1"/>
  <c r="K41" i="7"/>
  <c r="J41" i="7"/>
  <c r="I41" i="7"/>
  <c r="H41" i="7"/>
  <c r="K40" i="7"/>
  <c r="J40" i="7"/>
  <c r="H40" i="7"/>
  <c r="I40" i="7" s="1"/>
  <c r="K39" i="7"/>
  <c r="J39" i="7"/>
  <c r="I39" i="7"/>
  <c r="H39" i="7"/>
  <c r="K38" i="7"/>
  <c r="J38" i="7"/>
  <c r="H38" i="7"/>
  <c r="I38" i="7" s="1"/>
  <c r="K37" i="7"/>
  <c r="J37" i="7"/>
  <c r="I37" i="7"/>
  <c r="H37" i="7"/>
  <c r="K36" i="7"/>
  <c r="J36" i="7"/>
  <c r="H36" i="7"/>
  <c r="I36" i="7" s="1"/>
  <c r="K35" i="7"/>
  <c r="J35" i="7"/>
  <c r="I35" i="7"/>
  <c r="H35" i="7"/>
  <c r="K34" i="7"/>
  <c r="J34" i="7"/>
  <c r="H34" i="7"/>
  <c r="I34" i="7" s="1"/>
  <c r="K33" i="7"/>
  <c r="J33" i="7"/>
  <c r="I33" i="7"/>
  <c r="H33" i="7"/>
  <c r="K32" i="7"/>
  <c r="J32" i="7"/>
  <c r="H32" i="7"/>
  <c r="I32" i="7" s="1"/>
  <c r="K31" i="7"/>
  <c r="J31" i="7"/>
  <c r="I31" i="7"/>
  <c r="H31" i="7"/>
  <c r="K30" i="7"/>
  <c r="J30" i="7"/>
  <c r="H30" i="7"/>
  <c r="I30" i="7" s="1"/>
  <c r="K29" i="7"/>
  <c r="J29" i="7"/>
  <c r="I29" i="7"/>
  <c r="H29" i="7"/>
  <c r="K28" i="7"/>
  <c r="J28" i="7"/>
  <c r="H28" i="7"/>
  <c r="I28" i="7" s="1"/>
  <c r="K27" i="7"/>
  <c r="J27" i="7"/>
  <c r="I27" i="7"/>
  <c r="H27" i="7"/>
  <c r="K26" i="7"/>
  <c r="J26" i="7"/>
  <c r="H26" i="7"/>
  <c r="I26" i="7" s="1"/>
  <c r="K25" i="7"/>
  <c r="J25" i="7"/>
  <c r="I25" i="7"/>
  <c r="H25" i="7"/>
  <c r="K24" i="7"/>
  <c r="J24" i="7"/>
  <c r="H24" i="7"/>
  <c r="I24" i="7" s="1"/>
  <c r="K23" i="7"/>
  <c r="J23" i="7"/>
  <c r="I23" i="7"/>
  <c r="H23" i="7"/>
  <c r="K22" i="7"/>
  <c r="J22" i="7"/>
  <c r="H22" i="7"/>
  <c r="I22" i="7" s="1"/>
  <c r="K21" i="7"/>
  <c r="J21" i="7"/>
  <c r="I21" i="7"/>
  <c r="H21" i="7"/>
  <c r="K20" i="7"/>
  <c r="J20" i="7"/>
  <c r="H20" i="7"/>
  <c r="I20" i="7" s="1"/>
  <c r="K19" i="7"/>
  <c r="J19" i="7"/>
  <c r="I19" i="7"/>
  <c r="H19" i="7"/>
  <c r="K18" i="7"/>
  <c r="J18" i="7"/>
  <c r="H18" i="7"/>
  <c r="I18" i="7" s="1"/>
  <c r="K17" i="7"/>
  <c r="J17" i="7"/>
  <c r="I17" i="7"/>
  <c r="H17" i="7"/>
  <c r="K16" i="7"/>
  <c r="J16" i="7"/>
  <c r="H16" i="7"/>
  <c r="I16" i="7" s="1"/>
  <c r="K15" i="7"/>
  <c r="J15" i="7"/>
  <c r="I15" i="7"/>
  <c r="H15" i="7"/>
  <c r="K14" i="7"/>
  <c r="J14" i="7"/>
  <c r="H14" i="7"/>
  <c r="I14" i="7" s="1"/>
  <c r="K13" i="7"/>
  <c r="J13" i="7"/>
  <c r="I13" i="7"/>
  <c r="H13" i="7"/>
  <c r="K12" i="7"/>
  <c r="J12" i="7"/>
  <c r="H12" i="7"/>
  <c r="I12" i="7" s="1"/>
  <c r="K11" i="7"/>
  <c r="J11" i="7"/>
  <c r="I11" i="7"/>
  <c r="H11" i="7"/>
  <c r="K10" i="7"/>
  <c r="J10" i="7"/>
  <c r="H10" i="7"/>
  <c r="I10" i="7" s="1"/>
  <c r="K9" i="7"/>
  <c r="J9" i="7"/>
  <c r="I9" i="7"/>
  <c r="H9" i="7"/>
  <c r="K8" i="7"/>
  <c r="J8" i="7"/>
  <c r="H8" i="7"/>
  <c r="I8" i="7" s="1"/>
  <c r="K7" i="7"/>
  <c r="J7" i="7"/>
  <c r="I7" i="7"/>
  <c r="H7" i="7"/>
  <c r="K6" i="7"/>
  <c r="J6" i="7"/>
  <c r="H6" i="7"/>
  <c r="I6" i="7" s="1"/>
  <c r="K5" i="7"/>
  <c r="J5" i="7"/>
  <c r="I5" i="7"/>
  <c r="H5" i="7"/>
  <c r="K4" i="7"/>
  <c r="J4" i="7"/>
  <c r="H4" i="7"/>
  <c r="I4" i="7" s="1"/>
  <c r="K3" i="7"/>
  <c r="J3" i="7"/>
  <c r="I3" i="7"/>
  <c r="H3" i="7"/>
  <c r="K2" i="7"/>
  <c r="J2" i="7"/>
  <c r="H2" i="7"/>
  <c r="I2" i="7" s="1"/>
  <c r="D7" i="6"/>
  <c r="C7" i="6"/>
  <c r="B7" i="6"/>
  <c r="D6" i="6"/>
  <c r="C6" i="6"/>
  <c r="B6" i="6"/>
  <c r="D5" i="6"/>
  <c r="C5" i="6"/>
  <c r="B5" i="6"/>
  <c r="D4" i="6"/>
  <c r="C4" i="6"/>
  <c r="B4" i="6"/>
  <c r="D3" i="6"/>
  <c r="C3" i="6"/>
  <c r="B3" i="6"/>
  <c r="D2" i="6"/>
  <c r="C2" i="6"/>
  <c r="B2" i="6"/>
  <c r="I16" i="3"/>
  <c r="H16" i="3"/>
  <c r="G16" i="3"/>
  <c r="F16" i="3"/>
  <c r="E16" i="3"/>
  <c r="D16" i="3"/>
  <c r="C16" i="3"/>
  <c r="B16" i="3"/>
  <c r="I3" i="3"/>
  <c r="H3" i="3"/>
  <c r="G3" i="3"/>
  <c r="F3" i="3"/>
  <c r="E3" i="3"/>
  <c r="D3" i="3"/>
  <c r="C3" i="3"/>
  <c r="B3" i="3"/>
  <c r="I2" i="3"/>
  <c r="H2" i="3"/>
  <c r="G2" i="3"/>
  <c r="F2" i="3"/>
  <c r="E2" i="3"/>
  <c r="D2" i="3"/>
  <c r="C2" i="3"/>
  <c r="B2" i="3"/>
  <c r="I2" i="2"/>
  <c r="H2" i="2"/>
  <c r="G2" i="2"/>
  <c r="F2" i="2"/>
  <c r="E2" i="2"/>
  <c r="D2" i="2"/>
  <c r="C2" i="2"/>
  <c r="B2" i="2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J12" i="17" l="1"/>
  <c r="J32" i="17"/>
  <c r="J37" i="17"/>
  <c r="J20" i="17"/>
  <c r="J21" i="17"/>
  <c r="S8" i="16"/>
  <c r="S39" i="16"/>
  <c r="S16" i="16"/>
  <c r="F66" i="16"/>
  <c r="G70" i="16"/>
  <c r="G80" i="16"/>
  <c r="F58" i="16"/>
  <c r="F70" i="16"/>
  <c r="H70" i="16" s="1"/>
  <c r="F72" i="16"/>
  <c r="F69" i="16"/>
  <c r="F68" i="16"/>
  <c r="G6" i="16"/>
  <c r="G67" i="16"/>
  <c r="G2" i="16"/>
  <c r="F12" i="16"/>
  <c r="G49" i="16"/>
  <c r="G54" i="16"/>
  <c r="F65" i="16"/>
  <c r="F51" i="16"/>
  <c r="G64" i="16"/>
  <c r="F20" i="16"/>
  <c r="F50" i="16"/>
  <c r="F56" i="16"/>
  <c r="G7" i="16"/>
  <c r="F14" i="16"/>
  <c r="F37" i="16"/>
  <c r="F42" i="16"/>
  <c r="F45" i="16"/>
  <c r="F46" i="16"/>
  <c r="G55" i="16"/>
  <c r="G20" i="16"/>
  <c r="F55" i="16"/>
  <c r="G3" i="16"/>
  <c r="F9" i="16"/>
  <c r="G17" i="16"/>
  <c r="F23" i="16"/>
  <c r="G36" i="16"/>
  <c r="G39" i="16"/>
  <c r="G40" i="16"/>
  <c r="F41" i="16"/>
  <c r="H21" i="16"/>
  <c r="F54" i="16"/>
  <c r="G71" i="16"/>
  <c r="F31" i="18"/>
  <c r="F38" i="18"/>
  <c r="E24" i="3" s="1"/>
  <c r="E12" i="2" s="1"/>
  <c r="F30" i="18"/>
  <c r="F36" i="18"/>
  <c r="F35" i="18"/>
  <c r="F37" i="18"/>
  <c r="F34" i="18"/>
  <c r="F33" i="18"/>
  <c r="F32" i="18"/>
  <c r="G13" i="16"/>
  <c r="F25" i="16"/>
  <c r="G27" i="16"/>
  <c r="G29" i="16"/>
  <c r="G31" i="16"/>
  <c r="F32" i="16"/>
  <c r="G38" i="16"/>
  <c r="F48" i="16"/>
  <c r="F64" i="18"/>
  <c r="F71" i="18"/>
  <c r="F63" i="18"/>
  <c r="F70" i="18"/>
  <c r="F62" i="18"/>
  <c r="F69" i="18"/>
  <c r="F68" i="18"/>
  <c r="F60" i="18"/>
  <c r="F67" i="18"/>
  <c r="F66" i="18"/>
  <c r="F65" i="18"/>
  <c r="F61" i="18"/>
  <c r="F77" i="16"/>
  <c r="G12" i="16"/>
  <c r="H12" i="16" s="1"/>
  <c r="G24" i="16"/>
  <c r="F8" i="16"/>
  <c r="G11" i="16"/>
  <c r="G15" i="16"/>
  <c r="G25" i="16"/>
  <c r="G32" i="16"/>
  <c r="G48" i="16"/>
  <c r="H48" i="16" s="1"/>
  <c r="G51" i="16"/>
  <c r="J10" i="17"/>
  <c r="F7" i="18"/>
  <c r="F4" i="18"/>
  <c r="F11" i="18"/>
  <c r="F3" i="18"/>
  <c r="F9" i="18"/>
  <c r="F8" i="18"/>
  <c r="F6" i="18"/>
  <c r="F5" i="18"/>
  <c r="F2" i="18"/>
  <c r="F10" i="18"/>
  <c r="G4" i="16"/>
  <c r="G18" i="16"/>
  <c r="F5" i="16"/>
  <c r="G8" i="16"/>
  <c r="H8" i="16" s="1"/>
  <c r="F10" i="16"/>
  <c r="F23" i="18"/>
  <c r="F28" i="18"/>
  <c r="F27" i="18"/>
  <c r="F22" i="18"/>
  <c r="F21" i="18"/>
  <c r="F29" i="18"/>
  <c r="D24" i="3" s="1"/>
  <c r="D12" i="2" s="1"/>
  <c r="F26" i="18"/>
  <c r="F25" i="18"/>
  <c r="F24" i="18"/>
  <c r="G34" i="16"/>
  <c r="F35" i="16"/>
  <c r="G58" i="16"/>
  <c r="H58" i="16" s="1"/>
  <c r="G62" i="16"/>
  <c r="L35" i="17"/>
  <c r="L34" i="17"/>
  <c r="L37" i="17"/>
  <c r="L22" i="17"/>
  <c r="L13" i="17"/>
  <c r="L6" i="17"/>
  <c r="L20" i="17"/>
  <c r="L11" i="17"/>
  <c r="L29" i="17"/>
  <c r="L27" i="17"/>
  <c r="L18" i="17"/>
  <c r="L25" i="17"/>
  <c r="L16" i="17"/>
  <c r="L9" i="17"/>
  <c r="L33" i="17"/>
  <c r="L14" i="17"/>
  <c r="L19" i="17"/>
  <c r="G5" i="16"/>
  <c r="H5" i="16" s="1"/>
  <c r="G10" i="16"/>
  <c r="H10" i="16" s="1"/>
  <c r="G26" i="16"/>
  <c r="G30" i="16"/>
  <c r="G35" i="16"/>
  <c r="F47" i="16"/>
  <c r="G74" i="16"/>
  <c r="G79" i="16"/>
  <c r="F3" i="16"/>
  <c r="H3" i="16" s="1"/>
  <c r="F7" i="16"/>
  <c r="H7" i="16" s="1"/>
  <c r="G16" i="16"/>
  <c r="F17" i="16"/>
  <c r="G19" i="16"/>
  <c r="G22" i="16"/>
  <c r="G28" i="16"/>
  <c r="G33" i="16"/>
  <c r="F40" i="16"/>
  <c r="H40" i="16" s="1"/>
  <c r="F40" i="18"/>
  <c r="F47" i="18"/>
  <c r="F24" i="3" s="1"/>
  <c r="F12" i="2" s="1"/>
  <c r="F39" i="18"/>
  <c r="F46" i="18"/>
  <c r="F44" i="18"/>
  <c r="F43" i="18"/>
  <c r="F45" i="18"/>
  <c r="F42" i="18"/>
  <c r="F41" i="18"/>
  <c r="F43" i="16"/>
  <c r="G44" i="16"/>
  <c r="G47" i="16"/>
  <c r="G50" i="16"/>
  <c r="H50" i="16" s="1"/>
  <c r="F56" i="18"/>
  <c r="F48" i="18"/>
  <c r="F55" i="18"/>
  <c r="F54" i="18"/>
  <c r="F52" i="18"/>
  <c r="F59" i="18"/>
  <c r="F51" i="18"/>
  <c r="F58" i="18"/>
  <c r="F50" i="18"/>
  <c r="F57" i="18"/>
  <c r="F53" i="18"/>
  <c r="F49" i="18"/>
  <c r="G56" i="16"/>
  <c r="H56" i="16" s="1"/>
  <c r="G43" i="16"/>
  <c r="F2" i="16"/>
  <c r="H2" i="16" s="1"/>
  <c r="F4" i="16"/>
  <c r="F6" i="16"/>
  <c r="H6" i="16" s="1"/>
  <c r="G9" i="16"/>
  <c r="H9" i="16" s="1"/>
  <c r="F15" i="18"/>
  <c r="F20" i="18"/>
  <c r="C24" i="3" s="1"/>
  <c r="C12" i="2" s="1"/>
  <c r="F12" i="18"/>
  <c r="F19" i="18"/>
  <c r="F18" i="18"/>
  <c r="F17" i="18"/>
  <c r="F16" i="18"/>
  <c r="F14" i="18"/>
  <c r="F13" i="18"/>
  <c r="F13" i="16"/>
  <c r="G14" i="16"/>
  <c r="H14" i="16" s="1"/>
  <c r="G23" i="16"/>
  <c r="H23" i="16" s="1"/>
  <c r="G37" i="16"/>
  <c r="H37" i="16" s="1"/>
  <c r="G41" i="16"/>
  <c r="H41" i="16" s="1"/>
  <c r="G42" i="16"/>
  <c r="H42" i="16" s="1"/>
  <c r="G45" i="16"/>
  <c r="H45" i="16" s="1"/>
  <c r="G46" i="16"/>
  <c r="H46" i="16" s="1"/>
  <c r="F49" i="16"/>
  <c r="H49" i="16" s="1"/>
  <c r="F11" i="16"/>
  <c r="F15" i="16"/>
  <c r="F16" i="16"/>
  <c r="F18" i="16"/>
  <c r="F19" i="16"/>
  <c r="F22" i="16"/>
  <c r="F24" i="16"/>
  <c r="F26" i="16"/>
  <c r="F27" i="16"/>
  <c r="F28" i="16"/>
  <c r="F29" i="16"/>
  <c r="F30" i="16"/>
  <c r="F31" i="16"/>
  <c r="F33" i="16"/>
  <c r="F34" i="16"/>
  <c r="F36" i="16"/>
  <c r="F38" i="16"/>
  <c r="F39" i="16"/>
  <c r="H39" i="16" s="1"/>
  <c r="F44" i="16"/>
  <c r="F52" i="16"/>
  <c r="F53" i="16"/>
  <c r="F61" i="16"/>
  <c r="F57" i="16"/>
  <c r="F59" i="16"/>
  <c r="F60" i="16"/>
  <c r="G69" i="16"/>
  <c r="H69" i="16" s="1"/>
  <c r="F73" i="16"/>
  <c r="G77" i="16"/>
  <c r="H77" i="16" s="1"/>
  <c r="J8" i="17"/>
  <c r="J23" i="17"/>
  <c r="G52" i="16"/>
  <c r="G53" i="16"/>
  <c r="G61" i="16"/>
  <c r="G57" i="16"/>
  <c r="G59" i="16"/>
  <c r="G60" i="16"/>
  <c r="F63" i="16"/>
  <c r="G73" i="16"/>
  <c r="Q68" i="16"/>
  <c r="Q79" i="16"/>
  <c r="Q71" i="16"/>
  <c r="Q77" i="16"/>
  <c r="Q80" i="16"/>
  <c r="Q67" i="16"/>
  <c r="Q78" i="16"/>
  <c r="Q70" i="16"/>
  <c r="Q47" i="16"/>
  <c r="R47" i="16" s="1"/>
  <c r="Q39" i="16"/>
  <c r="R39" i="16" s="1"/>
  <c r="Q73" i="16"/>
  <c r="Q51" i="16"/>
  <c r="Q43" i="16"/>
  <c r="Q65" i="16"/>
  <c r="Q46" i="16"/>
  <c r="Q30" i="16"/>
  <c r="Q27" i="16"/>
  <c r="Q19" i="16"/>
  <c r="Q11" i="16"/>
  <c r="Q3" i="16"/>
  <c r="Q35" i="16"/>
  <c r="Q22" i="16"/>
  <c r="R22" i="16" s="1"/>
  <c r="Q14" i="16"/>
  <c r="R14" i="16" s="1"/>
  <c r="Q6" i="16"/>
  <c r="R6" i="16" s="1"/>
  <c r="Q26" i="16"/>
  <c r="R26" i="16" s="1"/>
  <c r="Q49" i="16"/>
  <c r="R49" i="16" s="1"/>
  <c r="Q41" i="16"/>
  <c r="R41" i="16" s="1"/>
  <c r="Q20" i="16"/>
  <c r="R20" i="16" s="1"/>
  <c r="Q12" i="16"/>
  <c r="R12" i="16" s="1"/>
  <c r="Q4" i="16"/>
  <c r="R4" i="16" s="1"/>
  <c r="Q38" i="16"/>
  <c r="Q31" i="16"/>
  <c r="R31" i="16" s="1"/>
  <c r="Q33" i="16"/>
  <c r="R33" i="16" s="1"/>
  <c r="Q18" i="16"/>
  <c r="Q10" i="16"/>
  <c r="Q2" i="16"/>
  <c r="N67" i="16"/>
  <c r="E67" i="16"/>
  <c r="N78" i="16"/>
  <c r="E78" i="16"/>
  <c r="N70" i="16"/>
  <c r="E70" i="16"/>
  <c r="N81" i="16"/>
  <c r="E81" i="16"/>
  <c r="N68" i="16"/>
  <c r="E68" i="16"/>
  <c r="N79" i="16"/>
  <c r="E79" i="16"/>
  <c r="N71" i="16"/>
  <c r="E71" i="16"/>
  <c r="N77" i="16"/>
  <c r="E77" i="16"/>
  <c r="N72" i="16"/>
  <c r="N64" i="16"/>
  <c r="E72" i="16"/>
  <c r="J51" i="16"/>
  <c r="J43" i="16"/>
  <c r="J35" i="16"/>
  <c r="E64" i="16"/>
  <c r="J58" i="16"/>
  <c r="J54" i="16"/>
  <c r="J49" i="16"/>
  <c r="J41" i="16"/>
  <c r="N62" i="16"/>
  <c r="N61" i="16"/>
  <c r="N60" i="16"/>
  <c r="N56" i="16"/>
  <c r="J52" i="16"/>
  <c r="J57" i="16"/>
  <c r="J39" i="16"/>
  <c r="N45" i="16"/>
  <c r="J44" i="16"/>
  <c r="J22" i="16"/>
  <c r="J14" i="16"/>
  <c r="J6" i="16"/>
  <c r="N37" i="16"/>
  <c r="J33" i="16"/>
  <c r="J31" i="16"/>
  <c r="J29" i="16"/>
  <c r="N28" i="16"/>
  <c r="J20" i="16"/>
  <c r="J12" i="16"/>
  <c r="J4" i="16"/>
  <c r="N48" i="16"/>
  <c r="J47" i="16"/>
  <c r="N32" i="16"/>
  <c r="N30" i="16"/>
  <c r="J23" i="16"/>
  <c r="J15" i="16"/>
  <c r="J7" i="16"/>
  <c r="J36" i="16"/>
  <c r="N40" i="16"/>
  <c r="N34" i="16"/>
  <c r="J27" i="16"/>
  <c r="J24" i="16"/>
  <c r="J16" i="16"/>
  <c r="J8" i="16"/>
  <c r="E38" i="17"/>
  <c r="G37" i="17"/>
  <c r="I36" i="17"/>
  <c r="E34" i="17"/>
  <c r="G33" i="17"/>
  <c r="I32" i="17"/>
  <c r="E30" i="17"/>
  <c r="G29" i="17"/>
  <c r="I28" i="17"/>
  <c r="E26" i="17"/>
  <c r="G25" i="17"/>
  <c r="I24" i="17"/>
  <c r="E22" i="17"/>
  <c r="G21" i="17"/>
  <c r="I20" i="17"/>
  <c r="E18" i="17"/>
  <c r="G17" i="17"/>
  <c r="I16" i="17"/>
  <c r="E14" i="17"/>
  <c r="G13" i="17"/>
  <c r="I12" i="17"/>
  <c r="E10" i="17"/>
  <c r="G9" i="17"/>
  <c r="I8" i="17"/>
  <c r="E6" i="17"/>
  <c r="G5" i="17"/>
  <c r="I4" i="17"/>
  <c r="F37" i="17"/>
  <c r="H36" i="17"/>
  <c r="E37" i="17"/>
  <c r="G36" i="17"/>
  <c r="I35" i="17"/>
  <c r="E33" i="17"/>
  <c r="G32" i="17"/>
  <c r="I31" i="17"/>
  <c r="E29" i="17"/>
  <c r="G28" i="17"/>
  <c r="I27" i="17"/>
  <c r="E25" i="17"/>
  <c r="G24" i="17"/>
  <c r="I23" i="17"/>
  <c r="E21" i="17"/>
  <c r="G20" i="17"/>
  <c r="I19" i="17"/>
  <c r="E17" i="17"/>
  <c r="G16" i="17"/>
  <c r="I15" i="17"/>
  <c r="E13" i="17"/>
  <c r="G12" i="17"/>
  <c r="I11" i="17"/>
  <c r="E9" i="17"/>
  <c r="G8" i="17"/>
  <c r="I7" i="17"/>
  <c r="E5" i="17"/>
  <c r="G4" i="17"/>
  <c r="I38" i="17"/>
  <c r="E36" i="17"/>
  <c r="G35" i="17"/>
  <c r="I34" i="17"/>
  <c r="E32" i="17"/>
  <c r="G31" i="17"/>
  <c r="I30" i="17"/>
  <c r="E28" i="17"/>
  <c r="G27" i="17"/>
  <c r="I26" i="17"/>
  <c r="E24" i="17"/>
  <c r="G23" i="17"/>
  <c r="I22" i="17"/>
  <c r="E20" i="17"/>
  <c r="G19" i="17"/>
  <c r="I18" i="17"/>
  <c r="E16" i="17"/>
  <c r="G15" i="17"/>
  <c r="I14" i="17"/>
  <c r="E12" i="17"/>
  <c r="G11" i="17"/>
  <c r="I10" i="17"/>
  <c r="E8" i="17"/>
  <c r="G7" i="17"/>
  <c r="I6" i="17"/>
  <c r="E4" i="17"/>
  <c r="H38" i="17"/>
  <c r="G38" i="17"/>
  <c r="I37" i="17"/>
  <c r="E35" i="17"/>
  <c r="G34" i="17"/>
  <c r="I33" i="17"/>
  <c r="E31" i="17"/>
  <c r="G30" i="17"/>
  <c r="I29" i="17"/>
  <c r="E27" i="17"/>
  <c r="G26" i="17"/>
  <c r="I25" i="17"/>
  <c r="E23" i="17"/>
  <c r="G22" i="17"/>
  <c r="I21" i="17"/>
  <c r="E19" i="17"/>
  <c r="G18" i="17"/>
  <c r="I17" i="17"/>
  <c r="E15" i="17"/>
  <c r="G14" i="17"/>
  <c r="I13" i="17"/>
  <c r="E11" i="17"/>
  <c r="G10" i="17"/>
  <c r="I9" i="17"/>
  <c r="E7" i="17"/>
  <c r="G6" i="17"/>
  <c r="I5" i="17"/>
  <c r="H32" i="17"/>
  <c r="F29" i="17"/>
  <c r="K29" i="17" s="1"/>
  <c r="H33" i="17"/>
  <c r="F30" i="17"/>
  <c r="H25" i="17"/>
  <c r="F22" i="17"/>
  <c r="K22" i="17" s="1"/>
  <c r="M22" i="17" s="1"/>
  <c r="H17" i="17"/>
  <c r="F14" i="17"/>
  <c r="H9" i="17"/>
  <c r="F6" i="17"/>
  <c r="K6" i="17" s="1"/>
  <c r="M6" i="17" s="1"/>
  <c r="H3" i="17"/>
  <c r="F33" i="17"/>
  <c r="H28" i="17"/>
  <c r="F21" i="17"/>
  <c r="K21" i="17" s="1"/>
  <c r="H19" i="17"/>
  <c r="F12" i="17"/>
  <c r="F5" i="17"/>
  <c r="H37" i="17"/>
  <c r="H30" i="17"/>
  <c r="F28" i="17"/>
  <c r="H26" i="17"/>
  <c r="F19" i="17"/>
  <c r="K19" i="17" s="1"/>
  <c r="H10" i="17"/>
  <c r="I3" i="17"/>
  <c r="I2" i="17"/>
  <c r="H34" i="17"/>
  <c r="F32" i="17"/>
  <c r="F26" i="17"/>
  <c r="H24" i="17"/>
  <c r="F17" i="17"/>
  <c r="K17" i="17" s="1"/>
  <c r="H15" i="17"/>
  <c r="F10" i="17"/>
  <c r="H8" i="17"/>
  <c r="G3" i="17"/>
  <c r="H2" i="17"/>
  <c r="F34" i="17"/>
  <c r="F24" i="17"/>
  <c r="H22" i="17"/>
  <c r="H20" i="17"/>
  <c r="F15" i="17"/>
  <c r="K15" i="17" s="1"/>
  <c r="H13" i="17"/>
  <c r="F8" i="17"/>
  <c r="K8" i="17" s="1"/>
  <c r="H6" i="17"/>
  <c r="H4" i="17"/>
  <c r="F3" i="17"/>
  <c r="G2" i="17"/>
  <c r="F36" i="17"/>
  <c r="K36" i="17" s="1"/>
  <c r="H27" i="17"/>
  <c r="F20" i="17"/>
  <c r="K20" i="17" s="1"/>
  <c r="M20" i="17" s="1"/>
  <c r="F13" i="17"/>
  <c r="K13" i="17" s="1"/>
  <c r="M13" i="17" s="1"/>
  <c r="H11" i="17"/>
  <c r="F4" i="17"/>
  <c r="E3" i="17"/>
  <c r="F2" i="17"/>
  <c r="K2" i="17" s="1"/>
  <c r="H31" i="17"/>
  <c r="H29" i="17"/>
  <c r="F27" i="17"/>
  <c r="K27" i="17" s="1"/>
  <c r="M27" i="17" s="1"/>
  <c r="H18" i="17"/>
  <c r="F11" i="17"/>
  <c r="K11" i="17" s="1"/>
  <c r="E2" i="17"/>
  <c r="F38" i="17"/>
  <c r="K38" i="17" s="1"/>
  <c r="H35" i="17"/>
  <c r="F31" i="17"/>
  <c r="K31" i="17" s="1"/>
  <c r="F25" i="17"/>
  <c r="H23" i="17"/>
  <c r="F18" i="17"/>
  <c r="K18" i="17" s="1"/>
  <c r="M18" i="17" s="1"/>
  <c r="H16" i="17"/>
  <c r="F9" i="17"/>
  <c r="H7" i="17"/>
  <c r="F35" i="17"/>
  <c r="K35" i="17" s="1"/>
  <c r="F23" i="17"/>
  <c r="H21" i="17"/>
  <c r="F16" i="17"/>
  <c r="K16" i="17" s="1"/>
  <c r="M16" i="17" s="1"/>
  <c r="H14" i="17"/>
  <c r="H12" i="17"/>
  <c r="F7" i="17"/>
  <c r="H5" i="17"/>
  <c r="J4" i="17"/>
  <c r="J7" i="17"/>
  <c r="J13" i="17"/>
  <c r="G63" i="16"/>
  <c r="F78" i="16"/>
  <c r="J19" i="17"/>
  <c r="F75" i="16"/>
  <c r="F76" i="16"/>
  <c r="G78" i="16"/>
  <c r="J5" i="17"/>
  <c r="F64" i="16"/>
  <c r="H64" i="16" s="1"/>
  <c r="F83" i="18"/>
  <c r="F82" i="18"/>
  <c r="F81" i="18"/>
  <c r="F73" i="18"/>
  <c r="F80" i="18"/>
  <c r="F72" i="18"/>
  <c r="F79" i="18"/>
  <c r="F78" i="18"/>
  <c r="F77" i="18"/>
  <c r="F76" i="18"/>
  <c r="F75" i="18"/>
  <c r="F74" i="18"/>
  <c r="G75" i="16"/>
  <c r="G76" i="16"/>
  <c r="F80" i="16"/>
  <c r="H80" i="16" s="1"/>
  <c r="J3" i="17"/>
  <c r="J6" i="17"/>
  <c r="J15" i="17"/>
  <c r="F62" i="16"/>
  <c r="G65" i="16"/>
  <c r="H65" i="16" s="1"/>
  <c r="F67" i="16"/>
  <c r="H67" i="16" s="1"/>
  <c r="G68" i="16"/>
  <c r="H68" i="16" s="1"/>
  <c r="G66" i="16"/>
  <c r="H66" i="16" s="1"/>
  <c r="G72" i="16"/>
  <c r="H72" i="16" s="1"/>
  <c r="F74" i="16"/>
  <c r="G81" i="16"/>
  <c r="J2" i="17"/>
  <c r="J14" i="17"/>
  <c r="J22" i="17"/>
  <c r="J25" i="17"/>
  <c r="J27" i="17"/>
  <c r="J30" i="17"/>
  <c r="J9" i="17"/>
  <c r="F71" i="16"/>
  <c r="H71" i="16" s="1"/>
  <c r="F79" i="16"/>
  <c r="F81" i="16"/>
  <c r="J18" i="17"/>
  <c r="J17" i="17"/>
  <c r="J34" i="17"/>
  <c r="J28" i="17"/>
  <c r="J38" i="17"/>
  <c r="J29" i="17"/>
  <c r="J26" i="17"/>
  <c r="J24" i="17"/>
  <c r="J33" i="17"/>
  <c r="J35" i="17"/>
  <c r="J5" i="16"/>
  <c r="J13" i="16"/>
  <c r="R15" i="16"/>
  <c r="J21" i="16"/>
  <c r="R2" i="16"/>
  <c r="R10" i="16"/>
  <c r="R18" i="16"/>
  <c r="N27" i="16"/>
  <c r="R24" i="16"/>
  <c r="R3" i="16"/>
  <c r="R11" i="16"/>
  <c r="R19" i="16"/>
  <c r="R27" i="16"/>
  <c r="J28" i="16"/>
  <c r="R30" i="16"/>
  <c r="R38" i="16"/>
  <c r="Q7" i="16"/>
  <c r="R7" i="16" s="1"/>
  <c r="Q15" i="16"/>
  <c r="Q23" i="16"/>
  <c r="R23" i="16" s="1"/>
  <c r="R25" i="16"/>
  <c r="J2" i="16"/>
  <c r="J10" i="16"/>
  <c r="J18" i="16"/>
  <c r="N26" i="16"/>
  <c r="R28" i="16"/>
  <c r="H83" i="18"/>
  <c r="H81" i="18"/>
  <c r="H79" i="18"/>
  <c r="I79" i="18" s="1"/>
  <c r="H77" i="18"/>
  <c r="I77" i="18" s="1"/>
  <c r="H75" i="18"/>
  <c r="H73" i="18"/>
  <c r="I73" i="18" s="1"/>
  <c r="H71" i="18"/>
  <c r="I71" i="18" s="1"/>
  <c r="H69" i="18"/>
  <c r="H67" i="18"/>
  <c r="I67" i="18" s="1"/>
  <c r="H65" i="18"/>
  <c r="I65" i="18" s="1"/>
  <c r="H63" i="18"/>
  <c r="I63" i="18" s="1"/>
  <c r="H61" i="18"/>
  <c r="I61" i="18" s="1"/>
  <c r="H59" i="18"/>
  <c r="I59" i="18" s="1"/>
  <c r="H57" i="18"/>
  <c r="I57" i="18" s="1"/>
  <c r="H55" i="18"/>
  <c r="I55" i="18" s="1"/>
  <c r="H53" i="18"/>
  <c r="I53" i="18" s="1"/>
  <c r="H51" i="18"/>
  <c r="I51" i="18" s="1"/>
  <c r="H49" i="18"/>
  <c r="H47" i="18"/>
  <c r="H45" i="18"/>
  <c r="I45" i="18" s="1"/>
  <c r="H43" i="18"/>
  <c r="I43" i="18" s="1"/>
  <c r="H41" i="18"/>
  <c r="I41" i="18" s="1"/>
  <c r="H39" i="18"/>
  <c r="H37" i="18"/>
  <c r="I37" i="18" s="1"/>
  <c r="H35" i="18"/>
  <c r="I35" i="18" s="1"/>
  <c r="H33" i="18"/>
  <c r="H31" i="18"/>
  <c r="I31" i="18" s="1"/>
  <c r="H29" i="18"/>
  <c r="H27" i="18"/>
  <c r="I27" i="18" s="1"/>
  <c r="H25" i="18"/>
  <c r="I25" i="18" s="1"/>
  <c r="H23" i="18"/>
  <c r="I23" i="18" s="1"/>
  <c r="H21" i="18"/>
  <c r="H19" i="18"/>
  <c r="I19" i="18" s="1"/>
  <c r="H17" i="18"/>
  <c r="I17" i="18" s="1"/>
  <c r="H15" i="18"/>
  <c r="I15" i="18" s="1"/>
  <c r="H13" i="18"/>
  <c r="I13" i="18" s="1"/>
  <c r="H11" i="18"/>
  <c r="I11" i="18" s="1"/>
  <c r="H9" i="18"/>
  <c r="H7" i="18"/>
  <c r="I7" i="18" s="1"/>
  <c r="H5" i="18"/>
  <c r="H3" i="18"/>
  <c r="I3" i="18" s="1"/>
  <c r="G83" i="18"/>
  <c r="G81" i="18"/>
  <c r="G79" i="18"/>
  <c r="G77" i="18"/>
  <c r="G75" i="18"/>
  <c r="G73" i="18"/>
  <c r="G71" i="18"/>
  <c r="G69" i="18"/>
  <c r="G67" i="18"/>
  <c r="G65" i="18"/>
  <c r="G63" i="18"/>
  <c r="G61" i="18"/>
  <c r="G59" i="18"/>
  <c r="G57" i="18"/>
  <c r="G55" i="18"/>
  <c r="G53" i="18"/>
  <c r="G51" i="18"/>
  <c r="G49" i="18"/>
  <c r="G47" i="18"/>
  <c r="G45" i="18"/>
  <c r="G43" i="18"/>
  <c r="G41" i="18"/>
  <c r="G39" i="18"/>
  <c r="G37" i="18"/>
  <c r="G35" i="18"/>
  <c r="G33" i="18"/>
  <c r="G31" i="18"/>
  <c r="G29" i="18"/>
  <c r="G27" i="18"/>
  <c r="G25" i="18"/>
  <c r="G23" i="18"/>
  <c r="G21" i="18"/>
  <c r="G19" i="18"/>
  <c r="G17" i="18"/>
  <c r="G15" i="18"/>
  <c r="G13" i="18"/>
  <c r="G11" i="18"/>
  <c r="G9" i="18"/>
  <c r="G7" i="18"/>
  <c r="G5" i="18"/>
  <c r="G3" i="18"/>
  <c r="H82" i="18"/>
  <c r="I82" i="18" s="1"/>
  <c r="H80" i="18"/>
  <c r="H78" i="18"/>
  <c r="H76" i="18"/>
  <c r="I76" i="18" s="1"/>
  <c r="H74" i="18"/>
  <c r="I74" i="18" s="1"/>
  <c r="H72" i="18"/>
  <c r="H70" i="18"/>
  <c r="I70" i="18" s="1"/>
  <c r="H68" i="18"/>
  <c r="H66" i="18"/>
  <c r="I66" i="18" s="1"/>
  <c r="H64" i="18"/>
  <c r="I64" i="18" s="1"/>
  <c r="H62" i="18"/>
  <c r="I62" i="18" s="1"/>
  <c r="H60" i="18"/>
  <c r="H58" i="18"/>
  <c r="I58" i="18" s="1"/>
  <c r="H56" i="18"/>
  <c r="H54" i="18"/>
  <c r="H52" i="18"/>
  <c r="H50" i="18"/>
  <c r="I50" i="18" s="1"/>
  <c r="H48" i="18"/>
  <c r="H46" i="18"/>
  <c r="I46" i="18" s="1"/>
  <c r="H44" i="18"/>
  <c r="I44" i="18" s="1"/>
  <c r="H42" i="18"/>
  <c r="I42" i="18" s="1"/>
  <c r="H40" i="18"/>
  <c r="H38" i="18"/>
  <c r="H36" i="18"/>
  <c r="I36" i="18" s="1"/>
  <c r="H34" i="18"/>
  <c r="I34" i="18" s="1"/>
  <c r="H32" i="18"/>
  <c r="I32" i="18" s="1"/>
  <c r="H30" i="18"/>
  <c r="H28" i="18"/>
  <c r="I28" i="18" s="1"/>
  <c r="H26" i="18"/>
  <c r="I26" i="18" s="1"/>
  <c r="H24" i="18"/>
  <c r="H22" i="18"/>
  <c r="I22" i="18" s="1"/>
  <c r="H20" i="18"/>
  <c r="H18" i="18"/>
  <c r="I18" i="18" s="1"/>
  <c r="H16" i="18"/>
  <c r="I16" i="18" s="1"/>
  <c r="H14" i="18"/>
  <c r="H12" i="18"/>
  <c r="H10" i="18"/>
  <c r="I10" i="18" s="1"/>
  <c r="H8" i="18"/>
  <c r="I8" i="18" s="1"/>
  <c r="H6" i="18"/>
  <c r="H4" i="18"/>
  <c r="I4" i="18" s="1"/>
  <c r="H2" i="18"/>
  <c r="G82" i="18"/>
  <c r="G80" i="18"/>
  <c r="G78" i="18"/>
  <c r="G76" i="18"/>
  <c r="G74" i="18"/>
  <c r="G72" i="18"/>
  <c r="G70" i="18"/>
  <c r="G68" i="18"/>
  <c r="G66" i="18"/>
  <c r="G64" i="18"/>
  <c r="G62" i="18"/>
  <c r="G60" i="18"/>
  <c r="G58" i="18"/>
  <c r="G56" i="18"/>
  <c r="G54" i="18"/>
  <c r="G52" i="18"/>
  <c r="G50" i="18"/>
  <c r="G48" i="18"/>
  <c r="G46" i="18"/>
  <c r="G44" i="18"/>
  <c r="G42" i="18"/>
  <c r="G40" i="18"/>
  <c r="G38" i="18"/>
  <c r="G36" i="18"/>
  <c r="G34" i="18"/>
  <c r="G32" i="18"/>
  <c r="G30" i="18"/>
  <c r="G28" i="18"/>
  <c r="G26" i="18"/>
  <c r="G24" i="18"/>
  <c r="G22" i="18"/>
  <c r="G20" i="18"/>
  <c r="G18" i="18"/>
  <c r="G16" i="18"/>
  <c r="G14" i="18"/>
  <c r="G12" i="18"/>
  <c r="G10" i="18"/>
  <c r="G8" i="18"/>
  <c r="G6" i="18"/>
  <c r="G4" i="18"/>
  <c r="G2" i="18"/>
  <c r="E9" i="16"/>
  <c r="N9" i="16"/>
  <c r="E17" i="16"/>
  <c r="N17" i="16"/>
  <c r="S24" i="16"/>
  <c r="E25" i="16"/>
  <c r="R55" i="16"/>
  <c r="E59" i="16"/>
  <c r="N59" i="16"/>
  <c r="J59" i="16"/>
  <c r="Q59" i="16"/>
  <c r="S5" i="16"/>
  <c r="E6" i="16"/>
  <c r="N6" i="16"/>
  <c r="S13" i="16"/>
  <c r="E14" i="16"/>
  <c r="N14" i="16"/>
  <c r="S21" i="16"/>
  <c r="E22" i="16"/>
  <c r="N22" i="16"/>
  <c r="Q25" i="16"/>
  <c r="R43" i="16"/>
  <c r="E48" i="16"/>
  <c r="J48" i="16"/>
  <c r="Q48" i="16"/>
  <c r="N54" i="16"/>
  <c r="R57" i="16"/>
  <c r="S2" i="16"/>
  <c r="E3" i="16"/>
  <c r="N3" i="16"/>
  <c r="S10" i="16"/>
  <c r="E11" i="16"/>
  <c r="N11" i="16"/>
  <c r="S18" i="16"/>
  <c r="E19" i="16"/>
  <c r="N19" i="16"/>
  <c r="E26" i="16"/>
  <c r="S29" i="16"/>
  <c r="S31" i="16"/>
  <c r="S33" i="16"/>
  <c r="E37" i="16"/>
  <c r="J37" i="16"/>
  <c r="Q37" i="16"/>
  <c r="R37" i="16" s="1"/>
  <c r="S44" i="16"/>
  <c r="J46" i="16"/>
  <c r="R59" i="16"/>
  <c r="S7" i="16"/>
  <c r="E8" i="16"/>
  <c r="N8" i="16"/>
  <c r="Q9" i="16"/>
  <c r="R9" i="16" s="1"/>
  <c r="S15" i="16"/>
  <c r="E16" i="16"/>
  <c r="N16" i="16"/>
  <c r="Q17" i="16"/>
  <c r="R17" i="16" s="1"/>
  <c r="S23" i="16"/>
  <c r="E24" i="16"/>
  <c r="N24" i="16"/>
  <c r="S25" i="16"/>
  <c r="E29" i="16"/>
  <c r="Q29" i="16"/>
  <c r="R29" i="16" s="1"/>
  <c r="R35" i="16"/>
  <c r="J38" i="16"/>
  <c r="N58" i="16"/>
  <c r="S79" i="16"/>
  <c r="U77" i="16"/>
  <c r="S71" i="16"/>
  <c r="U69" i="16"/>
  <c r="U80" i="16"/>
  <c r="S74" i="16"/>
  <c r="U72" i="16"/>
  <c r="S66" i="16"/>
  <c r="U64" i="16"/>
  <c r="S77" i="16"/>
  <c r="U75" i="16"/>
  <c r="S69" i="16"/>
  <c r="U67" i="16"/>
  <c r="S80" i="16"/>
  <c r="U78" i="16"/>
  <c r="S72" i="16"/>
  <c r="U70" i="16"/>
  <c r="S64" i="16"/>
  <c r="U81" i="16"/>
  <c r="S75" i="16"/>
  <c r="U73" i="16"/>
  <c r="S67" i="16"/>
  <c r="U65" i="16"/>
  <c r="U62" i="16"/>
  <c r="U61" i="16"/>
  <c r="U60" i="16"/>
  <c r="U59" i="16"/>
  <c r="U58" i="16"/>
  <c r="U57" i="16"/>
  <c r="U56" i="16"/>
  <c r="U55" i="16"/>
  <c r="U54" i="16"/>
  <c r="U53" i="16"/>
  <c r="U52" i="16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U35" i="16"/>
  <c r="U34" i="16"/>
  <c r="U33" i="16"/>
  <c r="U32" i="16"/>
  <c r="U31" i="16"/>
  <c r="U30" i="16"/>
  <c r="U29" i="16"/>
  <c r="U28" i="16"/>
  <c r="S78" i="16"/>
  <c r="U76" i="16"/>
  <c r="S70" i="16"/>
  <c r="U68" i="16"/>
  <c r="S81" i="16"/>
  <c r="U79" i="16"/>
  <c r="S73" i="16"/>
  <c r="U71" i="16"/>
  <c r="S76" i="16"/>
  <c r="U74" i="16"/>
  <c r="U66" i="16"/>
  <c r="S63" i="16"/>
  <c r="S57" i="16"/>
  <c r="S50" i="16"/>
  <c r="S42" i="16"/>
  <c r="S34" i="16"/>
  <c r="S53" i="16"/>
  <c r="S45" i="16"/>
  <c r="S37" i="16"/>
  <c r="S62" i="16"/>
  <c r="S61" i="16"/>
  <c r="S60" i="16"/>
  <c r="S56" i="16"/>
  <c r="S48" i="16"/>
  <c r="S40" i="16"/>
  <c r="S32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9" i="16"/>
  <c r="U8" i="16"/>
  <c r="U7" i="16"/>
  <c r="U6" i="16"/>
  <c r="U5" i="16"/>
  <c r="U4" i="16"/>
  <c r="U3" i="16"/>
  <c r="U2" i="16"/>
  <c r="S51" i="16"/>
  <c r="S43" i="16"/>
  <c r="S35" i="16"/>
  <c r="S68" i="16"/>
  <c r="S59" i="16"/>
  <c r="S55" i="16"/>
  <c r="S46" i="16"/>
  <c r="S38" i="16"/>
  <c r="S30" i="16"/>
  <c r="S49" i="16"/>
  <c r="S41" i="16"/>
  <c r="S65" i="16"/>
  <c r="U63" i="16"/>
  <c r="S58" i="16"/>
  <c r="S54" i="16"/>
  <c r="S52" i="16"/>
  <c r="S4" i="16"/>
  <c r="E5" i="16"/>
  <c r="N5" i="16"/>
  <c r="S12" i="16"/>
  <c r="E13" i="16"/>
  <c r="N13" i="16"/>
  <c r="S20" i="16"/>
  <c r="E21" i="16"/>
  <c r="N21" i="16"/>
  <c r="J25" i="16"/>
  <c r="E27" i="16"/>
  <c r="E45" i="16"/>
  <c r="J45" i="16"/>
  <c r="Q45" i="16"/>
  <c r="R45" i="16" s="1"/>
  <c r="R48" i="16"/>
  <c r="R56" i="16"/>
  <c r="E2" i="16"/>
  <c r="N2" i="16"/>
  <c r="J9" i="16"/>
  <c r="S9" i="16"/>
  <c r="E10" i="16"/>
  <c r="N10" i="16"/>
  <c r="J17" i="16"/>
  <c r="S17" i="16"/>
  <c r="E18" i="16"/>
  <c r="N18" i="16"/>
  <c r="S26" i="16"/>
  <c r="R32" i="16"/>
  <c r="E34" i="16"/>
  <c r="J34" i="16"/>
  <c r="Q34" i="16"/>
  <c r="R34" i="16" s="1"/>
  <c r="E40" i="16"/>
  <c r="J40" i="16"/>
  <c r="Q40" i="16"/>
  <c r="R40" i="16" s="1"/>
  <c r="R51" i="16"/>
  <c r="S6" i="16"/>
  <c r="E7" i="16"/>
  <c r="N7" i="16"/>
  <c r="Q8" i="16"/>
  <c r="R8" i="16" s="1"/>
  <c r="S14" i="16"/>
  <c r="E15" i="16"/>
  <c r="N15" i="16"/>
  <c r="Q16" i="16"/>
  <c r="R16" i="16" s="1"/>
  <c r="S22" i="16"/>
  <c r="E23" i="16"/>
  <c r="N23" i="16"/>
  <c r="Q24" i="16"/>
  <c r="J26" i="16"/>
  <c r="E28" i="16"/>
  <c r="Q28" i="16"/>
  <c r="E30" i="16"/>
  <c r="J30" i="16"/>
  <c r="E32" i="16"/>
  <c r="J32" i="16"/>
  <c r="Q32" i="16"/>
  <c r="R46" i="16"/>
  <c r="E55" i="16"/>
  <c r="N55" i="16"/>
  <c r="J55" i="16"/>
  <c r="Q55" i="16"/>
  <c r="N57" i="16"/>
  <c r="J3" i="16"/>
  <c r="S3" i="16"/>
  <c r="E4" i="16"/>
  <c r="N4" i="16"/>
  <c r="Q5" i="16"/>
  <c r="R5" i="16" s="1"/>
  <c r="J11" i="16"/>
  <c r="S11" i="16"/>
  <c r="E12" i="16"/>
  <c r="N12" i="16"/>
  <c r="Q13" i="16"/>
  <c r="R13" i="16" s="1"/>
  <c r="J19" i="16"/>
  <c r="S19" i="16"/>
  <c r="E20" i="16"/>
  <c r="N20" i="16"/>
  <c r="Q21" i="16"/>
  <c r="R21" i="16" s="1"/>
  <c r="N25" i="16"/>
  <c r="S27" i="16"/>
  <c r="S28" i="16"/>
  <c r="N29" i="16"/>
  <c r="S36" i="16"/>
  <c r="S47" i="16"/>
  <c r="L3" i="17"/>
  <c r="L17" i="17"/>
  <c r="L32" i="17"/>
  <c r="E53" i="16"/>
  <c r="N53" i="16"/>
  <c r="N80" i="16"/>
  <c r="L4" i="17"/>
  <c r="L26" i="17"/>
  <c r="E42" i="16"/>
  <c r="N42" i="16"/>
  <c r="E50" i="16"/>
  <c r="N50" i="16"/>
  <c r="E56" i="16"/>
  <c r="E60" i="16"/>
  <c r="J64" i="16"/>
  <c r="Q75" i="16"/>
  <c r="L5" i="17"/>
  <c r="L12" i="17"/>
  <c r="E31" i="16"/>
  <c r="N31" i="16"/>
  <c r="E39" i="16"/>
  <c r="N39" i="16"/>
  <c r="E47" i="16"/>
  <c r="N47" i="16"/>
  <c r="Q56" i="16"/>
  <c r="Q60" i="16"/>
  <c r="R60" i="16" s="1"/>
  <c r="E61" i="16"/>
  <c r="Q61" i="16"/>
  <c r="R61" i="16" s="1"/>
  <c r="E62" i="16"/>
  <c r="Q62" i="16"/>
  <c r="R62" i="16" s="1"/>
  <c r="J66" i="16"/>
  <c r="Q66" i="16"/>
  <c r="N66" i="16"/>
  <c r="E66" i="16"/>
  <c r="Q72" i="16"/>
  <c r="L28" i="17"/>
  <c r="E36" i="16"/>
  <c r="N36" i="16"/>
  <c r="E44" i="16"/>
  <c r="N44" i="16"/>
  <c r="E52" i="16"/>
  <c r="N52" i="16"/>
  <c r="Q53" i="16"/>
  <c r="R53" i="16" s="1"/>
  <c r="E57" i="16"/>
  <c r="J69" i="16"/>
  <c r="Q69" i="16"/>
  <c r="R69" i="16" s="1"/>
  <c r="N69" i="16"/>
  <c r="E69" i="16"/>
  <c r="R70" i="16"/>
  <c r="Q81" i="16"/>
  <c r="L21" i="17"/>
  <c r="E33" i="16"/>
  <c r="N33" i="16"/>
  <c r="E41" i="16"/>
  <c r="N41" i="16"/>
  <c r="Q42" i="16"/>
  <c r="R42" i="16" s="1"/>
  <c r="E49" i="16"/>
  <c r="N49" i="16"/>
  <c r="Q50" i="16"/>
  <c r="R50" i="16" s="1"/>
  <c r="Q57" i="16"/>
  <c r="L8" i="17"/>
  <c r="E38" i="16"/>
  <c r="N38" i="16"/>
  <c r="E46" i="16"/>
  <c r="N46" i="16"/>
  <c r="J53" i="16"/>
  <c r="E54" i="16"/>
  <c r="J56" i="16"/>
  <c r="E58" i="16"/>
  <c r="J60" i="16"/>
  <c r="J61" i="16"/>
  <c r="J62" i="16"/>
  <c r="E35" i="16"/>
  <c r="N35" i="16"/>
  <c r="Q36" i="16"/>
  <c r="R36" i="16" s="1"/>
  <c r="J42" i="16"/>
  <c r="E43" i="16"/>
  <c r="N43" i="16"/>
  <c r="Q44" i="16"/>
  <c r="R44" i="16" s="1"/>
  <c r="J50" i="16"/>
  <c r="E51" i="16"/>
  <c r="N51" i="16"/>
  <c r="Q52" i="16"/>
  <c r="R52" i="16" s="1"/>
  <c r="Q54" i="16"/>
  <c r="R54" i="16" s="1"/>
  <c r="Q58" i="16"/>
  <c r="R58" i="16" s="1"/>
  <c r="L2" i="17"/>
  <c r="L10" i="17"/>
  <c r="L24" i="17"/>
  <c r="J77" i="16"/>
  <c r="R78" i="16"/>
  <c r="E80" i="16"/>
  <c r="L31" i="17"/>
  <c r="R67" i="16"/>
  <c r="J74" i="16"/>
  <c r="R75" i="16"/>
  <c r="J63" i="16"/>
  <c r="J71" i="16"/>
  <c r="R72" i="16"/>
  <c r="E74" i="16"/>
  <c r="N74" i="16"/>
  <c r="J79" i="16"/>
  <c r="R80" i="16"/>
  <c r="L36" i="17"/>
  <c r="E63" i="16"/>
  <c r="N63" i="16"/>
  <c r="Q64" i="16"/>
  <c r="R64" i="16" s="1"/>
  <c r="J68" i="16"/>
  <c r="J76" i="16"/>
  <c r="R77" i="16"/>
  <c r="L15" i="17"/>
  <c r="J65" i="16"/>
  <c r="R66" i="16"/>
  <c r="J73" i="16"/>
  <c r="E76" i="16"/>
  <c r="N76" i="16"/>
  <c r="J81" i="16"/>
  <c r="E65" i="16"/>
  <c r="N65" i="16"/>
  <c r="J70" i="16"/>
  <c r="R71" i="16"/>
  <c r="E73" i="16"/>
  <c r="N73" i="16"/>
  <c r="Q74" i="16"/>
  <c r="R74" i="16" s="1"/>
  <c r="J78" i="16"/>
  <c r="R79" i="16"/>
  <c r="L30" i="17"/>
  <c r="Q63" i="16"/>
  <c r="R63" i="16" s="1"/>
  <c r="J67" i="16"/>
  <c r="R68" i="16"/>
  <c r="J75" i="16"/>
  <c r="R76" i="16"/>
  <c r="R65" i="16"/>
  <c r="J72" i="16"/>
  <c r="R73" i="16"/>
  <c r="E75" i="16"/>
  <c r="N75" i="16"/>
  <c r="Q76" i="16"/>
  <c r="J80" i="16"/>
  <c r="R81" i="16"/>
  <c r="L7" i="17"/>
  <c r="L23" i="17"/>
  <c r="L38" i="17"/>
  <c r="I14" i="18" l="1"/>
  <c r="I78" i="18"/>
  <c r="G24" i="3"/>
  <c r="G12" i="2" s="1"/>
  <c r="I52" i="18"/>
  <c r="I33" i="18"/>
  <c r="I49" i="18"/>
  <c r="I6" i="18"/>
  <c r="I54" i="18"/>
  <c r="I24" i="18"/>
  <c r="I40" i="18"/>
  <c r="I5" i="18"/>
  <c r="I69" i="18"/>
  <c r="K34" i="17"/>
  <c r="M11" i="17"/>
  <c r="K32" i="17"/>
  <c r="K5" i="17"/>
  <c r="M5" i="17" s="1"/>
  <c r="K23" i="17"/>
  <c r="B18" i="3"/>
  <c r="B7" i="2" s="1"/>
  <c r="M35" i="17"/>
  <c r="H36" i="16"/>
  <c r="H51" i="16"/>
  <c r="H73" i="16"/>
  <c r="Z73" i="16" s="1"/>
  <c r="H17" i="16"/>
  <c r="H76" i="16"/>
  <c r="Z76" i="16" s="1"/>
  <c r="H20" i="16"/>
  <c r="H57" i="16"/>
  <c r="H81" i="16"/>
  <c r="H63" i="16"/>
  <c r="Z63" i="16" s="1"/>
  <c r="H60" i="16"/>
  <c r="Z60" i="16" s="1"/>
  <c r="H16" i="16"/>
  <c r="Z16" i="16" s="1"/>
  <c r="H54" i="16"/>
  <c r="Z54" i="16" s="1"/>
  <c r="H28" i="16"/>
  <c r="H55" i="16"/>
  <c r="Z55" i="16" s="1"/>
  <c r="H78" i="16"/>
  <c r="Z78" i="16" s="1"/>
  <c r="H61" i="16"/>
  <c r="Z61" i="16" s="1"/>
  <c r="H47" i="16"/>
  <c r="Z47" i="16" s="1"/>
  <c r="H11" i="16"/>
  <c r="Z11" i="16" s="1"/>
  <c r="H75" i="16"/>
  <c r="Z75" i="16" s="1"/>
  <c r="H53" i="16"/>
  <c r="Z21" i="16"/>
  <c r="W21" i="16"/>
  <c r="W59" i="16"/>
  <c r="X59" i="16" s="1"/>
  <c r="Y59" i="16" s="1"/>
  <c r="I56" i="18"/>
  <c r="G25" i="3"/>
  <c r="I21" i="18"/>
  <c r="D22" i="3"/>
  <c r="D10" i="2" s="1"/>
  <c r="W15" i="16"/>
  <c r="Z37" i="16"/>
  <c r="W37" i="16"/>
  <c r="Z45" i="16"/>
  <c r="W45" i="16"/>
  <c r="W61" i="16"/>
  <c r="Z70" i="16"/>
  <c r="W70" i="16"/>
  <c r="X70" i="16" s="1"/>
  <c r="Y70" i="16" s="1"/>
  <c r="I12" i="18"/>
  <c r="C22" i="3"/>
  <c r="C10" i="2" s="1"/>
  <c r="I60" i="18"/>
  <c r="H22" i="3"/>
  <c r="H10" i="2" s="1"/>
  <c r="I9" i="18"/>
  <c r="B25" i="3"/>
  <c r="H30" i="16"/>
  <c r="Z5" i="16"/>
  <c r="W5" i="16"/>
  <c r="X5" i="16" s="1"/>
  <c r="Y5" i="16" s="1"/>
  <c r="W43" i="16"/>
  <c r="Z81" i="16"/>
  <c r="W81" i="16"/>
  <c r="X81" i="16" s="1"/>
  <c r="Y81" i="16" s="1"/>
  <c r="C18" i="3"/>
  <c r="C7" i="2" s="1"/>
  <c r="W7" i="16"/>
  <c r="X7" i="16" s="1"/>
  <c r="Y7" i="16" s="1"/>
  <c r="Z7" i="16"/>
  <c r="W23" i="16"/>
  <c r="X23" i="16" s="1"/>
  <c r="Y23" i="16" s="1"/>
  <c r="Z23" i="16"/>
  <c r="Z29" i="16"/>
  <c r="W29" i="16"/>
  <c r="X29" i="16" s="1"/>
  <c r="Y29" i="16" s="1"/>
  <c r="Z53" i="16"/>
  <c r="W53" i="16"/>
  <c r="Z64" i="16"/>
  <c r="W64" i="16"/>
  <c r="X64" i="16" s="1"/>
  <c r="Y64" i="16" s="1"/>
  <c r="X65" i="16"/>
  <c r="Y65" i="16" s="1"/>
  <c r="G18" i="3"/>
  <c r="G7" i="2" s="1"/>
  <c r="Z8" i="16"/>
  <c r="W8" i="16"/>
  <c r="X8" i="16" s="1"/>
  <c r="Y8" i="16" s="1"/>
  <c r="W16" i="16"/>
  <c r="X16" i="16" s="1"/>
  <c r="Y16" i="16" s="1"/>
  <c r="W24" i="16"/>
  <c r="X24" i="16" s="1"/>
  <c r="Y24" i="16" s="1"/>
  <c r="Z79" i="16"/>
  <c r="W79" i="16"/>
  <c r="X79" i="16" s="1"/>
  <c r="Y79" i="16" s="1"/>
  <c r="W30" i="16"/>
  <c r="X30" i="16" s="1"/>
  <c r="Y30" i="16" s="1"/>
  <c r="Z30" i="16"/>
  <c r="W38" i="16"/>
  <c r="Z38" i="16"/>
  <c r="W46" i="16"/>
  <c r="X46" i="16" s="1"/>
  <c r="Y46" i="16" s="1"/>
  <c r="Z46" i="16"/>
  <c r="W54" i="16"/>
  <c r="W62" i="16"/>
  <c r="I30" i="18"/>
  <c r="E22" i="3"/>
  <c r="E10" i="2" s="1"/>
  <c r="I75" i="18"/>
  <c r="K25" i="17"/>
  <c r="M25" i="17" s="1"/>
  <c r="M15" i="17"/>
  <c r="K10" i="17"/>
  <c r="M10" i="17" s="1"/>
  <c r="K12" i="17"/>
  <c r="M12" i="17" s="1"/>
  <c r="K14" i="17"/>
  <c r="K37" i="17"/>
  <c r="M37" i="17" s="1"/>
  <c r="H59" i="16"/>
  <c r="Z59" i="16" s="1"/>
  <c r="H26" i="16"/>
  <c r="Z26" i="16" s="1"/>
  <c r="H34" i="16"/>
  <c r="Z34" i="16" s="1"/>
  <c r="B21" i="3"/>
  <c r="H13" i="16"/>
  <c r="Z13" i="16" s="1"/>
  <c r="W63" i="16"/>
  <c r="X63" i="16" s="1"/>
  <c r="Y63" i="16" s="1"/>
  <c r="W13" i="16"/>
  <c r="W35" i="16"/>
  <c r="X37" i="16"/>
  <c r="Y37" i="16" s="1"/>
  <c r="Z9" i="16"/>
  <c r="W9" i="16"/>
  <c r="Z17" i="16"/>
  <c r="W17" i="16"/>
  <c r="W25" i="16"/>
  <c r="X25" i="16" s="1"/>
  <c r="Y25" i="16" s="1"/>
  <c r="W31" i="16"/>
  <c r="Z31" i="16"/>
  <c r="Z39" i="16"/>
  <c r="W39" i="16"/>
  <c r="X39" i="16" s="1"/>
  <c r="Y39" i="16" s="1"/>
  <c r="W47" i="16"/>
  <c r="W55" i="16"/>
  <c r="Z65" i="16"/>
  <c r="W65" i="16"/>
  <c r="W78" i="16"/>
  <c r="X78" i="16" s="1"/>
  <c r="Y78" i="16" s="1"/>
  <c r="Z72" i="16"/>
  <c r="W72" i="16"/>
  <c r="X17" i="16"/>
  <c r="Y17" i="16" s="1"/>
  <c r="I48" i="18"/>
  <c r="G22" i="3"/>
  <c r="G10" i="2" s="1"/>
  <c r="I80" i="18"/>
  <c r="I25" i="3"/>
  <c r="I29" i="18"/>
  <c r="D25" i="3"/>
  <c r="M23" i="17"/>
  <c r="M31" i="17"/>
  <c r="M36" i="17"/>
  <c r="H24" i="16"/>
  <c r="Z24" i="16" s="1"/>
  <c r="H21" i="3"/>
  <c r="W10" i="16"/>
  <c r="X10" i="16" s="1"/>
  <c r="Y10" i="16" s="1"/>
  <c r="Z10" i="16"/>
  <c r="Z68" i="16"/>
  <c r="W68" i="16"/>
  <c r="X68" i="16" s="1"/>
  <c r="Y68" i="16" s="1"/>
  <c r="Z40" i="16"/>
  <c r="W40" i="16"/>
  <c r="X40" i="16" s="1"/>
  <c r="Y40" i="16" s="1"/>
  <c r="Z48" i="16"/>
  <c r="W48" i="16"/>
  <c r="X48" i="16" s="1"/>
  <c r="Y48" i="16" s="1"/>
  <c r="I47" i="18"/>
  <c r="F25" i="3"/>
  <c r="X19" i="16"/>
  <c r="Y19" i="16" s="1"/>
  <c r="I21" i="3"/>
  <c r="M2" i="17"/>
  <c r="M17" i="17"/>
  <c r="M19" i="17"/>
  <c r="F17" i="3"/>
  <c r="M21" i="17"/>
  <c r="H43" i="16"/>
  <c r="Z43" i="16" s="1"/>
  <c r="G21" i="3"/>
  <c r="H33" i="16"/>
  <c r="Z33" i="16" s="1"/>
  <c r="I18" i="3"/>
  <c r="I7" i="2" s="1"/>
  <c r="H24" i="3"/>
  <c r="H12" i="2" s="1"/>
  <c r="H38" i="16"/>
  <c r="E21" i="3"/>
  <c r="W51" i="16"/>
  <c r="X51" i="16" s="1"/>
  <c r="Y51" i="16" s="1"/>
  <c r="Z51" i="16"/>
  <c r="X62" i="16"/>
  <c r="X35" i="16"/>
  <c r="Y35" i="16" s="1"/>
  <c r="X43" i="16"/>
  <c r="Y43" i="16" s="1"/>
  <c r="X55" i="16"/>
  <c r="Y55" i="16" s="1"/>
  <c r="W19" i="16"/>
  <c r="Z66" i="16"/>
  <c r="W66" i="16"/>
  <c r="X66" i="16" s="1"/>
  <c r="Y66" i="16" s="1"/>
  <c r="W33" i="16"/>
  <c r="X33" i="16" s="1"/>
  <c r="Y33" i="16" s="1"/>
  <c r="W49" i="16"/>
  <c r="X49" i="16" s="1"/>
  <c r="Y49" i="16" s="1"/>
  <c r="Z49" i="16"/>
  <c r="W57" i="16"/>
  <c r="X57" i="16" s="1"/>
  <c r="Y57" i="16" s="1"/>
  <c r="Z57" i="16"/>
  <c r="Z67" i="16"/>
  <c r="W67" i="16"/>
  <c r="X67" i="16" s="1"/>
  <c r="Y67" i="16" s="1"/>
  <c r="Z80" i="16"/>
  <c r="W80" i="16"/>
  <c r="X80" i="16" s="1"/>
  <c r="Y80" i="16" s="1"/>
  <c r="I20" i="18"/>
  <c r="C25" i="3"/>
  <c r="I68" i="18"/>
  <c r="H25" i="3"/>
  <c r="I81" i="18"/>
  <c r="X2" i="16"/>
  <c r="I24" i="3"/>
  <c r="I12" i="2" s="1"/>
  <c r="M38" i="17"/>
  <c r="K3" i="17"/>
  <c r="M3" i="17" s="1"/>
  <c r="K24" i="17"/>
  <c r="C21" i="3"/>
  <c r="H79" i="16"/>
  <c r="F18" i="3"/>
  <c r="F7" i="2" s="1"/>
  <c r="H18" i="3"/>
  <c r="H7" i="2" s="1"/>
  <c r="X72" i="16"/>
  <c r="W2" i="16"/>
  <c r="Z2" i="16"/>
  <c r="W18" i="16"/>
  <c r="X18" i="16" s="1"/>
  <c r="Y18" i="16" s="1"/>
  <c r="W26" i="16"/>
  <c r="X26" i="16" s="1"/>
  <c r="Y26" i="16" s="1"/>
  <c r="W32" i="16"/>
  <c r="X32" i="16" s="1"/>
  <c r="W56" i="16"/>
  <c r="X56" i="16" s="1"/>
  <c r="Y56" i="16" s="1"/>
  <c r="Z56" i="16"/>
  <c r="I2" i="18"/>
  <c r="B22" i="3"/>
  <c r="B10" i="2" s="1"/>
  <c r="X13" i="16"/>
  <c r="Y13" i="16" s="1"/>
  <c r="Z3" i="16"/>
  <c r="W3" i="16"/>
  <c r="W11" i="16"/>
  <c r="X11" i="16" s="1"/>
  <c r="Y11" i="16" s="1"/>
  <c r="W27" i="16"/>
  <c r="X27" i="16" s="1"/>
  <c r="Y27" i="16" s="1"/>
  <c r="Z27" i="16"/>
  <c r="W41" i="16"/>
  <c r="X41" i="16" s="1"/>
  <c r="Y41" i="16" s="1"/>
  <c r="Z41" i="16"/>
  <c r="W73" i="16"/>
  <c r="X73" i="16" s="1"/>
  <c r="Y73" i="16" s="1"/>
  <c r="X71" i="16"/>
  <c r="Y71" i="16" s="1"/>
  <c r="X54" i="16"/>
  <c r="Y54" i="16" s="1"/>
  <c r="X61" i="16"/>
  <c r="Y61" i="16" s="1"/>
  <c r="X45" i="16"/>
  <c r="Y45" i="16" s="1"/>
  <c r="W4" i="16"/>
  <c r="X4" i="16" s="1"/>
  <c r="Y4" i="16" s="1"/>
  <c r="W12" i="16"/>
  <c r="X12" i="16" s="1"/>
  <c r="Z12" i="16"/>
  <c r="W20" i="16"/>
  <c r="X20" i="16" s="1"/>
  <c r="Y20" i="16" s="1"/>
  <c r="Z20" i="16"/>
  <c r="W74" i="16"/>
  <c r="X74" i="16" s="1"/>
  <c r="Y74" i="16" s="1"/>
  <c r="W76" i="16"/>
  <c r="X76" i="16" s="1"/>
  <c r="Y76" i="16" s="1"/>
  <c r="W34" i="16"/>
  <c r="X34" i="16" s="1"/>
  <c r="Y34" i="16" s="1"/>
  <c r="Z42" i="16"/>
  <c r="W42" i="16"/>
  <c r="X42" i="16" s="1"/>
  <c r="Z50" i="16"/>
  <c r="W50" i="16"/>
  <c r="X50" i="16" s="1"/>
  <c r="Y50" i="16" s="1"/>
  <c r="W58" i="16"/>
  <c r="X58" i="16" s="1"/>
  <c r="Y58" i="16" s="1"/>
  <c r="Z58" i="16"/>
  <c r="Z69" i="16"/>
  <c r="W69" i="16"/>
  <c r="X69" i="16" s="1"/>
  <c r="Y69" i="16" s="1"/>
  <c r="I38" i="18"/>
  <c r="E25" i="3"/>
  <c r="I83" i="18"/>
  <c r="X3" i="16"/>
  <c r="Y3" i="16" s="1"/>
  <c r="K7" i="17"/>
  <c r="M7" i="17" s="1"/>
  <c r="K9" i="17"/>
  <c r="K4" i="17"/>
  <c r="M4" i="17" s="1"/>
  <c r="M34" i="17"/>
  <c r="I17" i="3"/>
  <c r="K26" i="17"/>
  <c r="M26" i="17" s="1"/>
  <c r="K28" i="17"/>
  <c r="M28" i="17" s="1"/>
  <c r="K33" i="17"/>
  <c r="M33" i="17" s="1"/>
  <c r="K30" i="17"/>
  <c r="M30" i="17" s="1"/>
  <c r="X47" i="16"/>
  <c r="Y47" i="16" s="1"/>
  <c r="H52" i="16"/>
  <c r="Z52" i="16" s="1"/>
  <c r="H22" i="16"/>
  <c r="Z22" i="16" s="1"/>
  <c r="H74" i="16"/>
  <c r="Z74" i="16" s="1"/>
  <c r="E18" i="3"/>
  <c r="E7" i="2" s="1"/>
  <c r="B24" i="3"/>
  <c r="B12" i="2" s="1"/>
  <c r="H32" i="16"/>
  <c r="Z32" i="16" s="1"/>
  <c r="H31" i="16"/>
  <c r="X31" i="16"/>
  <c r="Y31" i="16" s="1"/>
  <c r="H19" i="16"/>
  <c r="Z19" i="16" s="1"/>
  <c r="H62" i="16"/>
  <c r="Z62" i="16" s="1"/>
  <c r="D21" i="3"/>
  <c r="H18" i="16"/>
  <c r="Z18" i="16" s="1"/>
  <c r="H25" i="16"/>
  <c r="Z25" i="16" s="1"/>
  <c r="H29" i="16"/>
  <c r="X53" i="16"/>
  <c r="Y53" i="16" s="1"/>
  <c r="W75" i="16"/>
  <c r="X75" i="16" s="1"/>
  <c r="Y75" i="16" s="1"/>
  <c r="X9" i="16"/>
  <c r="Y9" i="16" s="1"/>
  <c r="I72" i="18"/>
  <c r="I22" i="3"/>
  <c r="I10" i="2" s="1"/>
  <c r="M32" i="17"/>
  <c r="X21" i="16"/>
  <c r="Y21" i="16" s="1"/>
  <c r="Z6" i="16"/>
  <c r="W6" i="16"/>
  <c r="X6" i="16" s="1"/>
  <c r="Y6" i="16" s="1"/>
  <c r="Z14" i="16"/>
  <c r="W14" i="16"/>
  <c r="X14" i="16" s="1"/>
  <c r="Y14" i="16" s="1"/>
  <c r="W22" i="16"/>
  <c r="X22" i="16" s="1"/>
  <c r="Z71" i="16"/>
  <c r="W71" i="16"/>
  <c r="Z28" i="16"/>
  <c r="W28" i="16"/>
  <c r="X28" i="16" s="1"/>
  <c r="Y28" i="16" s="1"/>
  <c r="Z36" i="16"/>
  <c r="W36" i="16"/>
  <c r="X36" i="16" s="1"/>
  <c r="Y36" i="16" s="1"/>
  <c r="W44" i="16"/>
  <c r="X44" i="16" s="1"/>
  <c r="Y44" i="16" s="1"/>
  <c r="W52" i="16"/>
  <c r="X52" i="16" s="1"/>
  <c r="W60" i="16"/>
  <c r="X60" i="16" s="1"/>
  <c r="Y60" i="16" s="1"/>
  <c r="Z77" i="16"/>
  <c r="W77" i="16"/>
  <c r="X77" i="16" s="1"/>
  <c r="Y77" i="16" s="1"/>
  <c r="I39" i="18"/>
  <c r="F22" i="3"/>
  <c r="F10" i="2" s="1"/>
  <c r="X38" i="16"/>
  <c r="Y38" i="16" s="1"/>
  <c r="X15" i="16"/>
  <c r="Y15" i="16" s="1"/>
  <c r="M8" i="17"/>
  <c r="M29" i="17"/>
  <c r="H44" i="16"/>
  <c r="Z44" i="16" s="1"/>
  <c r="F21" i="3"/>
  <c r="H35" i="16"/>
  <c r="Z35" i="16" s="1"/>
  <c r="D18" i="3"/>
  <c r="D7" i="2" s="1"/>
  <c r="H4" i="16"/>
  <c r="Z4" i="16" s="1"/>
  <c r="H15" i="16"/>
  <c r="Z15" i="16" s="1"/>
  <c r="H27" i="16"/>
  <c r="M50" i="16" l="1"/>
  <c r="AA50" i="16"/>
  <c r="I50" i="16"/>
  <c r="O50" i="16"/>
  <c r="V50" i="16"/>
  <c r="K50" i="16"/>
  <c r="T50" i="16"/>
  <c r="AA68" i="16"/>
  <c r="O68" i="16"/>
  <c r="V68" i="16"/>
  <c r="M68" i="16"/>
  <c r="T68" i="16"/>
  <c r="K68" i="16"/>
  <c r="I68" i="16"/>
  <c r="M44" i="16"/>
  <c r="O44" i="16"/>
  <c r="V44" i="16"/>
  <c r="T44" i="16"/>
  <c r="K44" i="16"/>
  <c r="I44" i="16"/>
  <c r="AA44" i="16"/>
  <c r="Y42" i="16"/>
  <c r="F8" i="3"/>
  <c r="F7" i="3"/>
  <c r="F6" i="3"/>
  <c r="AA63" i="16"/>
  <c r="O63" i="16"/>
  <c r="V63" i="16"/>
  <c r="M63" i="16"/>
  <c r="K63" i="16"/>
  <c r="I63" i="16"/>
  <c r="T63" i="16"/>
  <c r="M30" i="16"/>
  <c r="O30" i="16"/>
  <c r="V30" i="16"/>
  <c r="T30" i="16"/>
  <c r="K30" i="16"/>
  <c r="AA30" i="16"/>
  <c r="I30" i="16"/>
  <c r="M20" i="16"/>
  <c r="V20" i="16"/>
  <c r="T20" i="16"/>
  <c r="K20" i="16"/>
  <c r="AA20" i="16"/>
  <c r="I20" i="16"/>
  <c r="O20" i="16"/>
  <c r="M36" i="16"/>
  <c r="O36" i="16"/>
  <c r="V36" i="16"/>
  <c r="K36" i="16"/>
  <c r="AA36" i="16"/>
  <c r="I36" i="16"/>
  <c r="T36" i="16"/>
  <c r="Y12" i="16"/>
  <c r="C7" i="3"/>
  <c r="C8" i="3"/>
  <c r="C6" i="3"/>
  <c r="T66" i="16"/>
  <c r="K66" i="16"/>
  <c r="I66" i="16"/>
  <c r="AA66" i="16"/>
  <c r="O66" i="16"/>
  <c r="M66" i="16"/>
  <c r="V66" i="16"/>
  <c r="I79" i="16"/>
  <c r="AA79" i="16"/>
  <c r="O79" i="16"/>
  <c r="V79" i="16"/>
  <c r="M79" i="16"/>
  <c r="T79" i="16"/>
  <c r="K79" i="16"/>
  <c r="M23" i="16"/>
  <c r="O23" i="16"/>
  <c r="V23" i="16"/>
  <c r="T23" i="16"/>
  <c r="K23" i="16"/>
  <c r="AA23" i="16"/>
  <c r="I23" i="16"/>
  <c r="M5" i="16"/>
  <c r="O5" i="16"/>
  <c r="V5" i="16"/>
  <c r="T5" i="16"/>
  <c r="K5" i="16"/>
  <c r="AA5" i="16"/>
  <c r="I5" i="16"/>
  <c r="O60" i="16"/>
  <c r="M60" i="16"/>
  <c r="V60" i="16"/>
  <c r="K60" i="16"/>
  <c r="T60" i="16"/>
  <c r="I60" i="16"/>
  <c r="AA60" i="16"/>
  <c r="Y22" i="16"/>
  <c r="D7" i="3"/>
  <c r="D6" i="3"/>
  <c r="D8" i="3"/>
  <c r="V80" i="16"/>
  <c r="M80" i="16"/>
  <c r="T80" i="16"/>
  <c r="K80" i="16"/>
  <c r="I80" i="16"/>
  <c r="AA80" i="16"/>
  <c r="O80" i="16"/>
  <c r="M14" i="16"/>
  <c r="T14" i="16"/>
  <c r="K14" i="16"/>
  <c r="AA14" i="16"/>
  <c r="I14" i="16"/>
  <c r="O14" i="16"/>
  <c r="V14" i="16"/>
  <c r="V75" i="16"/>
  <c r="M75" i="16"/>
  <c r="T75" i="16"/>
  <c r="K75" i="16"/>
  <c r="I75" i="16"/>
  <c r="AA75" i="16"/>
  <c r="O75" i="16"/>
  <c r="T69" i="16"/>
  <c r="K69" i="16"/>
  <c r="I69" i="16"/>
  <c r="AA69" i="16"/>
  <c r="O69" i="16"/>
  <c r="M69" i="16"/>
  <c r="V69" i="16"/>
  <c r="M4" i="16"/>
  <c r="V4" i="16"/>
  <c r="T4" i="16"/>
  <c r="K4" i="16"/>
  <c r="AA4" i="16"/>
  <c r="I4" i="16"/>
  <c r="O4" i="16"/>
  <c r="M41" i="16"/>
  <c r="O41" i="16"/>
  <c r="V41" i="16"/>
  <c r="T41" i="16"/>
  <c r="K41" i="16"/>
  <c r="I41" i="16"/>
  <c r="AA41" i="16"/>
  <c r="O26" i="16"/>
  <c r="M26" i="16"/>
  <c r="V26" i="16"/>
  <c r="K26" i="16"/>
  <c r="T26" i="16"/>
  <c r="I26" i="16"/>
  <c r="AA26" i="16"/>
  <c r="M51" i="16"/>
  <c r="V51" i="16"/>
  <c r="T51" i="16"/>
  <c r="K51" i="16"/>
  <c r="AA51" i="16"/>
  <c r="I51" i="16"/>
  <c r="O51" i="16"/>
  <c r="V64" i="16"/>
  <c r="M64" i="16"/>
  <c r="T64" i="16"/>
  <c r="K64" i="16"/>
  <c r="I64" i="16"/>
  <c r="AA64" i="16"/>
  <c r="O64" i="16"/>
  <c r="M29" i="16"/>
  <c r="T29" i="16"/>
  <c r="K29" i="16"/>
  <c r="AA29" i="16"/>
  <c r="I29" i="16"/>
  <c r="V29" i="16"/>
  <c r="O29" i="16"/>
  <c r="Y52" i="16"/>
  <c r="G8" i="3"/>
  <c r="G7" i="3"/>
  <c r="G6" i="3"/>
  <c r="O73" i="16"/>
  <c r="V73" i="16"/>
  <c r="M73" i="16"/>
  <c r="T73" i="16"/>
  <c r="K73" i="16"/>
  <c r="I73" i="16"/>
  <c r="AA73" i="16"/>
  <c r="M6" i="16"/>
  <c r="T6" i="16"/>
  <c r="K6" i="16"/>
  <c r="AA6" i="16"/>
  <c r="I6" i="16"/>
  <c r="O6" i="16"/>
  <c r="V6" i="16"/>
  <c r="AA76" i="16"/>
  <c r="O76" i="16"/>
  <c r="V76" i="16"/>
  <c r="M76" i="16"/>
  <c r="T76" i="16"/>
  <c r="K76" i="16"/>
  <c r="I76" i="16"/>
  <c r="M18" i="16"/>
  <c r="O18" i="16"/>
  <c r="V18" i="16"/>
  <c r="T18" i="16"/>
  <c r="K18" i="16"/>
  <c r="AA18" i="16"/>
  <c r="I18" i="16"/>
  <c r="M48" i="16"/>
  <c r="V48" i="16"/>
  <c r="T48" i="16"/>
  <c r="K48" i="16"/>
  <c r="AA48" i="16"/>
  <c r="I48" i="16"/>
  <c r="O48" i="16"/>
  <c r="M24" i="16"/>
  <c r="AA24" i="16"/>
  <c r="I24" i="16"/>
  <c r="O24" i="16"/>
  <c r="V24" i="16"/>
  <c r="T24" i="16"/>
  <c r="K24" i="16"/>
  <c r="M7" i="16"/>
  <c r="O7" i="16"/>
  <c r="V7" i="16"/>
  <c r="T7" i="16"/>
  <c r="K7" i="16"/>
  <c r="AA7" i="16"/>
  <c r="I7" i="16"/>
  <c r="O56" i="16"/>
  <c r="M56" i="16"/>
  <c r="V56" i="16"/>
  <c r="K56" i="16"/>
  <c r="T56" i="16"/>
  <c r="I56" i="16"/>
  <c r="AA56" i="16"/>
  <c r="O27" i="16"/>
  <c r="M27" i="16"/>
  <c r="I27" i="16"/>
  <c r="AA27" i="16"/>
  <c r="V27" i="16"/>
  <c r="K27" i="16"/>
  <c r="T27" i="16"/>
  <c r="O57" i="16"/>
  <c r="M57" i="16"/>
  <c r="I57" i="16"/>
  <c r="AA57" i="16"/>
  <c r="V57" i="16"/>
  <c r="K57" i="16"/>
  <c r="T57" i="16"/>
  <c r="M46" i="16"/>
  <c r="O46" i="16"/>
  <c r="V46" i="16"/>
  <c r="T46" i="16"/>
  <c r="K46" i="16"/>
  <c r="AA46" i="16"/>
  <c r="I46" i="16"/>
  <c r="M16" i="16"/>
  <c r="AA16" i="16"/>
  <c r="I16" i="16"/>
  <c r="O16" i="16"/>
  <c r="V16" i="16"/>
  <c r="T16" i="16"/>
  <c r="K16" i="16"/>
  <c r="O25" i="16"/>
  <c r="M25" i="16"/>
  <c r="V25" i="16"/>
  <c r="K25" i="16"/>
  <c r="T25" i="16"/>
  <c r="I25" i="16"/>
  <c r="AA25" i="16"/>
  <c r="T77" i="16"/>
  <c r="K77" i="16"/>
  <c r="I77" i="16"/>
  <c r="AA77" i="16"/>
  <c r="O77" i="16"/>
  <c r="V77" i="16"/>
  <c r="M77" i="16"/>
  <c r="M28" i="16"/>
  <c r="O28" i="16"/>
  <c r="V28" i="16"/>
  <c r="AA28" i="16"/>
  <c r="K28" i="16"/>
  <c r="T28" i="16"/>
  <c r="I28" i="16"/>
  <c r="O58" i="16"/>
  <c r="M58" i="16"/>
  <c r="AA58" i="16"/>
  <c r="V58" i="16"/>
  <c r="K58" i="16"/>
  <c r="T58" i="16"/>
  <c r="I58" i="16"/>
  <c r="T74" i="16"/>
  <c r="K74" i="16"/>
  <c r="I74" i="16"/>
  <c r="AA74" i="16"/>
  <c r="O74" i="16"/>
  <c r="V74" i="16"/>
  <c r="M74" i="16"/>
  <c r="M11" i="16"/>
  <c r="AA11" i="16"/>
  <c r="I11" i="16"/>
  <c r="O11" i="16"/>
  <c r="V11" i="16"/>
  <c r="T11" i="16"/>
  <c r="K11" i="16"/>
  <c r="M40" i="16"/>
  <c r="V40" i="16"/>
  <c r="T40" i="16"/>
  <c r="K40" i="16"/>
  <c r="AA40" i="16"/>
  <c r="I40" i="16"/>
  <c r="O40" i="16"/>
  <c r="V67" i="16"/>
  <c r="M67" i="16"/>
  <c r="T67" i="16"/>
  <c r="K67" i="16"/>
  <c r="I67" i="16"/>
  <c r="AA67" i="16"/>
  <c r="O67" i="16"/>
  <c r="Y32" i="16"/>
  <c r="E8" i="3"/>
  <c r="E7" i="3"/>
  <c r="E6" i="3"/>
  <c r="O78" i="16"/>
  <c r="V78" i="16"/>
  <c r="M78" i="16"/>
  <c r="T78" i="16"/>
  <c r="K78" i="16"/>
  <c r="I78" i="16"/>
  <c r="AA78" i="16"/>
  <c r="M8" i="16"/>
  <c r="AA8" i="16"/>
  <c r="I8" i="16"/>
  <c r="O8" i="16"/>
  <c r="V8" i="16"/>
  <c r="T8" i="16"/>
  <c r="K8" i="16"/>
  <c r="M45" i="16"/>
  <c r="T45" i="16"/>
  <c r="K45" i="16"/>
  <c r="AA45" i="16"/>
  <c r="I45" i="16"/>
  <c r="O45" i="16"/>
  <c r="V45" i="16"/>
  <c r="H17" i="3"/>
  <c r="M9" i="16"/>
  <c r="V9" i="16"/>
  <c r="T9" i="16"/>
  <c r="K9" i="16"/>
  <c r="AA9" i="16"/>
  <c r="I9" i="16"/>
  <c r="O9" i="16"/>
  <c r="O61" i="16"/>
  <c r="M61" i="16"/>
  <c r="V61" i="16"/>
  <c r="K61" i="16"/>
  <c r="T61" i="16"/>
  <c r="I61" i="16"/>
  <c r="AA61" i="16"/>
  <c r="C23" i="3"/>
  <c r="C11" i="2" s="1"/>
  <c r="C9" i="2"/>
  <c r="O55" i="16"/>
  <c r="M55" i="16"/>
  <c r="V55" i="16"/>
  <c r="K55" i="16"/>
  <c r="T55" i="16"/>
  <c r="I55" i="16"/>
  <c r="AA55" i="16"/>
  <c r="E23" i="3"/>
  <c r="E11" i="2" s="1"/>
  <c r="E9" i="2"/>
  <c r="D23" i="3"/>
  <c r="D11" i="2" s="1"/>
  <c r="D9" i="2"/>
  <c r="E26" i="3"/>
  <c r="E14" i="2" s="1"/>
  <c r="E13" i="2"/>
  <c r="O54" i="16"/>
  <c r="M54" i="16"/>
  <c r="AA54" i="16"/>
  <c r="V54" i="16"/>
  <c r="K54" i="16"/>
  <c r="T54" i="16"/>
  <c r="I54" i="16"/>
  <c r="M39" i="16"/>
  <c r="AA39" i="16"/>
  <c r="I39" i="16"/>
  <c r="O39" i="16"/>
  <c r="V39" i="16"/>
  <c r="T39" i="16"/>
  <c r="K39" i="16"/>
  <c r="M43" i="16"/>
  <c r="V43" i="16"/>
  <c r="T43" i="16"/>
  <c r="K43" i="16"/>
  <c r="AA43" i="16"/>
  <c r="I43" i="16"/>
  <c r="O43" i="16"/>
  <c r="F19" i="3"/>
  <c r="F8" i="2" s="1"/>
  <c r="F6" i="2"/>
  <c r="F26" i="3"/>
  <c r="F14" i="2" s="1"/>
  <c r="F13" i="2"/>
  <c r="O65" i="16"/>
  <c r="V65" i="16"/>
  <c r="M65" i="16"/>
  <c r="T65" i="16"/>
  <c r="K65" i="16"/>
  <c r="I65" i="16"/>
  <c r="AA65" i="16"/>
  <c r="F9" i="2"/>
  <c r="F23" i="3"/>
  <c r="F11" i="2" s="1"/>
  <c r="M19" i="16"/>
  <c r="AA19" i="16"/>
  <c r="I19" i="16"/>
  <c r="O19" i="16"/>
  <c r="V19" i="16"/>
  <c r="T19" i="16"/>
  <c r="K19" i="16"/>
  <c r="I6" i="2"/>
  <c r="I19" i="3"/>
  <c r="I8" i="2" s="1"/>
  <c r="O59" i="16"/>
  <c r="M59" i="16"/>
  <c r="V59" i="16"/>
  <c r="K59" i="16"/>
  <c r="T59" i="16"/>
  <c r="I59" i="16"/>
  <c r="AA59" i="16"/>
  <c r="C17" i="3"/>
  <c r="M10" i="16"/>
  <c r="O10" i="16"/>
  <c r="V10" i="16"/>
  <c r="T10" i="16"/>
  <c r="K10" i="16"/>
  <c r="AA10" i="16"/>
  <c r="I10" i="16"/>
  <c r="Y2" i="16"/>
  <c r="B8" i="3"/>
  <c r="B7" i="3"/>
  <c r="B6" i="3"/>
  <c r="I71" i="16"/>
  <c r="AA71" i="16"/>
  <c r="O71" i="16"/>
  <c r="V71" i="16"/>
  <c r="M71" i="16"/>
  <c r="K71" i="16"/>
  <c r="T71" i="16"/>
  <c r="M49" i="16"/>
  <c r="O49" i="16"/>
  <c r="V49" i="16"/>
  <c r="T49" i="16"/>
  <c r="K49" i="16"/>
  <c r="AA49" i="16"/>
  <c r="I49" i="16"/>
  <c r="M15" i="16"/>
  <c r="O15" i="16"/>
  <c r="V15" i="16"/>
  <c r="T15" i="16"/>
  <c r="K15" i="16"/>
  <c r="AA15" i="16"/>
  <c r="I15" i="16"/>
  <c r="M21" i="16"/>
  <c r="O21" i="16"/>
  <c r="V21" i="16"/>
  <c r="T21" i="16"/>
  <c r="K21" i="16"/>
  <c r="AA21" i="16"/>
  <c r="I21" i="16"/>
  <c r="M53" i="16"/>
  <c r="T53" i="16"/>
  <c r="K53" i="16"/>
  <c r="AA53" i="16"/>
  <c r="I53" i="16"/>
  <c r="O53" i="16"/>
  <c r="V53" i="16"/>
  <c r="M47" i="16"/>
  <c r="AA47" i="16"/>
  <c r="I47" i="16"/>
  <c r="O47" i="16"/>
  <c r="V47" i="16"/>
  <c r="K47" i="16"/>
  <c r="T47" i="16"/>
  <c r="M17" i="16"/>
  <c r="V17" i="16"/>
  <c r="T17" i="16"/>
  <c r="K17" i="16"/>
  <c r="AA17" i="16"/>
  <c r="I17" i="16"/>
  <c r="O17" i="16"/>
  <c r="M3" i="16"/>
  <c r="AA3" i="16"/>
  <c r="I3" i="16"/>
  <c r="O3" i="16"/>
  <c r="V3" i="16"/>
  <c r="T3" i="16"/>
  <c r="K3" i="16"/>
  <c r="H26" i="3"/>
  <c r="H14" i="2" s="1"/>
  <c r="H13" i="2"/>
  <c r="M35" i="16"/>
  <c r="V35" i="16"/>
  <c r="T35" i="16"/>
  <c r="K35" i="16"/>
  <c r="AA35" i="16"/>
  <c r="I35" i="16"/>
  <c r="O35" i="16"/>
  <c r="M31" i="16"/>
  <c r="AA31" i="16"/>
  <c r="I31" i="16"/>
  <c r="O31" i="16"/>
  <c r="K31" i="16"/>
  <c r="V31" i="16"/>
  <c r="T31" i="16"/>
  <c r="M24" i="17"/>
  <c r="G17" i="3"/>
  <c r="M38" i="16"/>
  <c r="O38" i="16"/>
  <c r="V38" i="16"/>
  <c r="T38" i="16"/>
  <c r="K38" i="16"/>
  <c r="I38" i="16"/>
  <c r="AA38" i="16"/>
  <c r="Y72" i="16"/>
  <c r="I8" i="3"/>
  <c r="I7" i="3"/>
  <c r="I6" i="3"/>
  <c r="C13" i="2"/>
  <c r="C26" i="3"/>
  <c r="C14" i="2" s="1"/>
  <c r="B17" i="3"/>
  <c r="H23" i="3"/>
  <c r="H11" i="2" s="1"/>
  <c r="H9" i="2"/>
  <c r="D13" i="2"/>
  <c r="D26" i="3"/>
  <c r="D14" i="2" s="1"/>
  <c r="M14" i="17"/>
  <c r="E17" i="3"/>
  <c r="M33" i="16"/>
  <c r="O33" i="16"/>
  <c r="V33" i="16"/>
  <c r="T33" i="16"/>
  <c r="K33" i="16"/>
  <c r="AA33" i="16"/>
  <c r="I33" i="16"/>
  <c r="M9" i="17"/>
  <c r="D17" i="3"/>
  <c r="M13" i="16"/>
  <c r="O13" i="16"/>
  <c r="V13" i="16"/>
  <c r="T13" i="16"/>
  <c r="K13" i="16"/>
  <c r="AA13" i="16"/>
  <c r="I13" i="16"/>
  <c r="M34" i="16"/>
  <c r="AA34" i="16"/>
  <c r="I34" i="16"/>
  <c r="O34" i="16"/>
  <c r="K34" i="16"/>
  <c r="V34" i="16"/>
  <c r="T34" i="16"/>
  <c r="Y62" i="16"/>
  <c r="H8" i="3"/>
  <c r="H7" i="3"/>
  <c r="H6" i="3"/>
  <c r="G9" i="2"/>
  <c r="G23" i="3"/>
  <c r="G11" i="2" s="1"/>
  <c r="O81" i="16"/>
  <c r="V81" i="16"/>
  <c r="M81" i="16"/>
  <c r="T81" i="16"/>
  <c r="K81" i="16"/>
  <c r="I81" i="16"/>
  <c r="AA81" i="16"/>
  <c r="B13" i="2"/>
  <c r="B26" i="3"/>
  <c r="B14" i="2" s="1"/>
  <c r="O70" i="16"/>
  <c r="V70" i="16"/>
  <c r="M70" i="16"/>
  <c r="T70" i="16"/>
  <c r="K70" i="16"/>
  <c r="I70" i="16"/>
  <c r="AA70" i="16"/>
  <c r="G26" i="3"/>
  <c r="G14" i="2" s="1"/>
  <c r="G13" i="2"/>
  <c r="I23" i="3"/>
  <c r="I11" i="2" s="1"/>
  <c r="I9" i="2"/>
  <c r="I26" i="3"/>
  <c r="I14" i="2" s="1"/>
  <c r="I13" i="2"/>
  <c r="M37" i="16"/>
  <c r="T37" i="16"/>
  <c r="K37" i="16"/>
  <c r="AA37" i="16"/>
  <c r="I37" i="16"/>
  <c r="O37" i="16"/>
  <c r="V37" i="16"/>
  <c r="B9" i="2"/>
  <c r="B23" i="3"/>
  <c r="B11" i="2" s="1"/>
  <c r="M12" i="16" l="1"/>
  <c r="V12" i="16"/>
  <c r="T12" i="16"/>
  <c r="K12" i="16"/>
  <c r="AA12" i="16"/>
  <c r="I12" i="16"/>
  <c r="O12" i="16"/>
  <c r="C12" i="3"/>
  <c r="C13" i="3"/>
  <c r="C4" i="2" s="1"/>
  <c r="C5" i="3"/>
  <c r="C9" i="3"/>
  <c r="C10" i="3"/>
  <c r="C11" i="3"/>
  <c r="M42" i="16"/>
  <c r="AA42" i="16"/>
  <c r="I42" i="16"/>
  <c r="O42" i="16"/>
  <c r="K42" i="16"/>
  <c r="V42" i="16"/>
  <c r="T42" i="16"/>
  <c r="F13" i="3"/>
  <c r="F4" i="2" s="1"/>
  <c r="F11" i="3"/>
  <c r="F10" i="3"/>
  <c r="F9" i="3"/>
  <c r="F5" i="3"/>
  <c r="F12" i="3"/>
  <c r="M2" i="16"/>
  <c r="O2" i="16"/>
  <c r="V2" i="16"/>
  <c r="T2" i="16"/>
  <c r="K2" i="16"/>
  <c r="AA2" i="16"/>
  <c r="I2" i="16"/>
  <c r="B11" i="3"/>
  <c r="B10" i="3"/>
  <c r="B9" i="3"/>
  <c r="B5" i="3"/>
  <c r="B13" i="3"/>
  <c r="B4" i="2" s="1"/>
  <c r="B12" i="3"/>
  <c r="V72" i="16"/>
  <c r="M72" i="16"/>
  <c r="T72" i="16"/>
  <c r="K72" i="16"/>
  <c r="I72" i="16"/>
  <c r="AA72" i="16"/>
  <c r="O72" i="16"/>
  <c r="I11" i="3"/>
  <c r="I9" i="3"/>
  <c r="I12" i="3"/>
  <c r="I13" i="3"/>
  <c r="I4" i="2" s="1"/>
  <c r="I10" i="3"/>
  <c r="I5" i="3"/>
  <c r="G6" i="2"/>
  <c r="G19" i="3"/>
  <c r="G8" i="2" s="1"/>
  <c r="M22" i="16"/>
  <c r="T22" i="16"/>
  <c r="K22" i="16"/>
  <c r="AA22" i="16"/>
  <c r="I22" i="16"/>
  <c r="O22" i="16"/>
  <c r="V22" i="16"/>
  <c r="D10" i="3"/>
  <c r="D12" i="3"/>
  <c r="D13" i="3"/>
  <c r="D4" i="2" s="1"/>
  <c r="D11" i="3"/>
  <c r="D9" i="3"/>
  <c r="D5" i="3"/>
  <c r="C19" i="3"/>
  <c r="C8" i="2" s="1"/>
  <c r="C6" i="2"/>
  <c r="M52" i="16"/>
  <c r="O52" i="16"/>
  <c r="V52" i="16"/>
  <c r="T52" i="16"/>
  <c r="K52" i="16"/>
  <c r="AA52" i="16"/>
  <c r="I52" i="16"/>
  <c r="G13" i="3"/>
  <c r="G4" i="2" s="1"/>
  <c r="G11" i="3"/>
  <c r="G10" i="3"/>
  <c r="G9" i="3"/>
  <c r="G5" i="3"/>
  <c r="G12" i="3"/>
  <c r="B6" i="2"/>
  <c r="B19" i="3"/>
  <c r="B8" i="2" s="1"/>
  <c r="H19" i="3"/>
  <c r="H8" i="2" s="1"/>
  <c r="H6" i="2"/>
  <c r="M32" i="16"/>
  <c r="V32" i="16"/>
  <c r="AA32" i="16"/>
  <c r="I32" i="16"/>
  <c r="T32" i="16"/>
  <c r="O32" i="16"/>
  <c r="K32" i="16"/>
  <c r="E13" i="3"/>
  <c r="E4" i="2" s="1"/>
  <c r="E12" i="3"/>
  <c r="E11" i="3"/>
  <c r="E10" i="3"/>
  <c r="E9" i="3"/>
  <c r="E5" i="3"/>
  <c r="D6" i="2"/>
  <c r="D19" i="3"/>
  <c r="D8" i="2" s="1"/>
  <c r="O62" i="16"/>
  <c r="M62" i="16"/>
  <c r="T62" i="16"/>
  <c r="K62" i="16"/>
  <c r="V62" i="16"/>
  <c r="I62" i="16"/>
  <c r="AA62" i="16"/>
  <c r="H13" i="3"/>
  <c r="H4" i="2" s="1"/>
  <c r="H12" i="3"/>
  <c r="H11" i="3"/>
  <c r="H10" i="3"/>
  <c r="H9" i="3"/>
  <c r="H5" i="3"/>
  <c r="E19" i="3"/>
  <c r="E8" i="2" s="1"/>
  <c r="E6" i="2"/>
  <c r="C3" i="2" l="1"/>
  <c r="C14" i="3"/>
  <c r="E14" i="3"/>
  <c r="E3" i="2"/>
  <c r="B3" i="2"/>
  <c r="B14" i="3"/>
  <c r="D14" i="3"/>
  <c r="D3" i="2"/>
  <c r="H14" i="3"/>
  <c r="H3" i="2"/>
  <c r="G3" i="2"/>
  <c r="G14" i="3"/>
  <c r="F14" i="3"/>
  <c r="F3" i="2"/>
  <c r="I14" i="3"/>
  <c r="I3" i="2"/>
  <c r="B5" i="2" l="1"/>
  <c r="B28" i="3"/>
  <c r="B15" i="2" s="1"/>
  <c r="D5" i="2"/>
  <c r="D28" i="3"/>
  <c r="D15" i="2" s="1"/>
  <c r="G5" i="2"/>
  <c r="G28" i="3"/>
  <c r="G15" i="2" s="1"/>
  <c r="E28" i="3"/>
  <c r="E15" i="2" s="1"/>
  <c r="E5" i="2"/>
  <c r="I28" i="3"/>
  <c r="I15" i="2" s="1"/>
  <c r="I5" i="2"/>
  <c r="F5" i="2"/>
  <c r="F28" i="3"/>
  <c r="F15" i="2" s="1"/>
  <c r="C28" i="3"/>
  <c r="C15" i="2" s="1"/>
  <c r="C5" i="2"/>
  <c r="H28" i="3"/>
  <c r="H15" i="2" s="1"/>
  <c r="H5" i="2"/>
</calcChain>
</file>

<file path=xl/sharedStrings.xml><?xml version="1.0" encoding="utf-8"?>
<sst xmlns="http://schemas.openxmlformats.org/spreadsheetml/2006/main" count="9367" uniqueCount="1446">
  <si>
    <t>Metric</t>
  </si>
  <si>
    <t>S1</t>
  </si>
  <si>
    <t>S2</t>
  </si>
  <si>
    <t>S3</t>
  </si>
  <si>
    <t>S3s</t>
  </si>
  <si>
    <t>S4</t>
  </si>
  <si>
    <t>S5</t>
  </si>
  <si>
    <t>S6</t>
  </si>
  <si>
    <t>S6s</t>
  </si>
  <si>
    <t>Used in (doc table)</t>
  </si>
  <si>
    <t>Scenario</t>
  </si>
  <si>
    <t>Sim. avg lead time (min)</t>
  </si>
  <si>
    <t>Real avg lead time (s)</t>
  </si>
  <si>
    <t>Lead time deviation</t>
  </si>
  <si>
    <t>Sim. avg utilization</t>
  </si>
  <si>
    <t>Real avg utilization</t>
  </si>
  <si>
    <t>Utilization deviation (pp)</t>
  </si>
  <si>
    <t>Sim. components</t>
  </si>
  <si>
    <t>Real components</t>
  </si>
  <si>
    <t>Component count deviation</t>
  </si>
  <si>
    <t>Sim. remaining parts</t>
  </si>
  <si>
    <t>Real remaining parts</t>
  </si>
  <si>
    <t>Remaining parts deviation</t>
  </si>
  <si>
    <t>Assessment (±20 %)</t>
  </si>
  <si>
    <t>Unit</t>
  </si>
  <si>
    <t>Experiment</t>
  </si>
  <si>
    <t>LEAD TIME</t>
  </si>
  <si>
    <t>POs in average (complete in sim and factory)</t>
  </si>
  <si>
    <t>POs</t>
  </si>
  <si>
    <t>POs excluded: DNF (sim)</t>
  </si>
  <si>
    <t>POs excluded: DNF (factory)</t>
  </si>
  <si>
    <t>POs excluded: DNF (sim + factory)</t>
  </si>
  <si>
    <t>Sim. avg VT</t>
  </si>
  <si>
    <t>min</t>
  </si>
  <si>
    <t>Sim. avg NCT (workstations)</t>
  </si>
  <si>
    <t>Factory avg handling time</t>
  </si>
  <si>
    <t>s</t>
  </si>
  <si>
    <t>Sim. avg lead time</t>
  </si>
  <si>
    <t>Real avg lead time</t>
  </si>
  <si>
    <t>%</t>
  </si>
  <si>
    <t>UTILIZATION</t>
  </si>
  <si>
    <t>Workstations</t>
  </si>
  <si>
    <t>stations</t>
  </si>
  <si>
    <t>Utilization deviation</t>
  </si>
  <si>
    <t>pp</t>
  </si>
  <si>
    <t>COMPONENTS</t>
  </si>
  <si>
    <t>Sim. target components</t>
  </si>
  <si>
    <t>pcs</t>
  </si>
  <si>
    <t>Real target components</t>
  </si>
  <si>
    <t>ASSESSMENT</t>
  </si>
  <si>
    <t>Assessment (±20 %, utilization ±20 pp)</t>
  </si>
  <si>
    <t>Sim complete</t>
  </si>
  <si>
    <t>Factory complete</t>
  </si>
  <si>
    <t>Simulated count</t>
  </si>
  <si>
    <t>Factory count</t>
  </si>
  <si>
    <t>Run</t>
  </si>
  <si>
    <t>Output folder</t>
  </si>
  <si>
    <t>Start date</t>
  </si>
  <si>
    <t>1</t>
  </si>
  <si>
    <t>exp12_scenario_01</t>
  </si>
  <si>
    <t>2</t>
  </si>
  <si>
    <t>exp13_scenario_02</t>
  </si>
  <si>
    <t>3</t>
  </si>
  <si>
    <t>exp14_scenario_03</t>
  </si>
  <si>
    <t>exp14_scenario_03_sensitivity</t>
  </si>
  <si>
    <t>4</t>
  </si>
  <si>
    <t>exp15_scenario_04</t>
  </si>
  <si>
    <t>5</t>
  </si>
  <si>
    <t>exp16_scenario_05</t>
  </si>
  <si>
    <t>6</t>
  </si>
  <si>
    <t>exp17_scenario_06</t>
  </si>
  <si>
    <t>exp17_scenario_06_sensitivity</t>
  </si>
  <si>
    <t>Real utilization (%)</t>
  </si>
  <si>
    <t>Factory-complete POs</t>
  </si>
  <si>
    <t>caseID</t>
  </si>
  <si>
    <t>objectID</t>
  </si>
  <si>
    <t>object_type</t>
  </si>
  <si>
    <t>object_name</t>
  </si>
  <si>
    <t>delivery_time</t>
  </si>
  <si>
    <t>output_time</t>
  </si>
  <si>
    <t>Code</t>
  </si>
  <si>
    <t>Group</t>
  </si>
  <si>
    <t>Delivery (min)</t>
  </si>
  <si>
    <t>Output (min)</t>
  </si>
  <si>
    <t>1_BOSP_1</t>
  </si>
  <si>
    <t>component</t>
  </si>
  <si>
    <t>car_rd_BOSP</t>
  </si>
  <si>
    <t>1_BOSP_2</t>
  </si>
  <si>
    <t>1_RT_1</t>
  </si>
  <si>
    <t>car_rd_RT</t>
  </si>
  <si>
    <t>1_RT_2</t>
  </si>
  <si>
    <t>2_BOSP_1</t>
  </si>
  <si>
    <t>2_BOSP_2</t>
  </si>
  <si>
    <t>2_RT_1</t>
  </si>
  <si>
    <t>1_CORE</t>
  </si>
  <si>
    <t>car_rd_CORE</t>
  </si>
  <si>
    <t>2_RT_2</t>
  </si>
  <si>
    <t>3_BOSP_1</t>
  </si>
  <si>
    <t>3_BOSP_2</t>
  </si>
  <si>
    <t>1_BSA_1</t>
  </si>
  <si>
    <t>car_rd_BSA</t>
  </si>
  <si>
    <t>3_RT_1</t>
  </si>
  <si>
    <t>3_RT_2</t>
  </si>
  <si>
    <t>2_CORE</t>
  </si>
  <si>
    <t>1_BSA_2</t>
  </si>
  <si>
    <t>1_RAX_RD</t>
  </si>
  <si>
    <t>car_rd_RAX_RD</t>
  </si>
  <si>
    <t>4_BOSP_1</t>
  </si>
  <si>
    <t>car_tl_BOSP</t>
  </si>
  <si>
    <t>4_BOSP_2</t>
  </si>
  <si>
    <t>2_BSA_1</t>
  </si>
  <si>
    <t>3_CORE</t>
  </si>
  <si>
    <t>2_BSA_2</t>
  </si>
  <si>
    <t>4_BAT</t>
  </si>
  <si>
    <t>car_tl_BAT</t>
  </si>
  <si>
    <t>2_RAX_RD</t>
  </si>
  <si>
    <t>3_BSA_1</t>
  </si>
  <si>
    <t>4_RT_1</t>
  </si>
  <si>
    <t>car_tl_RT</t>
  </si>
  <si>
    <t>4_RT_2</t>
  </si>
  <si>
    <t>4_FT_1</t>
  </si>
  <si>
    <t>car_tl_FT</t>
  </si>
  <si>
    <t>3_BSA_2</t>
  </si>
  <si>
    <t>3_RAX_RD</t>
  </si>
  <si>
    <t>4_FT_2</t>
  </si>
  <si>
    <t>4_CRE</t>
  </si>
  <si>
    <t>car_tl_CRE</t>
  </si>
  <si>
    <t>5_RT_1</t>
  </si>
  <si>
    <t>car_sa_RT</t>
  </si>
  <si>
    <t>5_RT_2</t>
  </si>
  <si>
    <t>5_FT_1</t>
  </si>
  <si>
    <t>car_sa_FT</t>
  </si>
  <si>
    <t>5_FT_2</t>
  </si>
  <si>
    <t>6_BOSP_1</t>
  </si>
  <si>
    <t>6_BOSP_2</t>
  </si>
  <si>
    <t>5_SSA_1</t>
  </si>
  <si>
    <t>car_sa_SSA</t>
  </si>
  <si>
    <t>6_RT_1</t>
  </si>
  <si>
    <t>6_RT_2</t>
  </si>
  <si>
    <t>5_SSA_2</t>
  </si>
  <si>
    <t>7_BOSP_1</t>
  </si>
  <si>
    <t>5_BSA_1</t>
  </si>
  <si>
    <t>car_sa_BSA</t>
  </si>
  <si>
    <t>7_BOSP_2</t>
  </si>
  <si>
    <t>7_RT_1</t>
  </si>
  <si>
    <t>6_CORE</t>
  </si>
  <si>
    <t>5_BSA_2</t>
  </si>
  <si>
    <t>7_RT_2</t>
  </si>
  <si>
    <t>5_CSEB-NABS</t>
  </si>
  <si>
    <t>car_sa_CSEB-NABS</t>
  </si>
  <si>
    <t>8_BOSP_1</t>
  </si>
  <si>
    <t>6_BSA_1</t>
  </si>
  <si>
    <t>8_BOSP_2</t>
  </si>
  <si>
    <t>7_CORE</t>
  </si>
  <si>
    <t>6_BSA_2</t>
  </si>
  <si>
    <t>6_RAX_RD</t>
  </si>
  <si>
    <t>8_BAT</t>
  </si>
  <si>
    <t>8_RT_1</t>
  </si>
  <si>
    <t>7_BSA_1</t>
  </si>
  <si>
    <t>8_RT_2</t>
  </si>
  <si>
    <t>8_FT_1</t>
  </si>
  <si>
    <t>7_BSA_2</t>
  </si>
  <si>
    <t>7_RAX_RD</t>
  </si>
  <si>
    <t>8_FT_2</t>
  </si>
  <si>
    <t>8_CRE</t>
  </si>
  <si>
    <t>9_BOSP_1</t>
  </si>
  <si>
    <t>9_BOSP_2</t>
  </si>
  <si>
    <t>9_RT_1</t>
  </si>
  <si>
    <t>9_RT_2</t>
  </si>
  <si>
    <t>10_RT_1</t>
  </si>
  <si>
    <t>10_RT_2</t>
  </si>
  <si>
    <t>10_FT_1</t>
  </si>
  <si>
    <t>9_CORE</t>
  </si>
  <si>
    <t>10_FT_2</t>
  </si>
  <si>
    <t>9_BSA_1</t>
  </si>
  <si>
    <t>9_BSA_2</t>
  </si>
  <si>
    <t>9_RAX_RD</t>
  </si>
  <si>
    <t>10_SSA_1</t>
  </si>
  <si>
    <t>car_hd_BOSP</t>
  </si>
  <si>
    <t>1_BAT</t>
  </si>
  <si>
    <t>car_hd_BAT</t>
  </si>
  <si>
    <t>car_hd_RT</t>
  </si>
  <si>
    <t>2_BAT</t>
  </si>
  <si>
    <t>3_BAT</t>
  </si>
  <si>
    <t>1_FT_1</t>
  </si>
  <si>
    <t>car_hd_FT</t>
  </si>
  <si>
    <t>1_FT_2</t>
  </si>
  <si>
    <t>2_FT_1</t>
  </si>
  <si>
    <t>2_FT_2</t>
  </si>
  <si>
    <t>3_FT_1</t>
  </si>
  <si>
    <t>3_FT_2</t>
  </si>
  <si>
    <t>1_SSA_1</t>
  </si>
  <si>
    <t>car_hd_SSA</t>
  </si>
  <si>
    <t>2_SSA_1</t>
  </si>
  <si>
    <t>1_SSA_2</t>
  </si>
  <si>
    <t>3_SSA_1</t>
  </si>
  <si>
    <t>1_FAX</t>
  </si>
  <si>
    <t>car_hd_FAX</t>
  </si>
  <si>
    <t>2_SSA_2</t>
  </si>
  <si>
    <t>4_SSA_1</t>
  </si>
  <si>
    <t>2_FAX</t>
  </si>
  <si>
    <t>3_SSA_2</t>
  </si>
  <si>
    <t>1_CHS</t>
  </si>
  <si>
    <t>car_hd_CHS</t>
  </si>
  <si>
    <t>3_FAX</t>
  </si>
  <si>
    <t>4_SSA_2</t>
  </si>
  <si>
    <t>car_hd_BSA</t>
  </si>
  <si>
    <t>2_CHS</t>
  </si>
  <si>
    <t>4_FAX</t>
  </si>
  <si>
    <t>3_CHS</t>
  </si>
  <si>
    <t>1_RAX_HD</t>
  </si>
  <si>
    <t>car_hd_RAX_HD</t>
  </si>
  <si>
    <t>4_CHS</t>
  </si>
  <si>
    <t>5_BOSP_1</t>
  </si>
  <si>
    <t>5_BOSP_2</t>
  </si>
  <si>
    <t>2_RAX_HD</t>
  </si>
  <si>
    <t>4_BSA_1</t>
  </si>
  <si>
    <t>3_RAX_HD</t>
  </si>
  <si>
    <t>5_BAT</t>
  </si>
  <si>
    <t>4_BSA_2</t>
  </si>
  <si>
    <t>4_RAX_HD</t>
  </si>
  <si>
    <t>6_BAT</t>
  </si>
  <si>
    <t>7_BAT</t>
  </si>
  <si>
    <t>6_FT_1</t>
  </si>
  <si>
    <t>6_FT_2</t>
  </si>
  <si>
    <t>7_FT_1</t>
  </si>
  <si>
    <t>7_FT_2</t>
  </si>
  <si>
    <t>6_SSA_1</t>
  </si>
  <si>
    <t>5_FAX</t>
  </si>
  <si>
    <t>7_SSA_1</t>
  </si>
  <si>
    <t>6_SSA_2</t>
  </si>
  <si>
    <t>6_FAX</t>
  </si>
  <si>
    <t>8_SSA_1</t>
  </si>
  <si>
    <t>7_SSA_2</t>
  </si>
  <si>
    <t>5_CHS</t>
  </si>
  <si>
    <t>7_FAX</t>
  </si>
  <si>
    <t>8_SSA_2</t>
  </si>
  <si>
    <t>6_CHS</t>
  </si>
  <si>
    <t>8_FAX</t>
  </si>
  <si>
    <t>7_CHS</t>
  </si>
  <si>
    <t>5_RAX_HD</t>
  </si>
  <si>
    <t>8_CHS</t>
  </si>
  <si>
    <t>6_RAX_HD</t>
  </si>
  <si>
    <t>10_BOSP_1</t>
  </si>
  <si>
    <t>8_BSA_1</t>
  </si>
  <si>
    <t>7_RAX_HD</t>
  </si>
  <si>
    <t>9_BAT</t>
  </si>
  <si>
    <t>10_BOSP_2</t>
  </si>
  <si>
    <t>10_BAT</t>
  </si>
  <si>
    <t>9_FT_1</t>
  </si>
  <si>
    <t>9_FT_2</t>
  </si>
  <si>
    <t>9_CHS</t>
  </si>
  <si>
    <t>10_CHS</t>
  </si>
  <si>
    <t>2_CRE</t>
  </si>
  <si>
    <t>10_SSA_2</t>
  </si>
  <si>
    <t>10_FAX</t>
  </si>
  <si>
    <t>8_CORE</t>
  </si>
  <si>
    <t>8_BSA_2</t>
  </si>
  <si>
    <t>10_BSA_1</t>
  </si>
  <si>
    <t>8_RAX_RD</t>
  </si>
  <si>
    <t>10_BSA_2</t>
  </si>
  <si>
    <t>10_RAX_HD</t>
  </si>
  <si>
    <t>9_SSA_1</t>
  </si>
  <si>
    <t>9_SSA_2</t>
  </si>
  <si>
    <t>9_FAX</t>
  </si>
  <si>
    <t>9_RAX_HD</t>
  </si>
  <si>
    <t>1_CSEB-NABS</t>
  </si>
  <si>
    <t>10_CSEB-NABS</t>
  </si>
  <si>
    <t>product_type</t>
  </si>
  <si>
    <t>target_components</t>
  </si>
  <si>
    <t>N target</t>
  </si>
  <si>
    <t>Key</t>
  </si>
  <si>
    <t>car_rd</t>
  </si>
  <si>
    <t>2025-01-07T00:00:00</t>
  </si>
  <si>
    <t>{"BOSP": 2, "RT": 2, "CORE": 1, "BSA": 2, "RAX_RD": 1}</t>
  </si>
  <si>
    <t>2025-01-07T02:00:00</t>
  </si>
  <si>
    <t>2025-01-07T04:00:00</t>
  </si>
  <si>
    <t>car_tl</t>
  </si>
  <si>
    <t>2025-01-07T06:00:00</t>
  </si>
  <si>
    <t>{"BOSP": 2, "BAT": 1, "RT": 2, "FT": 2, "CRE": 1}</t>
  </si>
  <si>
    <t>car_sa</t>
  </si>
  <si>
    <t>2025-01-07T09:00:00</t>
  </si>
  <si>
    <t>{"RT": 2, "FT": 2, "SSA": 2, "BSA": 2, "CSEB-NABS": 1}</t>
  </si>
  <si>
    <t>2025-01-07T10:00:00</t>
  </si>
  <si>
    <t>2025-01-07T12:00:00</t>
  </si>
  <si>
    <t>2025-01-07T14:30:00</t>
  </si>
  <si>
    <t>2025-01-07T18:30:00</t>
  </si>
  <si>
    <t>2025-01-08T06:00:00</t>
  </si>
  <si>
    <t>car_hd</t>
  </si>
  <si>
    <t>2025-01-03T00:00:00</t>
  </si>
  <si>
    <t>{"BOSP": 2, "BAT": 1, "RT": 2, "FT": 2, "FRONT_AXIS_GROUP_SSA": 2, "FRONT_AXIS_GROUP_FAX": 1, "REAR_AXIS_GROUP_CHS": 1, "REAR_AXIS_GROUP_BSA": 2, "REAR_AXIS_GROUP_RAX_HD": 1}</t>
  </si>
  <si>
    <t>2025-01-03T01:00:00</t>
  </si>
  <si>
    <t>2025-01-03T02:00:00</t>
  </si>
  <si>
    <t>2025-01-03T03:00:00</t>
  </si>
  <si>
    <t>2025-01-03T04:00:00</t>
  </si>
  <si>
    <t>2025-01-03T05:00:00</t>
  </si>
  <si>
    <t>2025-01-03T06:30:00</t>
  </si>
  <si>
    <t>2025-01-03T07:15:00</t>
  </si>
  <si>
    <t>2025-01-03T08:00:00</t>
  </si>
  <si>
    <t>2025-01-03T09:00:00</t>
  </si>
  <si>
    <t>2025-01-13T00:00:00</t>
  </si>
  <si>
    <t>2025-01-13T01:30:00</t>
  </si>
  <si>
    <t>2025-01-13T03:00:00</t>
  </si>
  <si>
    <t>2025-01-13T04:30:00</t>
  </si>
  <si>
    <t>2025-01-13T06:00:00</t>
  </si>
  <si>
    <t>2025-01-13T07:30:00</t>
  </si>
  <si>
    <t>2025-01-13T10:00:00</t>
  </si>
  <si>
    <t>2025-01-13T10:30:00</t>
  </si>
  <si>
    <t>2025-01-13T13:00:00</t>
  </si>
  <si>
    <t>2025-01-13T14:00:00</t>
  </si>
  <si>
    <t>2025-01-08T00:00:00</t>
  </si>
  <si>
    <t>2025-01-08T01:30:00</t>
  </si>
  <si>
    <t>2025-01-08T03:00:00</t>
  </si>
  <si>
    <t>2025-01-08T04:30:00</t>
  </si>
  <si>
    <t>2025-01-08T07:30:00</t>
  </si>
  <si>
    <t>2025-01-08T10:00:00</t>
  </si>
  <si>
    <t>2025-01-08T13:30:00</t>
  </si>
  <si>
    <t>2025-01-08T15:30:00</t>
  </si>
  <si>
    <t>2025-01-08T20:00:00</t>
  </si>
  <si>
    <t>2025-01-09T00:00:00</t>
  </si>
  <si>
    <t>2025-01-09T01:00:00</t>
  </si>
  <si>
    <t>2025-01-09T02:00:00</t>
  </si>
  <si>
    <t>2025-01-09T03:00:00</t>
  </si>
  <si>
    <t>2025-01-09T04:00:00</t>
  </si>
  <si>
    <t>2025-01-09T05:00:00</t>
  </si>
  <si>
    <t>2025-01-09T07:00:00</t>
  </si>
  <si>
    <t>2025-01-09T09:00:00</t>
  </si>
  <si>
    <t>2025-01-09T10:00:00</t>
  </si>
  <si>
    <t>2025-01-10T00:00:00</t>
  </si>
  <si>
    <t>2025-01-10T01:30:00</t>
  </si>
  <si>
    <t>2025-01-10T03:00:00</t>
  </si>
  <si>
    <t>2025-01-10T04:30:00</t>
  </si>
  <si>
    <t>2025-01-10T06:00:00</t>
  </si>
  <si>
    <t>2025-01-10T07:30:00</t>
  </si>
  <si>
    <t>2025-01-10T09:00:00</t>
  </si>
  <si>
    <t>2025-01-10T10:30:00</t>
  </si>
  <si>
    <t>2025-01-10T12:00:00</t>
  </si>
  <si>
    <t>2025-01-10T13:30:00</t>
  </si>
  <si>
    <t>exit_time</t>
  </si>
  <si>
    <t>throughput_time</t>
  </si>
  <si>
    <t>active_production_time</t>
  </si>
  <si>
    <t>value_creating_time_VT</t>
  </si>
  <si>
    <t>nonvalue_creating_time_NCT</t>
  </si>
  <si>
    <t>Station</t>
  </si>
  <si>
    <t>VT</t>
  </si>
  <si>
    <t>NCT</t>
  </si>
  <si>
    <t>logistics_resource_01</t>
  </si>
  <si>
    <t>ws-03_S1toS4</t>
  </si>
  <si>
    <t>ws-04_S5S7</t>
  </si>
  <si>
    <t>ws-05_S6S8</t>
  </si>
  <si>
    <t>ws-01_S1toS8</t>
  </si>
  <si>
    <t>ws-02_S1toS8</t>
  </si>
  <si>
    <t>ws-03_S1toS8</t>
  </si>
  <si>
    <t>ws-04_S1toS8</t>
  </si>
  <si>
    <t>ws-01_S1S2</t>
  </si>
  <si>
    <t>ws-02_S3S4</t>
  </si>
  <si>
    <t>ws-03_S5</t>
  </si>
  <si>
    <t>ws-04_S7</t>
  </si>
  <si>
    <t>b-fifo</t>
  </si>
  <si>
    <t>ws-01_S1toS4</t>
  </si>
  <si>
    <t>ws-02_S1toS4</t>
  </si>
  <si>
    <t>ws-03_S5toS8</t>
  </si>
  <si>
    <t>ws-04_S5toS8</t>
  </si>
  <si>
    <t>ws-05_S5toS8</t>
  </si>
  <si>
    <t>ws-05_S1toS8</t>
  </si>
  <si>
    <t>station</t>
  </si>
  <si>
    <t>total_available_time</t>
  </si>
  <si>
    <t>busy_time</t>
  </si>
  <si>
    <t>blocked_time</t>
  </si>
  <si>
    <t>waiting_time</t>
  </si>
  <si>
    <t>failure_time</t>
  </si>
  <si>
    <t>closed_time</t>
  </si>
  <si>
    <t>product_count</t>
  </si>
  <si>
    <t>object_id</t>
  </si>
  <si>
    <t>resource_id</t>
  </si>
  <si>
    <t>timestamp</t>
  </si>
  <si>
    <t>Target component</t>
  </si>
  <si>
    <t>comp_001_BOSP_1</t>
  </si>
  <si>
    <t>2025-01-07T01:10:28</t>
  </si>
  <si>
    <t>comp_001_BOSP_2</t>
  </si>
  <si>
    <t>2025-01-07T01:49:34</t>
  </si>
  <si>
    <t>comp_001_RT_1</t>
  </si>
  <si>
    <t>2025-01-07T02:34:40</t>
  </si>
  <si>
    <t>comp_001_RT_2</t>
  </si>
  <si>
    <t>2025-01-07T03:19:46</t>
  </si>
  <si>
    <t>comp_002_BOSP_1</t>
  </si>
  <si>
    <t>2025-01-07T03:59:10</t>
  </si>
  <si>
    <t>comp_002_BOSP_2</t>
  </si>
  <si>
    <t>2025-01-07T04:38:16</t>
  </si>
  <si>
    <t>comp_002_RT_1</t>
  </si>
  <si>
    <t>2025-01-07T05:23:22</t>
  </si>
  <si>
    <t>comp_001_CORE</t>
  </si>
  <si>
    <t>2025-01-07T05:40:54</t>
  </si>
  <si>
    <t>comp_002_RT_2</t>
  </si>
  <si>
    <t>2025-01-07T06:08:28</t>
  </si>
  <si>
    <t>comp_003_BOSP_1</t>
  </si>
  <si>
    <t>2025-01-07T06:47:52</t>
  </si>
  <si>
    <t>comp_001_BSA_1</t>
  </si>
  <si>
    <t>2025-01-07T07:15:54</t>
  </si>
  <si>
    <t>comp_003_BOSP_2</t>
  </si>
  <si>
    <t>2025-01-07T07:26:58</t>
  </si>
  <si>
    <t>comp_003_RT_1</t>
  </si>
  <si>
    <t>2025-01-07T08:12:04</t>
  </si>
  <si>
    <t>comp_001_BSA_2</t>
  </si>
  <si>
    <t>2025-01-07T08:30:00</t>
  </si>
  <si>
    <t>comp_001_RAX_RD</t>
  </si>
  <si>
    <t>2025-01-07T08:30:12</t>
  </si>
  <si>
    <t>comp_002_CORE</t>
  </si>
  <si>
    <t>2025-01-07T08:40:54</t>
  </si>
  <si>
    <t>comp_003_RT_2</t>
  </si>
  <si>
    <t>2025-01-07T08:57:10</t>
  </si>
  <si>
    <t>comp_004_BOSP_1</t>
  </si>
  <si>
    <t>2025-01-07T09:36:34</t>
  </si>
  <si>
    <t>comp_004_BOSP_2</t>
  </si>
  <si>
    <t>2025-01-07T10:15:40</t>
  </si>
  <si>
    <t>comp_002_BSA_1</t>
  </si>
  <si>
    <t>2025-01-07T10:19:18</t>
  </si>
  <si>
    <t>comp_003_CORE</t>
  </si>
  <si>
    <t>2025-01-07T11:10:54</t>
  </si>
  <si>
    <t>comp_002_BSA_2</t>
  </si>
  <si>
    <t>2025-01-07T11:33:24</t>
  </si>
  <si>
    <t>comp_002_RAX_RD</t>
  </si>
  <si>
    <t>2025-01-07T11:33:36</t>
  </si>
  <si>
    <t>comp_004_BAT</t>
  </si>
  <si>
    <t>2025-01-07T12:15:46</t>
  </si>
  <si>
    <t>comp_003_BSA_1</t>
  </si>
  <si>
    <t>2025-01-07T12:47:54</t>
  </si>
  <si>
    <t>comp_004_RT_1</t>
  </si>
  <si>
    <t>2025-01-07T13:00:52</t>
  </si>
  <si>
    <t>comp_004_RT_2</t>
  </si>
  <si>
    <t>2025-01-07T13:45:58</t>
  </si>
  <si>
    <t>comp_003_BSA_2</t>
  </si>
  <si>
    <t>2025-01-07T14:02:00</t>
  </si>
  <si>
    <t>comp_003_RAX_RD</t>
  </si>
  <si>
    <t>2025-01-07T14:02:12</t>
  </si>
  <si>
    <t>comp_004_FT_1</t>
  </si>
  <si>
    <t>2025-01-07T14:29:04</t>
  </si>
  <si>
    <t>comp_004_FT_2</t>
  </si>
  <si>
    <t>2025-01-07T15:12:10</t>
  </si>
  <si>
    <t>comp_004_CRE</t>
  </si>
  <si>
    <t>2025-01-07T15:12:22</t>
  </si>
  <si>
    <t>comp_005_RT_1</t>
  </si>
  <si>
    <t>2025-01-07T15:57:40</t>
  </si>
  <si>
    <t>comp_005_RT_2</t>
  </si>
  <si>
    <t>2025-01-07T16:42:46</t>
  </si>
  <si>
    <t>comp_005_FT_1</t>
  </si>
  <si>
    <t>2025-01-07T17:25:52</t>
  </si>
  <si>
    <t>comp_005_FT_2</t>
  </si>
  <si>
    <t>2025-01-07T18:08:58</t>
  </si>
  <si>
    <t>comp_006_BOSP_1</t>
  </si>
  <si>
    <t>2025-01-07T18:48:22</t>
  </si>
  <si>
    <t>comp_006_BOSP_2</t>
  </si>
  <si>
    <t>2025-01-07T19:27:28</t>
  </si>
  <si>
    <t>comp_005_SSA_1</t>
  </si>
  <si>
    <t>2025-01-07T19:32:44</t>
  </si>
  <si>
    <t>comp_006_RT_1</t>
  </si>
  <si>
    <t>2025-01-07T20:12:34</t>
  </si>
  <si>
    <t>comp_005_SSA_2</t>
  </si>
  <si>
    <t>2025-01-07T20:32:50</t>
  </si>
  <si>
    <t>comp_006_RT_2</t>
  </si>
  <si>
    <t>2025-01-07T20:57:40</t>
  </si>
  <si>
    <t>comp_007_BOSP_1</t>
  </si>
  <si>
    <t>2025-01-07T21:37:04</t>
  </si>
  <si>
    <t>comp_005_BSA_1</t>
  </si>
  <si>
    <t>2025-01-07T21:46:56</t>
  </si>
  <si>
    <t>comp_007_BOSP_2</t>
  </si>
  <si>
    <t>2025-01-07T22:16:10</t>
  </si>
  <si>
    <t>comp_005_BSA_2</t>
  </si>
  <si>
    <t>2025-01-07T23:01:02</t>
  </si>
  <si>
    <t>comp_005_CSEB-NABS</t>
  </si>
  <si>
    <t>2025-01-07T23:01:14</t>
  </si>
  <si>
    <t>comp_007_RT_1</t>
  </si>
  <si>
    <t>2025-01-07T23:01:16</t>
  </si>
  <si>
    <t>comp_006_CORE</t>
  </si>
  <si>
    <t>2025-01-07T23:10:54</t>
  </si>
  <si>
    <t>comp_007_RT_2</t>
  </si>
  <si>
    <t>2025-01-07T23:46:22</t>
  </si>
  <si>
    <t>comp_008_BOSP_1</t>
  </si>
  <si>
    <t>2025-01-08T00:25:46</t>
  </si>
  <si>
    <t>comp_006_BSA_1</t>
  </si>
  <si>
    <t>2025-01-08T00:47:26</t>
  </si>
  <si>
    <t>comp_008_BOSP_2</t>
  </si>
  <si>
    <t>2025-01-08T01:04:52</t>
  </si>
  <si>
    <t>comp_006_BSA_2</t>
  </si>
  <si>
    <t>2025-01-08T02:01:32</t>
  </si>
  <si>
    <t>comp_006_RAX_RD</t>
  </si>
  <si>
    <t>2025-01-08T02:01:44</t>
  </si>
  <si>
    <t>comp_007_CORE</t>
  </si>
  <si>
    <t>2025-01-08T02:10:54</t>
  </si>
  <si>
    <t>comp_008_BAT</t>
  </si>
  <si>
    <t>2025-01-08T03:04:58</t>
  </si>
  <si>
    <t>comp_007_BSA_1</t>
  </si>
  <si>
    <t>2025-01-08T03:45:54</t>
  </si>
  <si>
    <t>comp_008_RT_1</t>
  </si>
  <si>
    <t>2025-01-08T03:50:04</t>
  </si>
  <si>
    <t>comp_008_RT_2</t>
  </si>
  <si>
    <t>2025-01-08T04:35:10</t>
  </si>
  <si>
    <t>comp_007_BSA_2</t>
  </si>
  <si>
    <t>2025-01-08T05:00:00</t>
  </si>
  <si>
    <t>comp_007_RAX_RD</t>
  </si>
  <si>
    <t>2025-01-08T05:00:12</t>
  </si>
  <si>
    <t>comp_008_FT_1</t>
  </si>
  <si>
    <t>2025-01-08T05:18:16</t>
  </si>
  <si>
    <t>comp_008_FT_2</t>
  </si>
  <si>
    <t>2025-01-08T06:01:22</t>
  </si>
  <si>
    <t>comp_008_CRE</t>
  </si>
  <si>
    <t>2025-01-08T06:01:34</t>
  </si>
  <si>
    <t>comp_009_BOSP_1</t>
  </si>
  <si>
    <t>2025-01-08T06:40:52</t>
  </si>
  <si>
    <t>comp_009_BOSP_2</t>
  </si>
  <si>
    <t>2025-01-08T07:19:58</t>
  </si>
  <si>
    <t>comp_009_RT_1</t>
  </si>
  <si>
    <t>2025-01-08T08:05:04</t>
  </si>
  <si>
    <t>comp_009_RT_2</t>
  </si>
  <si>
    <t>2025-01-08T08:50:10</t>
  </si>
  <si>
    <t>comp_010_RT_1</t>
  </si>
  <si>
    <t>2025-01-08T09:35:34</t>
  </si>
  <si>
    <t>comp_010_RT_2</t>
  </si>
  <si>
    <t>2025-01-08T10:20:40</t>
  </si>
  <si>
    <t>comp_010_FT_1</t>
  </si>
  <si>
    <t>2025-01-08T11:03:46</t>
  </si>
  <si>
    <t>comp_009_CORE</t>
  </si>
  <si>
    <t>2025-01-08T11:10:54</t>
  </si>
  <si>
    <t>comp_010_FT_2</t>
  </si>
  <si>
    <t>2025-01-08T11:46:52</t>
  </si>
  <si>
    <t>comp_009_BSA_1</t>
  </si>
  <si>
    <t>2025-01-08T12:47:26</t>
  </si>
  <si>
    <t>comp_009_BSA_2</t>
  </si>
  <si>
    <t>2025-01-08T14:01:32</t>
  </si>
  <si>
    <t>comp_009_RAX_RD</t>
  </si>
  <si>
    <t>2025-01-08T14:01:44</t>
  </si>
  <si>
    <t>comp_010_SSA_1</t>
  </si>
  <si>
    <t>2025-01-08T15:02:02</t>
  </si>
  <si>
    <t>2025-01-03T01:19:58</t>
  </si>
  <si>
    <t>2025-01-03T02:08:34</t>
  </si>
  <si>
    <t>2025-01-03T02:23:18</t>
  </si>
  <si>
    <t>2025-01-03T03:11:54</t>
  </si>
  <si>
    <t>2025-01-03T03:24:56</t>
  </si>
  <si>
    <t>comp_001_BAT</t>
  </si>
  <si>
    <t>2025-01-03T03:45:40</t>
  </si>
  <si>
    <t>2025-01-03T04:13:32</t>
  </si>
  <si>
    <t>2025-01-03T04:26:24</t>
  </si>
  <si>
    <t>2025-01-03T04:34:16</t>
  </si>
  <si>
    <t>comp_002_BAT</t>
  </si>
  <si>
    <t>2025-01-03T04:49:00</t>
  </si>
  <si>
    <t>2025-01-03T05:15:00</t>
  </si>
  <si>
    <t>2025-01-03T05:22:52</t>
  </si>
  <si>
    <t>2025-01-03T05:37:36</t>
  </si>
  <si>
    <t>comp_003_BAT</t>
  </si>
  <si>
    <t>2025-01-03T05:50:38</t>
  </si>
  <si>
    <t>comp_001_FT_1</t>
  </si>
  <si>
    <t>2025-01-03T06:11:28</t>
  </si>
  <si>
    <t>2025-01-03T06:26:12</t>
  </si>
  <si>
    <t>2025-01-03T06:39:14</t>
  </si>
  <si>
    <t>2025-01-03T06:52:06</t>
  </si>
  <si>
    <t>comp_001_FT_2</t>
  </si>
  <si>
    <t>2025-01-03T07:00:04</t>
  </si>
  <si>
    <t>comp_002_FT_1</t>
  </si>
  <si>
    <t>2025-01-03T07:14:48</t>
  </si>
  <si>
    <t>2025-01-03T07:27:50</t>
  </si>
  <si>
    <t>2025-01-03T07:40:42</t>
  </si>
  <si>
    <t>comp_002_FT_2</t>
  </si>
  <si>
    <t>2025-01-03T08:03:24</t>
  </si>
  <si>
    <t>comp_003_FT_1</t>
  </si>
  <si>
    <t>2025-01-03T08:16:26</t>
  </si>
  <si>
    <t>2025-01-03T08:29:18</t>
  </si>
  <si>
    <t>comp_003_FT_2</t>
  </si>
  <si>
    <t>2025-01-03T09:05:02</t>
  </si>
  <si>
    <t>2025-01-03T09:17:54</t>
  </si>
  <si>
    <t>2025-01-03T10:06:30</t>
  </si>
  <si>
    <t>comp_001_SSA_1</t>
  </si>
  <si>
    <t>2025-01-03T11:49:16</t>
  </si>
  <si>
    <t>comp_002_SSA_1</t>
  </si>
  <si>
    <t>2025-01-03T12:52:36</t>
  </si>
  <si>
    <t>comp_001_SSA_2</t>
  </si>
  <si>
    <t>2025-01-03T13:41:22</t>
  </si>
  <si>
    <t>comp_001_FAX</t>
  </si>
  <si>
    <t>2025-01-03T13:41:34</t>
  </si>
  <si>
    <t>comp_003_SSA_1</t>
  </si>
  <si>
    <t>2025-01-03T13:54:14</t>
  </si>
  <si>
    <t>comp_002_SSA_2</t>
  </si>
  <si>
    <t>2025-01-03T14:44:42</t>
  </si>
  <si>
    <t>comp_002_FAX</t>
  </si>
  <si>
    <t>2025-01-03T14:44:54</t>
  </si>
  <si>
    <t>comp_004_SSA_1</t>
  </si>
  <si>
    <t>2025-01-03T14:55:42</t>
  </si>
  <si>
    <t>comp_003_SSA_2</t>
  </si>
  <si>
    <t>2025-01-03T15:46:20</t>
  </si>
  <si>
    <t>comp_003_FAX</t>
  </si>
  <si>
    <t>2025-01-03T15:46:32</t>
  </si>
  <si>
    <t>comp_001_CHS</t>
  </si>
  <si>
    <t>2025-01-03T16:00:40</t>
  </si>
  <si>
    <t>comp_004_SSA_2</t>
  </si>
  <si>
    <t>2025-01-03T16:47:48</t>
  </si>
  <si>
    <t>comp_004_FAX</t>
  </si>
  <si>
    <t>2025-01-03T16:48:00</t>
  </si>
  <si>
    <t>comp_002_CHS</t>
  </si>
  <si>
    <t>2025-01-03T17:04:00</t>
  </si>
  <si>
    <t>2025-01-03T17:21:16</t>
  </si>
  <si>
    <t>comp_003_CHS</t>
  </si>
  <si>
    <t>2025-01-03T18:05:38</t>
  </si>
  <si>
    <t>2025-01-03T18:24:36</t>
  </si>
  <si>
    <t>2025-01-03T18:41:52</t>
  </si>
  <si>
    <t>comp_001_RAX_HD</t>
  </si>
  <si>
    <t>2025-01-03T18:42:04</t>
  </si>
  <si>
    <t>comp_004_CHS</t>
  </si>
  <si>
    <t>2025-01-03T19:07:06</t>
  </si>
  <si>
    <t>2025-01-03T19:26:14</t>
  </si>
  <si>
    <t>comp_005_BOSP_1</t>
  </si>
  <si>
    <t>2025-01-03T19:30:52</t>
  </si>
  <si>
    <t>2025-01-03T19:45:12</t>
  </si>
  <si>
    <t>comp_002_RAX_HD</t>
  </si>
  <si>
    <t>2025-01-03T19:45:24</t>
  </si>
  <si>
    <t>comp_005_BOSP_2</t>
  </si>
  <si>
    <t>2025-01-03T20:19:28</t>
  </si>
  <si>
    <t>comp_004_BSA_1</t>
  </si>
  <si>
    <t>2025-01-03T20:27:42</t>
  </si>
  <si>
    <t>2025-01-03T20:34:12</t>
  </si>
  <si>
    <t>2025-01-03T20:46:50</t>
  </si>
  <si>
    <t>comp_003_RAX_HD</t>
  </si>
  <si>
    <t>2025-01-03T20:47:02</t>
  </si>
  <si>
    <t>2025-01-03T21:22:48</t>
  </si>
  <si>
    <t>2025-01-03T21:35:50</t>
  </si>
  <si>
    <t>comp_004_BSA_2</t>
  </si>
  <si>
    <t>2025-01-03T21:48:18</t>
  </si>
  <si>
    <t>comp_004_RAX_HD</t>
  </si>
  <si>
    <t>2025-01-03T21:48:30</t>
  </si>
  <si>
    <t>comp_005_BAT</t>
  </si>
  <si>
    <t>2025-01-03T21:56:34</t>
  </si>
  <si>
    <t>2025-01-03T22:24:26</t>
  </si>
  <si>
    <t>2025-01-03T22:37:18</t>
  </si>
  <si>
    <t>2025-01-03T22:45:10</t>
  </si>
  <si>
    <t>comp_006_BAT</t>
  </si>
  <si>
    <t>2025-01-03T22:59:54</t>
  </si>
  <si>
    <t>2025-01-03T23:25:54</t>
  </si>
  <si>
    <t>2025-01-03T23:33:46</t>
  </si>
  <si>
    <t>2025-01-03T23:48:30</t>
  </si>
  <si>
    <t>comp_007_BAT</t>
  </si>
  <si>
    <t>2025-01-04T00:01:32</t>
  </si>
  <si>
    <t>2025-01-04T00:22:22</t>
  </si>
  <si>
    <t>2025-01-04T00:37:06</t>
  </si>
  <si>
    <t>2025-01-04T00:50:08</t>
  </si>
  <si>
    <t>2025-01-04T01:03:00</t>
  </si>
  <si>
    <t>2025-01-04T01:10:58</t>
  </si>
  <si>
    <t>comp_006_FT_1</t>
  </si>
  <si>
    <t>2025-01-04T01:25:42</t>
  </si>
  <si>
    <t>2025-01-04T01:38:44</t>
  </si>
  <si>
    <t>2025-01-04T01:51:36</t>
  </si>
  <si>
    <t>comp_006_FT_2</t>
  </si>
  <si>
    <t>2025-01-04T02:14:18</t>
  </si>
  <si>
    <t>comp_007_FT_1</t>
  </si>
  <si>
    <t>2025-01-04T02:27:20</t>
  </si>
  <si>
    <t>2025-01-04T02:40:12</t>
  </si>
  <si>
    <t>comp_007_FT_2</t>
  </si>
  <si>
    <t>2025-01-04T03:15:56</t>
  </si>
  <si>
    <t>2025-01-04T03:28:48</t>
  </si>
  <si>
    <t>2025-01-04T04:17:24</t>
  </si>
  <si>
    <t>2025-01-04T06:00:10</t>
  </si>
  <si>
    <t>comp_006_SSA_1</t>
  </si>
  <si>
    <t>2025-01-04T07:03:30</t>
  </si>
  <si>
    <t>2025-01-04T07:52:16</t>
  </si>
  <si>
    <t>comp_005_FAX</t>
  </si>
  <si>
    <t>2025-01-04T07:52:28</t>
  </si>
  <si>
    <t>comp_007_SSA_1</t>
  </si>
  <si>
    <t>2025-01-04T08:05:08</t>
  </si>
  <si>
    <t>comp_006_SSA_2</t>
  </si>
  <si>
    <t>2025-01-04T08:55:36</t>
  </si>
  <si>
    <t>comp_006_FAX</t>
  </si>
  <si>
    <t>2025-01-04T08:55:48</t>
  </si>
  <si>
    <t>comp_008_SSA_1</t>
  </si>
  <si>
    <t>2025-01-04T09:06:36</t>
  </si>
  <si>
    <t>comp_007_SSA_2</t>
  </si>
  <si>
    <t>2025-01-04T09:57:14</t>
  </si>
  <si>
    <t>comp_007_FAX</t>
  </si>
  <si>
    <t>2025-01-04T09:57:26</t>
  </si>
  <si>
    <t>comp_005_CHS</t>
  </si>
  <si>
    <t>2025-01-04T10:11:34</t>
  </si>
  <si>
    <t>comp_008_SSA_2</t>
  </si>
  <si>
    <t>2025-01-04T10:58:42</t>
  </si>
  <si>
    <t>comp_008_FAX</t>
  </si>
  <si>
    <t>2025-01-04T10:58:54</t>
  </si>
  <si>
    <t>comp_006_CHS</t>
  </si>
  <si>
    <t>2025-01-04T11:14:54</t>
  </si>
  <si>
    <t>2025-01-04T11:32:10</t>
  </si>
  <si>
    <t>comp_007_CHS</t>
  </si>
  <si>
    <t>2025-01-04T12:16:32</t>
  </si>
  <si>
    <t>2025-01-04T12:35:30</t>
  </si>
  <si>
    <t>2025-01-04T12:52:46</t>
  </si>
  <si>
    <t>comp_005_RAX_HD</t>
  </si>
  <si>
    <t>2025-01-04T12:52:58</t>
  </si>
  <si>
    <t>comp_008_CHS</t>
  </si>
  <si>
    <t>2025-01-04T13:18:00</t>
  </si>
  <si>
    <t>2025-01-04T13:37:08</t>
  </si>
  <si>
    <t>2025-01-04T13:41:46</t>
  </si>
  <si>
    <t>2025-01-04T13:56:06</t>
  </si>
  <si>
    <t>comp_006_RAX_HD</t>
  </si>
  <si>
    <t>2025-01-04T13:56:18</t>
  </si>
  <si>
    <t>2025-01-04T14:30:22</t>
  </si>
  <si>
    <t>comp_008_BSA_1</t>
  </si>
  <si>
    <t>2025-01-04T14:38:36</t>
  </si>
  <si>
    <t>comp_010_BOSP_1</t>
  </si>
  <si>
    <t>2025-01-04T14:45:06</t>
  </si>
  <si>
    <t>2025-01-04T14:57:44</t>
  </si>
  <si>
    <t>comp_007_RAX_HD</t>
  </si>
  <si>
    <t>2025-01-04T14:57:56</t>
  </si>
  <si>
    <t>comp_010_BOSP_2</t>
  </si>
  <si>
    <t>2025-01-04T15:33:42</t>
  </si>
  <si>
    <t>2025-01-13T00:58:58</t>
  </si>
  <si>
    <t>2025-01-13T01:26:34</t>
  </si>
  <si>
    <t>2025-01-13T02:20:40</t>
  </si>
  <si>
    <t>2025-01-13T02:48:34</t>
  </si>
  <si>
    <t>2025-01-13T03:16:10</t>
  </si>
  <si>
    <t>2025-01-13T03:29:44</t>
  </si>
  <si>
    <t>2025-01-13T04:10:16</t>
  </si>
  <si>
    <t>2025-01-13T04:28:20</t>
  </si>
  <si>
    <t>2025-01-13T04:38:10</t>
  </si>
  <si>
    <t>2025-01-13T05:03:56</t>
  </si>
  <si>
    <t>2025-01-13T05:05:46</t>
  </si>
  <si>
    <t>2025-01-13T05:39:32</t>
  </si>
  <si>
    <t>2025-01-13T05:59:52</t>
  </si>
  <si>
    <t>2025-01-13T06:27:46</t>
  </si>
  <si>
    <t>2025-01-13T06:38:26</t>
  </si>
  <si>
    <t>2025-01-13T06:55:22</t>
  </si>
  <si>
    <t>2025-01-13T07:37:02</t>
  </si>
  <si>
    <t>2025-01-13T07:49:28</t>
  </si>
  <si>
    <t>2025-01-13T08:12:38</t>
  </si>
  <si>
    <t>2025-01-13T08:17:22</t>
  </si>
  <si>
    <t>2025-01-13T08:44:58</t>
  </si>
  <si>
    <t>2025-01-13T08:48:14</t>
  </si>
  <si>
    <t>2025-01-13T09:39:04</t>
  </si>
  <si>
    <t>2025-01-13T09:47:08</t>
  </si>
  <si>
    <t>2025-01-13T10:06:58</t>
  </si>
  <si>
    <t>2025-01-13T10:11:08</t>
  </si>
  <si>
    <t>2025-01-13T10:34:34</t>
  </si>
  <si>
    <t>2025-01-13T10:45:44</t>
  </si>
  <si>
    <t>2025-01-13T11:13:14</t>
  </si>
  <si>
    <t>2025-01-13T11:13:26</t>
  </si>
  <si>
    <t>2025-01-13T11:14:50</t>
  </si>
  <si>
    <t>2025-01-13T11:21:20</t>
  </si>
  <si>
    <t>2025-01-13T11:28:40</t>
  </si>
  <si>
    <t>2025-01-13T11:56:34</t>
  </si>
  <si>
    <t>2025-01-13T11:56:56</t>
  </si>
  <si>
    <t>2025-01-13T12:24:10</t>
  </si>
  <si>
    <t>2025-01-13T12:30:40</t>
  </si>
  <si>
    <t>2025-01-13T12:55:50</t>
  </si>
  <si>
    <t>2025-01-13T13:18:16</t>
  </si>
  <si>
    <t>2025-01-13T13:25:16</t>
  </si>
  <si>
    <t>2025-01-13T13:25:28</t>
  </si>
  <si>
    <t>2025-01-13T13:46:10</t>
  </si>
  <si>
    <t>2025-01-13T13:54:26</t>
  </si>
  <si>
    <t>2025-01-13T14:13:46</t>
  </si>
  <si>
    <t>2025-01-13T14:14:50</t>
  </si>
  <si>
    <t>2025-01-13T14:27:46</t>
  </si>
  <si>
    <t>2025-01-13T14:30:02</t>
  </si>
  <si>
    <t>2025-01-13T15:05:38</t>
  </si>
  <si>
    <t>2025-01-13T15:07:52</t>
  </si>
  <si>
    <t>2025-01-13T15:29:52</t>
  </si>
  <si>
    <t>2025-01-13T15:30:04</t>
  </si>
  <si>
    <t>2025-01-13T15:35:46</t>
  </si>
  <si>
    <t>2025-01-13T16:03:22</t>
  </si>
  <si>
    <t>2025-01-13T16:04:32</t>
  </si>
  <si>
    <t>2025-01-13T16:24:52</t>
  </si>
  <si>
    <t>comp_009_BAT</t>
  </si>
  <si>
    <t>2025-01-13T16:57:28</t>
  </si>
  <si>
    <t>2025-01-13T17:03:08</t>
  </si>
  <si>
    <t>2025-01-13T17:10:08</t>
  </si>
  <si>
    <t>2025-01-13T17:19:28</t>
  </si>
  <si>
    <t>2025-01-13T17:19:40</t>
  </si>
  <si>
    <t>2025-01-13T17:25:22</t>
  </si>
  <si>
    <t>2025-01-13T17:38:44</t>
  </si>
  <si>
    <t>2025-01-13T17:52:58</t>
  </si>
  <si>
    <t>2025-01-13T18:14:20</t>
  </si>
  <si>
    <t>2025-01-13T18:21:58</t>
  </si>
  <si>
    <t>comp_010_BAT</t>
  </si>
  <si>
    <t>2025-01-13T18:47:04</t>
  </si>
  <si>
    <t>2025-01-13T19:13:14</t>
  </si>
  <si>
    <t>2025-01-13T19:24:04</t>
  </si>
  <si>
    <t>2025-01-13T19:24:16</t>
  </si>
  <si>
    <t>2025-01-13T20:11:50</t>
  </si>
  <si>
    <t>2025-01-13T20:19:04</t>
  </si>
  <si>
    <t>2025-01-13T20:43:18</t>
  </si>
  <si>
    <t>2025-01-13T20:47:26</t>
  </si>
  <si>
    <t>2025-01-13T21:13:40</t>
  </si>
  <si>
    <t>2025-01-13T21:13:52</t>
  </si>
  <si>
    <t>2025-01-13T21:23:02</t>
  </si>
  <si>
    <t>2025-01-13T22:16:10</t>
  </si>
  <si>
    <t>2025-01-13T22:21:56</t>
  </si>
  <si>
    <t>2025-01-13T23:18:16</t>
  </si>
  <si>
    <t>2025-01-13T23:18:28</t>
  </si>
  <si>
    <t>2025-01-13T23:20:32</t>
  </si>
  <si>
    <t>2025-01-13T23:43:18</t>
  </si>
  <si>
    <t>2025-01-13T23:56:08</t>
  </si>
  <si>
    <t>2025-01-14T00:13:16</t>
  </si>
  <si>
    <t>2025-01-14T00:31:44</t>
  </si>
  <si>
    <t>2025-01-14T01:07:52</t>
  </si>
  <si>
    <t>2025-01-14T01:08:04</t>
  </si>
  <si>
    <t>2025-01-14T01:30:38</t>
  </si>
  <si>
    <t>2025-01-14T02:10:22</t>
  </si>
  <si>
    <t>2025-01-14T02:29:14</t>
  </si>
  <si>
    <t>2025-01-14T02:38:26</t>
  </si>
  <si>
    <t>2025-01-14T03:04:50</t>
  </si>
  <si>
    <t>2025-01-14T03:12:28</t>
  </si>
  <si>
    <t>2025-01-14T03:12:40</t>
  </si>
  <si>
    <t>2025-01-14T03:40:26</t>
  </si>
  <si>
    <t>2025-01-14T04:07:28</t>
  </si>
  <si>
    <t>2025-01-14T04:39:20</t>
  </si>
  <si>
    <t>2025-01-14T05:02:04</t>
  </si>
  <si>
    <t>2025-01-14T05:02:16</t>
  </si>
  <si>
    <t>2025-01-14T05:37:56</t>
  </si>
  <si>
    <t>2025-01-14T06:04:34</t>
  </si>
  <si>
    <t>2025-01-14T06:13:18</t>
  </si>
  <si>
    <t>comp_009_FT_1</t>
  </si>
  <si>
    <t>2025-01-14T06:13:32</t>
  </si>
  <si>
    <t>comp_009_FT_2</t>
  </si>
  <si>
    <t>2025-01-14T06:49:08</t>
  </si>
  <si>
    <t>2025-01-14T07:06:40</t>
  </si>
  <si>
    <t>2025-01-14T07:06:52</t>
  </si>
  <si>
    <t>2025-01-14T07:48:02</t>
  </si>
  <si>
    <t>2025-01-14T08:01:40</t>
  </si>
  <si>
    <t>2025-01-14T08:46:38</t>
  </si>
  <si>
    <t>2025-01-14T08:56:16</t>
  </si>
  <si>
    <t>2025-01-14T08:56:28</t>
  </si>
  <si>
    <t>2025-01-14T09:13:18</t>
  </si>
  <si>
    <t>2025-01-14T09:22:14</t>
  </si>
  <si>
    <t>2025-01-14T09:57:50</t>
  </si>
  <si>
    <t>2025-01-14T09:58:46</t>
  </si>
  <si>
    <t>2025-01-14T11:00:52</t>
  </si>
  <si>
    <t>2025-01-14T11:01:04</t>
  </si>
  <si>
    <t>2025-01-14T11:55:52</t>
  </si>
  <si>
    <t>comp_009_CHS</t>
  </si>
  <si>
    <t>2025-01-14T12:13:18</t>
  </si>
  <si>
    <t>2025-01-14T12:50:28</t>
  </si>
  <si>
    <t>2025-01-14T12:50:40</t>
  </si>
  <si>
    <t>2025-01-14T13:52:58</t>
  </si>
  <si>
    <t>2025-01-14T14:55:04</t>
  </si>
  <si>
    <t>2025-01-14T14:55:16</t>
  </si>
  <si>
    <t>comp_010_CHS</t>
  </si>
  <si>
    <t>2025-01-14T15:08:26</t>
  </si>
  <si>
    <t>2025-01-14T15:50:04</t>
  </si>
  <si>
    <t>2025-01-13T00:59:28</t>
  </si>
  <si>
    <t>2025-01-13T01:27:34</t>
  </si>
  <si>
    <t>2025-01-13T02:22:40</t>
  </si>
  <si>
    <t>2025-01-13T02:51:04</t>
  </si>
  <si>
    <t>2025-01-13T03:19:10</t>
  </si>
  <si>
    <t>2025-01-13T03:47:14</t>
  </si>
  <si>
    <t>2025-01-13T04:14:16</t>
  </si>
  <si>
    <t>2025-01-13T04:42:40</t>
  </si>
  <si>
    <t>2025-01-13T05:03:20</t>
  </si>
  <si>
    <t>2025-01-13T05:10:46</t>
  </si>
  <si>
    <t>2025-01-13T05:49:26</t>
  </si>
  <si>
    <t>2025-01-13T06:05:52</t>
  </si>
  <si>
    <t>2025-01-13T06:34:16</t>
  </si>
  <si>
    <t>2025-01-13T06:35:32</t>
  </si>
  <si>
    <t>2025-01-13T07:02:22</t>
  </si>
  <si>
    <t>2025-01-13T07:51:56</t>
  </si>
  <si>
    <t>2025-01-13T07:57:28</t>
  </si>
  <si>
    <t>2025-01-13T08:25:52</t>
  </si>
  <si>
    <t>2025-01-13T08:53:58</t>
  </si>
  <si>
    <t>2025-01-13T09:08:02</t>
  </si>
  <si>
    <t>2025-01-13T09:49:04</t>
  </si>
  <si>
    <t>2025-01-13T09:54:08</t>
  </si>
  <si>
    <t>2025-01-13T10:17:28</t>
  </si>
  <si>
    <t>2025-01-13T10:40:14</t>
  </si>
  <si>
    <t>2025-01-13T10:45:34</t>
  </si>
  <si>
    <t>2025-01-13T11:40:40</t>
  </si>
  <si>
    <t>2025-01-13T11:56:38</t>
  </si>
  <si>
    <t>2025-01-13T12:09:04</t>
  </si>
  <si>
    <t>2025-01-13T12:37:10</t>
  </si>
  <si>
    <t>2025-01-13T13:12:44</t>
  </si>
  <si>
    <t>2025-01-13T13:32:16</t>
  </si>
  <si>
    <t>2025-01-13T13:39:16</t>
  </si>
  <si>
    <t>2025-01-13T13:58:50</t>
  </si>
  <si>
    <t>2025-01-13T14:00:40</t>
  </si>
  <si>
    <t>2025-01-13T14:28:46</t>
  </si>
  <si>
    <t>2025-01-13T14:41:58</t>
  </si>
  <si>
    <t>2025-01-13T14:44:22</t>
  </si>
  <si>
    <t>2025-01-13T14:44:34</t>
  </si>
  <si>
    <t>2025-01-13T14:44:56</t>
  </si>
  <si>
    <t>2025-01-13T15:23:52</t>
  </si>
  <si>
    <t>2025-01-13T15:52:16</t>
  </si>
  <si>
    <t>2025-01-13T16:01:20</t>
  </si>
  <si>
    <t>2025-01-13T16:05:38</t>
  </si>
  <si>
    <t>2025-01-13T16:20:22</t>
  </si>
  <si>
    <t>2025-01-13T17:03:44</t>
  </si>
  <si>
    <t>2025-01-13T17:03:56</t>
  </si>
  <si>
    <t>2025-01-13T17:15:28</t>
  </si>
  <si>
    <t>2025-01-13T17:17:26</t>
  </si>
  <si>
    <t>2025-01-13T17:43:52</t>
  </si>
  <si>
    <t>2025-01-13T18:03:32</t>
  </si>
  <si>
    <t>2025-01-13T18:11:58</t>
  </si>
  <si>
    <t>2025-01-13T18:42:40</t>
  </si>
  <si>
    <t>2025-01-13T18:49:38</t>
  </si>
  <si>
    <t>2025-01-13T19:07:04</t>
  </si>
  <si>
    <t>2025-01-13T19:45:22</t>
  </si>
  <si>
    <t>2025-01-13T19:47:46</t>
  </si>
  <si>
    <t>2025-01-13T19:47:58</t>
  </si>
  <si>
    <t>2025-01-13T20:06:02</t>
  </si>
  <si>
    <t>2025-01-13T20:59:54</t>
  </si>
  <si>
    <t>2025-01-13T21:22:08</t>
  </si>
  <si>
    <t>2025-01-13T21:58:00</t>
  </si>
  <si>
    <t>2025-01-13T21:58:12</t>
  </si>
  <si>
    <t>2025-01-13T22:08:14</t>
  </si>
  <si>
    <t>2025-01-13T22:54:20</t>
  </si>
  <si>
    <t>2025-01-13T23:39:16</t>
  </si>
  <si>
    <t>2025-01-14T00:10:44</t>
  </si>
  <si>
    <t>2025-01-14T00:41:58</t>
  </si>
  <si>
    <t>2025-01-14T00:44:22</t>
  </si>
  <si>
    <t>2025-01-14T00:44:34</t>
  </si>
  <si>
    <t>2025-01-14T01:26:50</t>
  </si>
  <si>
    <t>2025-01-14T01:59:54</t>
  </si>
  <si>
    <t>2025-01-14T02:12:56</t>
  </si>
  <si>
    <t>2025-01-14T02:58:00</t>
  </si>
  <si>
    <t>2025-01-14T02:58:12</t>
  </si>
  <si>
    <t>2025-01-14T02:59:02</t>
  </si>
  <si>
    <t>2025-01-14T04:15:26</t>
  </si>
  <si>
    <t>2025-01-14T04:37:44</t>
  </si>
  <si>
    <t>2025-01-14T05:31:32</t>
  </si>
  <si>
    <t>2025-01-14T05:40:26</t>
  </si>
  <si>
    <t>2025-01-14T05:42:50</t>
  </si>
  <si>
    <t>2025-01-14T05:43:02</t>
  </si>
  <si>
    <t>2025-01-14T06:17:38</t>
  </si>
  <si>
    <t>2025-01-14T07:01:26</t>
  </si>
  <si>
    <t>2025-01-14T07:03:44</t>
  </si>
  <si>
    <t>2025-01-14T07:59:32</t>
  </si>
  <si>
    <t>2025-01-14T07:59:44</t>
  </si>
  <si>
    <t>2025-01-14T08:20:08</t>
  </si>
  <si>
    <t>2025-01-14T09:36:14</t>
  </si>
  <si>
    <t>2025-01-14T09:39:16</t>
  </si>
  <si>
    <t>2025-01-14T10:22:20</t>
  </si>
  <si>
    <t>2025-01-14T10:41:58</t>
  </si>
  <si>
    <t>2025-01-14T10:44:22</t>
  </si>
  <si>
    <t>2025-01-14T10:44:34</t>
  </si>
  <si>
    <t>2025-01-14T11:08:26</t>
  </si>
  <si>
    <t>2025-01-14T11:59:54</t>
  </si>
  <si>
    <t>2025-01-14T12:24:50</t>
  </si>
  <si>
    <t>2025-01-14T12:58:00</t>
  </si>
  <si>
    <t>2025-01-14T12:58:12</t>
  </si>
  <si>
    <t>2025-01-14T13:40:56</t>
  </si>
  <si>
    <t>2025-01-14T14:27:02</t>
  </si>
  <si>
    <t>2025-01-14T14:37:44</t>
  </si>
  <si>
    <t>2025-01-14T15:13:08</t>
  </si>
  <si>
    <t>2025-01-14T15:40:26</t>
  </si>
  <si>
    <t>2025-01-14T15:42:50</t>
  </si>
  <si>
    <t>2025-01-14T15:43:02</t>
  </si>
  <si>
    <t>2025-01-08T01:31:28</t>
  </si>
  <si>
    <t>2025-01-08T02:31:34</t>
  </si>
  <si>
    <t>2025-01-08T03:04:48</t>
  </si>
  <si>
    <t>2025-01-08T04:00:40</t>
  </si>
  <si>
    <t>2025-01-08T04:04:54</t>
  </si>
  <si>
    <t>2025-01-08T04:59:16</t>
  </si>
  <si>
    <t>2025-01-08T05:34:00</t>
  </si>
  <si>
    <t>2025-01-08T05:57:52</t>
  </si>
  <si>
    <t>2025-01-08T06:32:36</t>
  </si>
  <si>
    <t>2025-01-08T07:16:28</t>
  </si>
  <si>
    <t>2025-01-08T07:31:12</t>
  </si>
  <si>
    <t>2025-01-08T08:35:04</t>
  </si>
  <si>
    <t>2025-01-08T08:49:48</t>
  </si>
  <si>
    <t>2025-01-08T09:35:28</t>
  </si>
  <si>
    <t>2025-01-08T10:08:24</t>
  </si>
  <si>
    <t>2025-01-08T10:35:34</t>
  </si>
  <si>
    <t>2025-01-08T11:08:48</t>
  </si>
  <si>
    <t>2025-01-08T12:04:40</t>
  </si>
  <si>
    <t>2025-01-08T12:08:54</t>
  </si>
  <si>
    <t>2025-01-08T13:03:16</t>
  </si>
  <si>
    <t>2025-01-08T13:38:00</t>
  </si>
  <si>
    <t>2025-01-08T14:01:52</t>
  </si>
  <si>
    <t>2025-01-08T14:32:40</t>
  </si>
  <si>
    <t>2025-01-08T14:36:36</t>
  </si>
  <si>
    <t>2025-01-08T15:20:28</t>
  </si>
  <si>
    <t>2025-01-08T15:35:12</t>
  </si>
  <si>
    <t>2025-01-08T15:44:16</t>
  </si>
  <si>
    <t>2025-01-08T15:44:28</t>
  </si>
  <si>
    <t>2025-01-08T16:03:32</t>
  </si>
  <si>
    <t>2025-01-08T16:39:04</t>
  </si>
  <si>
    <t>2025-01-08T16:53:48</t>
  </si>
  <si>
    <t>2025-01-08T17:15:08</t>
  </si>
  <si>
    <t>2025-01-08T17:15:20</t>
  </si>
  <si>
    <t>2025-01-08T17:39:28</t>
  </si>
  <si>
    <t>2025-01-08T18:12:24</t>
  </si>
  <si>
    <t>2025-01-08T18:39:34</t>
  </si>
  <si>
    <t>2025-01-08T19:01:34</t>
  </si>
  <si>
    <t>2025-01-08T19:12:48</t>
  </si>
  <si>
    <t>2025-01-08T20:08:40</t>
  </si>
  <si>
    <t>2025-01-08T20:12:54</t>
  </si>
  <si>
    <t>2025-01-08T20:20:40</t>
  </si>
  <si>
    <t>2025-01-08T20:32:26</t>
  </si>
  <si>
    <t>2025-01-08T21:07:16</t>
  </si>
  <si>
    <t>2025-01-08T21:39:46</t>
  </si>
  <si>
    <t>2025-01-08T21:39:58</t>
  </si>
  <si>
    <t>2025-01-08T21:42:00</t>
  </si>
  <si>
    <t>2025-01-08T21:51:32</t>
  </si>
  <si>
    <t>2025-01-08T22:05:52</t>
  </si>
  <si>
    <t>2025-01-08T22:34:12</t>
  </si>
  <si>
    <t>2025-01-08T22:40:36</t>
  </si>
  <si>
    <t>2025-01-08T23:10:38</t>
  </si>
  <si>
    <t>2025-01-08T23:10:50</t>
  </si>
  <si>
    <t>2025-01-08T23:24:28</t>
  </si>
  <si>
    <t>2025-01-08T23:39:12</t>
  </si>
  <si>
    <t>2025-01-08T23:45:48</t>
  </si>
  <si>
    <t>2025-01-08T23:46:00</t>
  </si>
  <si>
    <t>2025-01-09T00:43:04</t>
  </si>
  <si>
    <t>2025-01-09T00:57:48</t>
  </si>
  <si>
    <t>2025-01-09T01:43:28</t>
  </si>
  <si>
    <t>2025-01-09T02:16:24</t>
  </si>
  <si>
    <t>2025-01-09T02:41:52</t>
  </si>
  <si>
    <t>2025-01-09T02:43:34</t>
  </si>
  <si>
    <t>2025-01-09T03:03:06</t>
  </si>
  <si>
    <t>2025-01-09T03:16:48</t>
  </si>
  <si>
    <t>2025-01-09T03:53:28</t>
  </si>
  <si>
    <t>2025-01-09T03:53:40</t>
  </si>
  <si>
    <t>2025-01-09T04:12:40</t>
  </si>
  <si>
    <t>2025-01-09T04:16:54</t>
  </si>
  <si>
    <t>2025-01-09T04:22:12</t>
  </si>
  <si>
    <t>2025-01-09T05:11:16</t>
  </si>
  <si>
    <t>2025-01-09T05:41:18</t>
  </si>
  <si>
    <t>2025-01-09T05:41:30</t>
  </si>
  <si>
    <t>2025-01-09T05:46:00</t>
  </si>
  <si>
    <t>2025-01-09T06:09:52</t>
  </si>
  <si>
    <t>2025-01-09T06:32:40</t>
  </si>
  <si>
    <t>2025-01-09T06:44:36</t>
  </si>
  <si>
    <t>2025-01-09T07:10:46</t>
  </si>
  <si>
    <t>2025-01-09T07:28:28</t>
  </si>
  <si>
    <t>2025-01-09T07:43:12</t>
  </si>
  <si>
    <t>2025-01-09T07:44:16</t>
  </si>
  <si>
    <t>2025-01-09T07:44:28</t>
  </si>
  <si>
    <t>2025-01-09T08:29:52</t>
  </si>
  <si>
    <t>2025-01-09T08:47:04</t>
  </si>
  <si>
    <t>2025-01-09T09:01:48</t>
  </si>
  <si>
    <t>2025-01-09T09:47:28</t>
  </si>
  <si>
    <t>2025-01-09T09:48:58</t>
  </si>
  <si>
    <t>2025-01-09T09:49:10</t>
  </si>
  <si>
    <t>2025-01-09T10:20:24</t>
  </si>
  <si>
    <t>2025-01-09T10:43:24</t>
  </si>
  <si>
    <t>2025-01-09T10:47:34</t>
  </si>
  <si>
    <t>2025-01-09T11:01:34</t>
  </si>
  <si>
    <t>2025-01-09T11:20:48</t>
  </si>
  <si>
    <t>2025-01-09T11:55:00</t>
  </si>
  <si>
    <t>2025-01-09T11:55:12</t>
  </si>
  <si>
    <t>2025-01-09T12:16:40</t>
  </si>
  <si>
    <t>2025-01-09T12:20:40</t>
  </si>
  <si>
    <t>2025-01-09T12:20:54</t>
  </si>
  <si>
    <t>2025-01-09T13:15:16</t>
  </si>
  <si>
    <t>2025-01-09T13:39:46</t>
  </si>
  <si>
    <t>2025-01-09T13:39:58</t>
  </si>
  <si>
    <t>2025-01-09T13:50:00</t>
  </si>
  <si>
    <t>2025-01-09T14:13:52</t>
  </si>
  <si>
    <t>2025-01-09T14:48:36</t>
  </si>
  <si>
    <t>2025-01-09T14:51:04</t>
  </si>
  <si>
    <t>2025-01-09T15:12:18</t>
  </si>
  <si>
    <t>2025-01-09T15:32:28</t>
  </si>
  <si>
    <t>2025-01-09T15:47:12</t>
  </si>
  <si>
    <t>2025-01-09T01:31:58</t>
  </si>
  <si>
    <t>2025-01-09T02:32:34</t>
  </si>
  <si>
    <t>2025-01-09T02:33:46</t>
  </si>
  <si>
    <t>2025-01-09T03:33:42</t>
  </si>
  <si>
    <t>2025-01-09T03:34:22</t>
  </si>
  <si>
    <t>2025-01-09T03:57:40</t>
  </si>
  <si>
    <t>2025-01-09T04:34:18</t>
  </si>
  <si>
    <t>2025-01-09T04:34:26</t>
  </si>
  <si>
    <t>2025-01-09T04:43:46</t>
  </si>
  <si>
    <t>2025-01-09T04:59:28</t>
  </si>
  <si>
    <t>2025-01-09T05:20:44</t>
  </si>
  <si>
    <t>2025-01-09T05:29:52</t>
  </si>
  <si>
    <t>2025-01-09T05:35:02</t>
  </si>
  <si>
    <t>2025-01-09T05:45:34</t>
  </si>
  <si>
    <t>2025-01-09T05:59:24</t>
  </si>
  <si>
    <t>2025-01-09T06:06:50</t>
  </si>
  <si>
    <t>2025-01-09T06:31:40</t>
  </si>
  <si>
    <t>2025-01-09T06:32:58</t>
  </si>
  <si>
    <t>2025-01-09T06:45:30</t>
  </si>
  <si>
    <t>2025-01-09T07:00:08</t>
  </si>
  <si>
    <t>2025-01-09T07:09:56</t>
  </si>
  <si>
    <t>2025-01-09T07:31:36</t>
  </si>
  <si>
    <t>2025-01-09T07:34:46</t>
  </si>
  <si>
    <t>2025-01-09T07:36:04</t>
  </si>
  <si>
    <t>2025-01-09T07:46:14</t>
  </si>
  <si>
    <t>2025-01-09T08:13:02</t>
  </si>
  <si>
    <t>2025-01-09T08:32:20</t>
  </si>
  <si>
    <t>2025-01-09T08:34:42</t>
  </si>
  <si>
    <t>2025-01-09T08:37:52</t>
  </si>
  <si>
    <t>comp_002_CRE</t>
  </si>
  <si>
    <t>2025-01-09T08:38:04</t>
  </si>
  <si>
    <t>2025-01-09T09:11:38</t>
  </si>
  <si>
    <t>2025-01-09T09:35:26</t>
  </si>
  <si>
    <t>2025-01-09T09:37:48</t>
  </si>
  <si>
    <t>2025-01-09T09:38:52</t>
  </si>
  <si>
    <t>2025-01-09T10:10:14</t>
  </si>
  <si>
    <t>2025-01-09T10:38:32</t>
  </si>
  <si>
    <t>2025-01-09T10:39:28</t>
  </si>
  <si>
    <t>2025-01-09T11:07:20</t>
  </si>
  <si>
    <t>2025-01-09T11:07:46</t>
  </si>
  <si>
    <t>2025-01-09T12:04:26</t>
  </si>
  <si>
    <t>2025-01-09T12:04:34</t>
  </si>
  <si>
    <t>2025-01-09T12:04:38</t>
  </si>
  <si>
    <t>2025-01-09T12:06:22</t>
  </si>
  <si>
    <t>2025-01-09T12:06:34</t>
  </si>
  <si>
    <t>2025-01-09T12:50:40</t>
  </si>
  <si>
    <t>2025-01-09T13:05:26</t>
  </si>
  <si>
    <t>2025-01-09T13:09:30</t>
  </si>
  <si>
    <t>2025-01-09T13:36:46</t>
  </si>
  <si>
    <t>2025-01-09T14:06:02</t>
  </si>
  <si>
    <t>2025-01-09T14:08:06</t>
  </si>
  <si>
    <t>2025-01-09T14:08:18</t>
  </si>
  <si>
    <t>2025-01-09T14:10:14</t>
  </si>
  <si>
    <t>2025-01-09T14:39:52</t>
  </si>
  <si>
    <t>2025-01-09T15:08:50</t>
  </si>
  <si>
    <t>2025-01-09T15:09:02</t>
  </si>
  <si>
    <t>2025-01-09T15:15:40</t>
  </si>
  <si>
    <t>2025-01-09T15:31:08</t>
  </si>
  <si>
    <t>2025-01-09T15:42:58</t>
  </si>
  <si>
    <t>2025-01-09T16:12:46</t>
  </si>
  <si>
    <t>2025-01-09T16:17:14</t>
  </si>
  <si>
    <t>2025-01-09T17:03:20</t>
  </si>
  <si>
    <t>2025-01-09T17:09:52</t>
  </si>
  <si>
    <t>2025-01-09T17:10:04</t>
  </si>
  <si>
    <t>2025-01-09T17:17:24</t>
  </si>
  <si>
    <t>2025-01-09T18:06:26</t>
  </si>
  <si>
    <t>2025-01-09T18:10:52</t>
  </si>
  <si>
    <t>2025-01-09T18:14:30</t>
  </si>
  <si>
    <t>2025-01-09T18:18:08</t>
  </si>
  <si>
    <t>2025-01-09T19:09:32</t>
  </si>
  <si>
    <t>2025-01-09T19:11:28</t>
  </si>
  <si>
    <t>2025-01-09T19:11:36</t>
  </si>
  <si>
    <t>2025-01-09T19:11:48</t>
  </si>
  <si>
    <t>2025-01-09T19:14:40</t>
  </si>
  <si>
    <t>2025-01-09T19:15:14</t>
  </si>
  <si>
    <t>2025-01-09T19:57:34</t>
  </si>
  <si>
    <t>2025-01-09T20:12:20</t>
  </si>
  <si>
    <t>2025-01-09T20:12:32</t>
  </si>
  <si>
    <t>2025-01-09T20:12:36</t>
  </si>
  <si>
    <t>2025-01-09T20:13:16</t>
  </si>
  <si>
    <t>2025-01-09T20:13:28</t>
  </si>
  <si>
    <t>2025-01-09T20:43:40</t>
  </si>
  <si>
    <t>2025-01-09T21:13:12</t>
  </si>
  <si>
    <t>2025-01-09T21:13:20</t>
  </si>
  <si>
    <t>2025-01-09T21:59:18</t>
  </si>
  <si>
    <t>2025-01-09T22:13:56</t>
  </si>
  <si>
    <t>2025-01-09T22:41:14</t>
  </si>
  <si>
    <t>2025-01-09T22:45:24</t>
  </si>
  <si>
    <t>2025-01-09T23:22:34</t>
  </si>
  <si>
    <t>2025-01-09T23:39:02</t>
  </si>
  <si>
    <t>comp_010_SSA_2</t>
  </si>
  <si>
    <t>2025-01-09T23:39:50</t>
  </si>
  <si>
    <t>comp_010_FAX</t>
  </si>
  <si>
    <t>2025-01-09T23:40:02</t>
  </si>
  <si>
    <t>2025-01-09T23:52:46</t>
  </si>
  <si>
    <t>2025-01-10T00:19:40</t>
  </si>
  <si>
    <t>2025-01-10T00:25:08</t>
  </si>
  <si>
    <t>2025-01-10T00:49:52</t>
  </si>
  <si>
    <t>2025-01-10T01:11:14</t>
  </si>
  <si>
    <t>2025-01-10T01:16:46</t>
  </si>
  <si>
    <t>2025-01-10T01:16:58</t>
  </si>
  <si>
    <t>2025-01-10T01:46:58</t>
  </si>
  <si>
    <t>2025-01-10T01:47:10</t>
  </si>
  <si>
    <t>comp_008_CORE</t>
  </si>
  <si>
    <t>2025-01-10T01:54:30</t>
  </si>
  <si>
    <t>2025-01-10T02:14:20</t>
  </si>
  <si>
    <t>2025-01-10T02:49:08</t>
  </si>
  <si>
    <t>2025-01-10T02:51:36</t>
  </si>
  <si>
    <t>2025-01-10T03:17:26</t>
  </si>
  <si>
    <t>comp_010_BSA_1</t>
  </si>
  <si>
    <t>2025-01-10T03:46:14</t>
  </si>
  <si>
    <t>comp_008_BSA_2</t>
  </si>
  <si>
    <t>2025-01-10T03:48:42</t>
  </si>
  <si>
    <t>comp_008_RAX_RD</t>
  </si>
  <si>
    <t>2025-01-10T03:48:54</t>
  </si>
  <si>
    <t>comp_010_BSA_2</t>
  </si>
  <si>
    <t>2025-01-10T04:43:20</t>
  </si>
  <si>
    <t>comp_010_RAX_HD</t>
  </si>
  <si>
    <t>2025-01-10T04:43:32</t>
  </si>
  <si>
    <t>comp_009_SSA_1</t>
  </si>
  <si>
    <t>2025-01-10T06:49:08</t>
  </si>
  <si>
    <t>comp_009_SSA_2</t>
  </si>
  <si>
    <t>2025-01-10T07:47:44</t>
  </si>
  <si>
    <t>comp_009_FAX</t>
  </si>
  <si>
    <t>2025-01-10T07:47:56</t>
  </si>
  <si>
    <t>2025-01-10T10:57:02</t>
  </si>
  <si>
    <t>2025-01-10T11:54:08</t>
  </si>
  <si>
    <t>2025-01-10T12:51:14</t>
  </si>
  <si>
    <t>comp_009_RAX_HD</t>
  </si>
  <si>
    <t>2025-01-10T12:51:26</t>
  </si>
  <si>
    <t>2025-01-10T01:53:42</t>
  </si>
  <si>
    <t>2025-01-10T02:43:04</t>
  </si>
  <si>
    <t>2025-01-10T03:15:18</t>
  </si>
  <si>
    <t>2025-01-10T03:22:10</t>
  </si>
  <si>
    <t>2025-01-10T04:17:08</t>
  </si>
  <si>
    <t>2025-01-10T04:17:24</t>
  </si>
  <si>
    <t>2025-01-10T04:56:14</t>
  </si>
  <si>
    <t>2025-01-10T05:19:30</t>
  </si>
  <si>
    <t>2025-01-10T06:07:20</t>
  </si>
  <si>
    <t>2025-01-10T06:41:24</t>
  </si>
  <si>
    <t>2025-01-10T06:46:44</t>
  </si>
  <si>
    <t>2025-01-10T06:59:18</t>
  </si>
  <si>
    <t>2025-01-10T07:25:50</t>
  </si>
  <si>
    <t>2025-01-10T08:03:00</t>
  </si>
  <si>
    <t>2025-01-10T08:25:54</t>
  </si>
  <si>
    <t>2025-01-10T08:36:56</t>
  </si>
  <si>
    <t>2025-01-10T09:16:20</t>
  </si>
  <si>
    <t>2025-01-10T09:24:54</t>
  </si>
  <si>
    <t>2025-01-10T09:27:00</t>
  </si>
  <si>
    <t>2025-01-10T09:55:26</t>
  </si>
  <si>
    <t>2025-01-10T10:28:06</t>
  </si>
  <si>
    <t>comp_001_CSEB-NABS</t>
  </si>
  <si>
    <t>2025-01-10T10:28:18</t>
  </si>
  <si>
    <t>2025-01-10T10:46:30</t>
  </si>
  <si>
    <t>2025-01-10T10:59:34</t>
  </si>
  <si>
    <t>2025-01-10T11:06:32</t>
  </si>
  <si>
    <t>2025-01-10T11:45:56</t>
  </si>
  <si>
    <t>2025-01-10T11:48:36</t>
  </si>
  <si>
    <t>2025-01-10T12:04:26</t>
  </si>
  <si>
    <t>2025-01-10T12:25:02</t>
  </si>
  <si>
    <t>2025-01-10T12:50:42</t>
  </si>
  <si>
    <t>2025-01-10T13:04:26</t>
  </si>
  <si>
    <t>2025-01-10T13:05:32</t>
  </si>
  <si>
    <t>2025-01-10T13:05:44</t>
  </si>
  <si>
    <t>2025-01-10T13:43:32</t>
  </si>
  <si>
    <t>2025-01-10T14:12:36</t>
  </si>
  <si>
    <t>2025-01-10T14:54:38</t>
  </si>
  <si>
    <t>2025-01-10T15:34:02</t>
  </si>
  <si>
    <t>2025-01-10T15:34:12</t>
  </si>
  <si>
    <t>2025-01-10T16:13:08</t>
  </si>
  <si>
    <t>2025-01-10T16:36:18</t>
  </si>
  <si>
    <t>2025-01-10T17:32:18</t>
  </si>
  <si>
    <t>2025-01-10T17:38:24</t>
  </si>
  <si>
    <t>2025-01-10T18:35:30</t>
  </si>
  <si>
    <t>2025-01-10T18:58:54</t>
  </si>
  <si>
    <t>2025-01-10T18:59:06</t>
  </si>
  <si>
    <t>2025-01-10T19:00:18</t>
  </si>
  <si>
    <t>2025-01-10T20:21:54</t>
  </si>
  <si>
    <t>2025-01-10T20:25:54</t>
  </si>
  <si>
    <t>2025-01-10T21:24:00</t>
  </si>
  <si>
    <t>2025-01-10T21:52:30</t>
  </si>
  <si>
    <t>2025-01-10T22:26:06</t>
  </si>
  <si>
    <t>2025-01-10T22:26:18</t>
  </si>
  <si>
    <t>2025-01-10T22:53:36</t>
  </si>
  <si>
    <t>2025-01-10T23:48:06</t>
  </si>
  <si>
    <t>2025-01-10T23:54:42</t>
  </si>
  <si>
    <t>2025-01-10T23:54:54</t>
  </si>
  <si>
    <t>2025-01-11T00:56:12</t>
  </si>
  <si>
    <t>2025-01-11T01:09:42</t>
  </si>
  <si>
    <t>2025-01-11T01:57:18</t>
  </si>
  <si>
    <t>2025-01-11T01:57:30</t>
  </si>
  <si>
    <t>2025-01-11T02:11:48</t>
  </si>
  <si>
    <t>2025-01-11T03:13:54</t>
  </si>
  <si>
    <t>2025-01-11T04:35:48</t>
  </si>
  <si>
    <t>2025-01-11T05:57:24</t>
  </si>
  <si>
    <t>2025-01-11T07:19:18</t>
  </si>
  <si>
    <t>2025-01-11T07:59:14</t>
  </si>
  <si>
    <t>2025-01-11T08:29:24</t>
  </si>
  <si>
    <t>2025-01-11T08:40:54</t>
  </si>
  <si>
    <t>2025-01-11T09:25:50</t>
  </si>
  <si>
    <t>2025-01-11T09:26:02</t>
  </si>
  <si>
    <t>2025-01-11T09:43:00</t>
  </si>
  <si>
    <t>2025-01-11T10:27:20</t>
  </si>
  <si>
    <t>2025-01-11T10:45:06</t>
  </si>
  <si>
    <t>2025-01-11T10:56:48</t>
  </si>
  <si>
    <t>2025-01-11T11:28:26</t>
  </si>
  <si>
    <t>2025-01-11T11:28:38</t>
  </si>
  <si>
    <t>2025-01-11T12:07:00</t>
  </si>
  <si>
    <t>2025-01-11T12:55:26</t>
  </si>
  <si>
    <t>2025-01-11T13:28:36</t>
  </si>
  <si>
    <t>2025-01-11T14:22:02</t>
  </si>
  <si>
    <t>2025-01-11T14:30:42</t>
  </si>
  <si>
    <t>2025-01-11T15:23:08</t>
  </si>
  <si>
    <t>2025-01-11T15:32:48</t>
  </si>
  <si>
    <t>2025-01-10T01:37:12</t>
  </si>
  <si>
    <t>2025-01-10T02:42:18</t>
  </si>
  <si>
    <t>2025-01-10T03:32:24</t>
  </si>
  <si>
    <t>2025-01-10T04:15:36</t>
  </si>
  <si>
    <t>2025-01-10T04:22:30</t>
  </si>
  <si>
    <t>2025-01-10T04:54:42</t>
  </si>
  <si>
    <t>2025-01-10T05:27:54</t>
  </si>
  <si>
    <t>2025-01-10T06:00:40</t>
  </si>
  <si>
    <t>2025-01-10T06:05:48</t>
  </si>
  <si>
    <t>2025-01-10T06:33:00</t>
  </si>
  <si>
    <t>2025-01-10T06:45:12</t>
  </si>
  <si>
    <t>2025-01-10T07:24:18</t>
  </si>
  <si>
    <t>2025-01-10T07:27:16</t>
  </si>
  <si>
    <t>2025-01-10T07:38:24</t>
  </si>
  <si>
    <t>2025-01-10T08:28:22</t>
  </si>
  <si>
    <t>2025-01-10T08:35:24</t>
  </si>
  <si>
    <t>2025-01-10T08:43:30</t>
  </si>
  <si>
    <t>2025-01-10T09:14:48</t>
  </si>
  <si>
    <t>2025-01-10T09:29:28</t>
  </si>
  <si>
    <t>2025-01-10T09:29:40</t>
  </si>
  <si>
    <t>2025-01-10T09:31:06</t>
  </si>
  <si>
    <t>2025-01-10T09:33:36</t>
  </si>
  <si>
    <t>2025-01-10T09:53:54</t>
  </si>
  <si>
    <t>2025-01-10T10:23:42</t>
  </si>
  <si>
    <t>2025-01-10T11:05:00</t>
  </si>
  <si>
    <t>2025-01-10T11:05:18</t>
  </si>
  <si>
    <t>2025-01-10T11:29:06</t>
  </si>
  <si>
    <t>2025-01-10T11:44:24</t>
  </si>
  <si>
    <t>2025-01-10T12:06:24</t>
  </si>
  <si>
    <t>2025-01-10T12:06:36</t>
  </si>
  <si>
    <t>2025-01-10T12:23:30</t>
  </si>
  <si>
    <t>2025-01-10T12:34:12</t>
  </si>
  <si>
    <t>2025-01-10T13:02:54</t>
  </si>
  <si>
    <t>2025-01-10T13:24:18</t>
  </si>
  <si>
    <t>2025-01-10T13:42:00</t>
  </si>
  <si>
    <t>2025-01-10T14:14:24</t>
  </si>
  <si>
    <t>2025-01-10T14:53:06</t>
  </si>
  <si>
    <t>2025-01-10T15:02:18</t>
  </si>
  <si>
    <t>2025-01-10T15:19:48</t>
  </si>
  <si>
    <t>2025-01-10T15:32:30</t>
  </si>
  <si>
    <t>2025-01-10T16:05:30</t>
  </si>
  <si>
    <t>2025-01-10T16:11:36</t>
  </si>
  <si>
    <t>2025-01-10T16:24:54</t>
  </si>
  <si>
    <t>2025-01-10T16:28:54</t>
  </si>
  <si>
    <t>2025-01-10T16:29:06</t>
  </si>
  <si>
    <t>2025-01-10T17:15:00</t>
  </si>
  <si>
    <t>2025-01-10T17:55:54</t>
  </si>
  <si>
    <t>2025-01-10T18:05:06</t>
  </si>
  <si>
    <t>2025-01-10T18:05:18</t>
  </si>
  <si>
    <t>2025-01-10T19:10:36</t>
  </si>
  <si>
    <t>2025-01-10T19:22:30</t>
  </si>
  <si>
    <t>2025-01-10T20:15:42</t>
  </si>
  <si>
    <t>2025-01-10T20:23:36</t>
  </si>
  <si>
    <t>2025-01-10T21:05:48</t>
  </si>
  <si>
    <t>2025-01-10T21:24:42</t>
  </si>
  <si>
    <t>2025-01-10T21:24:54</t>
  </si>
  <si>
    <t>2025-01-10T21:55:54</t>
  </si>
  <si>
    <t>2025-01-10T22:26:12</t>
  </si>
  <si>
    <t>2025-01-10T23:01:18</t>
  </si>
  <si>
    <t>2025-01-10T23:27:18</t>
  </si>
  <si>
    <t>2025-01-10T23:27:30</t>
  </si>
  <si>
    <t>2025-01-11T00:06:24</t>
  </si>
  <si>
    <t>2025-01-11T01:11:48</t>
  </si>
  <si>
    <t>2025-01-11T02:16:54</t>
  </si>
  <si>
    <t>2025-01-11T02:29:14</t>
  </si>
  <si>
    <t>2025-01-11T02:59:24</t>
  </si>
  <si>
    <t>2025-01-11T03:07:00</t>
  </si>
  <si>
    <t>2025-01-11T03:55:50</t>
  </si>
  <si>
    <t>2025-01-11T03:56:02</t>
  </si>
  <si>
    <t>2025-01-11T03:57:06</t>
  </si>
  <si>
    <t>2025-01-11T04:57:20</t>
  </si>
  <si>
    <t>2025-01-11T05:02:30</t>
  </si>
  <si>
    <t>2025-01-11T05:26:48</t>
  </si>
  <si>
    <t>2025-01-11T05:58:26</t>
  </si>
  <si>
    <t>2025-01-11T05:58:38</t>
  </si>
  <si>
    <t>2025-01-11T06:07:36</t>
  </si>
  <si>
    <t>2025-01-11T06:57:42</t>
  </si>
  <si>
    <t>2025-01-11T07:25:26</t>
  </si>
  <si>
    <t>2025-01-11T07:47:48</t>
  </si>
  <si>
    <t>2025-01-11T08:52:02</t>
  </si>
  <si>
    <t>2025-01-11T08:53:12</t>
  </si>
  <si>
    <t>2025-01-11T09:53:08</t>
  </si>
  <si>
    <t>2025-01-11T09:58:18</t>
  </si>
  <si>
    <t>2025-01-11T10:54:14</t>
  </si>
  <si>
    <t>comp_010_CSEB-NABS</t>
  </si>
  <si>
    <t>2025-01-11T10:54:26</t>
  </si>
  <si>
    <t>2025-01-11T11:55:44</t>
  </si>
  <si>
    <t>2025-01-11T12:29:24</t>
  </si>
  <si>
    <t>2025-01-11T12:56:50</t>
  </si>
  <si>
    <t>2025-01-11T12:57:02</t>
  </si>
  <si>
    <t>2025-01-11T14:23:50</t>
  </si>
  <si>
    <t>2025-01-11T14:56:48</t>
  </si>
  <si>
    <t>2025-01-11T15:50:26</t>
  </si>
  <si>
    <t>2025-01-11T15:50:38</t>
  </si>
  <si>
    <t>PO</t>
  </si>
  <si>
    <t>Factory handling time</t>
  </si>
  <si>
    <t>Factory lead time</t>
  </si>
  <si>
    <t>Table 3.1</t>
  </si>
  <si>
    <t>Table 3.2</t>
  </si>
  <si>
    <t>Table 3.4</t>
  </si>
  <si>
    <t>Table 3.5</t>
  </si>
  <si>
    <t>Factory run time (s)</t>
  </si>
  <si>
    <t>Factory busy (s)</t>
  </si>
  <si>
    <t>Factory util. (%)</t>
  </si>
  <si>
    <t>Part</t>
  </si>
  <si>
    <t>Code (doc)</t>
  </si>
  <si>
    <t>Description</t>
  </si>
  <si>
    <t># per car</t>
  </si>
  <si>
    <t>Factory # POs</t>
  </si>
  <si>
    <t>a</t>
  </si>
  <si>
    <t>BOSP</t>
  </si>
  <si>
    <t>Body + Spoiler</t>
  </si>
  <si>
    <t>1+1</t>
  </si>
  <si>
    <t>RT</t>
  </si>
  <si>
    <t>Rear Tires</t>
  </si>
  <si>
    <t>FT</t>
  </si>
  <si>
    <t>Front Tires</t>
  </si>
  <si>
    <t>BAT</t>
  </si>
  <si>
    <t>Battery</t>
  </si>
  <si>
    <t>CORE</t>
  </si>
  <si>
    <t>CHS</t>
  </si>
  <si>
    <t>Engine Core</t>
  </si>
  <si>
    <t>BSA</t>
  </si>
  <si>
    <t>Big Shock Absorbers</t>
  </si>
  <si>
    <t>SSA</t>
  </si>
  <si>
    <t>Small Shock Absorbers</t>
  </si>
  <si>
    <t>b</t>
  </si>
  <si>
    <t>RAX (RD)</t>
  </si>
  <si>
    <t>RAX_RD</t>
  </si>
  <si>
    <t>Rear axis</t>
  </si>
  <si>
    <t>CRE (TL)</t>
  </si>
  <si>
    <t>CRE</t>
  </si>
  <si>
    <t>Chassis, remaining systems, engine</t>
  </si>
  <si>
    <t>CSEB-NABS (SA)</t>
  </si>
  <si>
    <t>CSEB-NABS</t>
  </si>
  <si>
    <t>Chassis, systems, engine, body</t>
  </si>
  <si>
    <t>FAX</t>
  </si>
  <si>
    <t>Front Axle</t>
  </si>
  <si>
    <t>Chassis</t>
  </si>
  <si>
    <t>RAX (HD)</t>
  </si>
  <si>
    <t>RAX_HD</t>
  </si>
  <si>
    <t>CHS/CORE</t>
  </si>
  <si>
    <t>Chassis/Core</t>
  </si>
  <si>
    <t>Type</t>
  </si>
  <si>
    <t>Exit (min)</t>
  </si>
  <si>
    <t>Lead time (min)</t>
  </si>
  <si>
    <t>Lead time (used)</t>
  </si>
  <si>
    <t>VT (used)</t>
  </si>
  <si>
    <t>NCT (workstations)</t>
  </si>
  <si>
    <t>NCT (used)</t>
  </si>
  <si>
    <t>Handling time (sim)</t>
  </si>
  <si>
    <t>Handling time (used)</t>
  </si>
  <si>
    <t>N outputs</t>
  </si>
  <si>
    <t>Factory handling time (used)</t>
  </si>
  <si>
    <t>Factory lead time (used)</t>
  </si>
  <si>
    <t>Status</t>
  </si>
  <si>
    <t>In average</t>
  </si>
  <si>
    <t>Lead time Dev.</t>
  </si>
  <si>
    <t>Lead time Dev. (used)</t>
  </si>
  <si>
    <t>Table 3.3</t>
  </si>
  <si>
    <t>Table 3.3 [s]</t>
  </si>
  <si>
    <t>Table 3.6</t>
  </si>
  <si>
    <t>Table 3.6 [s]</t>
  </si>
  <si>
    <t>Total</t>
  </si>
  <si>
    <t>Busy</t>
  </si>
  <si>
    <t>Blocked</t>
  </si>
  <si>
    <t>Waiting</t>
  </si>
  <si>
    <t>POs processed</t>
  </si>
  <si>
    <t>Target components created</t>
  </si>
  <si>
    <t>Utilization</t>
  </si>
  <si>
    <t>Factory util.</t>
  </si>
  <si>
    <t>Util. Dev. (pp)</t>
  </si>
  <si>
    <t>Deviation</t>
  </si>
  <si>
    <t>output\scenario_01</t>
  </si>
  <si>
    <t>output\scenario_02</t>
  </si>
  <si>
    <t>output\scenario_03</t>
  </si>
  <si>
    <t>output\scenario_03_sensitivity</t>
  </si>
  <si>
    <t>output\scenario_04</t>
  </si>
  <si>
    <t>output\scenario_05</t>
  </si>
  <si>
    <t>output\scenario_06</t>
  </si>
  <si>
    <t>output\scenario_06_sensitivity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</si>
</sst>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\+0.0%;\-0.0%;0.0%"/>
    <numFmt numFmtId="166" formatCode="0.0%"/>
    <numFmt numFmtId="167" formatCode="\+0.0;\-0.0;0.0"/>
    <numFmt numFmtId="168" formatCode="yyyy\-mm\-dd\ hh:mm:ss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11"/>
      <name val="Calibri"/>
      <charset val="1"/>
    </font>
    <font>
      <b/>
      <sz val="11"/>
      <color theme="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C0504D"/>
        <bgColor rgb="FF993366"/>
      </patternFill>
    </fill>
    <fill>
      <patternFill patternType="solid">
        <fgColor theme="3"/>
        <bgColor rgb="FF003366"/>
      </patternFill>
    </fill>
    <fill>
      <patternFill patternType="solid">
        <fgColor rgb="FF5B7DB1"/>
        <bgColor rgb="FF7F7F7F"/>
      </patternFill>
    </fill>
    <fill>
      <patternFill patternType="solid">
        <fgColor rgb="FF8E6BB0"/>
        <bgColor rgb="FF7F7F7F"/>
      </patternFill>
    </fill>
    <fill>
      <patternFill patternType="solid">
        <fgColor rgb="FF4E9A6A"/>
        <bgColor rgb="FF5B7DB1"/>
      </patternFill>
    </fill>
    <fill>
      <patternFill patternType="solid">
        <fgColor theme="3"/>
        <bgColor rgb="FF99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vertical="top" wrapText="1"/>
    </xf>
    <xf numFmtId="164" fontId="0" fillId="0" borderId="0" xfId="0" applyNumberFormat="1"/>
    <xf numFmtId="0" fontId="3" fillId="2" borderId="0" xfId="0" applyFont="1" applyFill="1"/>
    <xf numFmtId="165" fontId="3" fillId="2" borderId="0" xfId="0" applyNumberFormat="1" applyFont="1" applyFill="1"/>
    <xf numFmtId="165" fontId="3" fillId="3" borderId="0" xfId="0" applyNumberFormat="1" applyFont="1" applyFill="1"/>
    <xf numFmtId="166" fontId="0" fillId="0" borderId="0" xfId="0" applyNumberFormat="1"/>
    <xf numFmtId="167" fontId="3" fillId="2" borderId="0" xfId="0" applyNumberFormat="1" applyFont="1" applyFill="1"/>
    <xf numFmtId="1" fontId="0" fillId="0" borderId="0" xfId="0" applyNumberFormat="1"/>
    <xf numFmtId="165" fontId="0" fillId="0" borderId="0" xfId="0" applyNumberFormat="1"/>
    <xf numFmtId="0" fontId="1" fillId="4" borderId="0" xfId="0" applyFont="1" applyFill="1" applyAlignment="1">
      <alignment vertical="top" wrapText="1"/>
    </xf>
    <xf numFmtId="168" fontId="0" fillId="0" borderId="0" xfId="0" applyNumberFormat="1"/>
    <xf numFmtId="0" fontId="1" fillId="5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6" borderId="0" xfId="0" applyFont="1" applyFill="1" applyAlignment="1">
      <alignment vertical="top" wrapText="1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67" fontId="0" fillId="0" borderId="0" xfId="0" applyNumberFormat="1"/>
    <xf numFmtId="0" fontId="1" fillId="7" borderId="0" xfId="0" applyFont="1" applyFill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C0504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7DB1"/>
      <rgbColor rgb="FF8E6BB0"/>
      <rgbColor rgb="FF003366"/>
      <rgbColor rgb="FF4E9A6A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504D"/>
  </sheetPr>
  <dimension ref="A1:I15"/>
  <sheetViews>
    <sheetView zoomScale="145" zoomScaleNormal="14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" sqref="J1:J1048576"/>
    </sheetView>
  </sheetViews>
  <sheetFormatPr baseColWidth="10" defaultColWidth="9.140625" defaultRowHeight="15" x14ac:dyDescent="0.25"/>
  <cols>
    <col min="1" max="1" width="30" customWidth="1"/>
    <col min="2" max="9" width="12" customWidth="1"/>
  </cols>
  <sheetData>
    <row r="1" spans="1:9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customHeight="1" x14ac:dyDescent="0.25">
      <c r="A2" t="s">
        <v>10</v>
      </c>
      <c r="B2" t="str">
        <f>VLOOKUP(B$1,Runs!$A$2:$B$9,2,FALSE())</f>
        <v>1</v>
      </c>
      <c r="C2" t="str">
        <f>VLOOKUP(C$1,Runs!$A$2:$B$9,2,FALSE())</f>
        <v>2</v>
      </c>
      <c r="D2" t="str">
        <f>VLOOKUP(D$1,Runs!$A$2:$B$9,2,FALSE())</f>
        <v>3</v>
      </c>
      <c r="E2" t="str">
        <f>VLOOKUP(E$1,Runs!$A$2:$B$9,2,FALSE())</f>
        <v>3</v>
      </c>
      <c r="F2" t="str">
        <f>VLOOKUP(F$1,Runs!$A$2:$B$9,2,FALSE())</f>
        <v>4</v>
      </c>
      <c r="G2" t="str">
        <f>VLOOKUP(G$1,Runs!$A$2:$B$9,2,FALSE())</f>
        <v>5</v>
      </c>
      <c r="H2" t="str">
        <f>VLOOKUP(H$1,Runs!$A$2:$B$9,2,FALSE())</f>
        <v>6</v>
      </c>
      <c r="I2" t="str">
        <f>VLOOKUP(I$1,Runs!$A$2:$B$9,2,FALSE())</f>
        <v>6</v>
      </c>
    </row>
    <row r="3" spans="1:9" ht="15" customHeight="1" x14ac:dyDescent="0.25">
      <c r="A3" t="s">
        <v>11</v>
      </c>
      <c r="B3" s="3">
        <f>Final_Values!B12</f>
        <v>855.34074072027579</v>
      </c>
      <c r="C3" s="3">
        <f>Final_Values!C12</f>
        <v>1527.9047619029213</v>
      </c>
      <c r="D3" s="3">
        <f>Final_Values!D12</f>
        <v>1143.2399999911431</v>
      </c>
      <c r="E3" s="3">
        <f>Final_Values!E12</f>
        <v>1482.7733333283104</v>
      </c>
      <c r="F3" s="3">
        <f>Final_Values!F12</f>
        <v>1623.3733333151322</v>
      </c>
      <c r="G3" s="3">
        <f>Final_Values!G12</f>
        <v>1091.4533333138097</v>
      </c>
      <c r="H3" s="3">
        <f>Final_Values!H12</f>
        <v>1112.8666666557547</v>
      </c>
      <c r="I3" s="3">
        <f>Final_Values!I12</f>
        <v>1070.6619047657919</v>
      </c>
    </row>
    <row r="4" spans="1:9" ht="15" customHeight="1" x14ac:dyDescent="0.25">
      <c r="A4" t="s">
        <v>12</v>
      </c>
      <c r="B4" s="3">
        <f>Final_Values!B13</f>
        <v>857.66666666666663</v>
      </c>
      <c r="C4" s="3">
        <f>Final_Values!C13</f>
        <v>1482</v>
      </c>
      <c r="D4" s="3">
        <f>Final_Values!D13</f>
        <v>1588.4</v>
      </c>
      <c r="E4" s="3">
        <f>Final_Values!E13</f>
        <v>1588.4</v>
      </c>
      <c r="F4" s="3">
        <f>Final_Values!F13</f>
        <v>1552</v>
      </c>
      <c r="G4" s="3">
        <f>Final_Values!G13</f>
        <v>981.1</v>
      </c>
      <c r="H4" s="3">
        <f>Final_Values!H13</f>
        <v>997.66666666666663</v>
      </c>
      <c r="I4" s="3">
        <f>Final_Values!I13</f>
        <v>1054.5714285714287</v>
      </c>
    </row>
    <row r="5" spans="1:9" ht="15" customHeight="1" x14ac:dyDescent="0.25">
      <c r="A5" s="4" t="s">
        <v>13</v>
      </c>
      <c r="B5" s="5">
        <f>Final_Values!B14</f>
        <v>-2.7119229845209941E-3</v>
      </c>
      <c r="C5" s="5">
        <f>Final_Values!C14</f>
        <v>3.097487307889429E-2</v>
      </c>
      <c r="D5" s="5">
        <f>Final_Values!D14</f>
        <v>-0.28025686225689811</v>
      </c>
      <c r="E5" s="6">
        <f>Final_Values!E14</f>
        <v>-6.6498782845435464E-2</v>
      </c>
      <c r="F5" s="5">
        <f>Final_Values!F14</f>
        <v>4.5987972496863525E-2</v>
      </c>
      <c r="G5" s="5">
        <f>Final_Values!G14</f>
        <v>0.11247919000490234</v>
      </c>
      <c r="H5" s="5">
        <f>Final_Values!H14</f>
        <v>0.11546942865595193</v>
      </c>
      <c r="I5" s="5">
        <f>Final_Values!I14</f>
        <v>1.5257834375581458E-2</v>
      </c>
    </row>
    <row r="6" spans="1:9" ht="15" customHeight="1" x14ac:dyDescent="0.25">
      <c r="A6" t="s">
        <v>14</v>
      </c>
      <c r="B6" s="7">
        <f>Final_Values!B17</f>
        <v>0.57810198693900239</v>
      </c>
      <c r="C6" s="7">
        <f>Final_Values!C17</f>
        <v>0.94038140892038347</v>
      </c>
      <c r="D6" s="7">
        <f>Final_Values!D17</f>
        <v>0.64461025427261354</v>
      </c>
      <c r="E6" s="7">
        <f>Final_Values!E17</f>
        <v>0.6206335973322219</v>
      </c>
      <c r="F6" s="7">
        <f>Final_Values!F17</f>
        <v>0.78390162567736543</v>
      </c>
      <c r="G6" s="7">
        <f>Final_Values!G17</f>
        <v>0.6578741142142559</v>
      </c>
      <c r="H6" s="7">
        <f>Final_Values!H17</f>
        <v>0.47584827011254693</v>
      </c>
      <c r="I6" s="7">
        <f>Final_Values!I17</f>
        <v>0.51237182159233008</v>
      </c>
    </row>
    <row r="7" spans="1:9" ht="15" customHeight="1" x14ac:dyDescent="0.25">
      <c r="A7" t="s">
        <v>15</v>
      </c>
      <c r="B7" s="7">
        <f>Final_Values!B18</f>
        <v>0.55656732891832184</v>
      </c>
      <c r="C7" s="7">
        <f>Final_Values!C18</f>
        <v>0.9050082781456954</v>
      </c>
      <c r="D7" s="7">
        <f>Final_Values!D18</f>
        <v>0.60310012568077087</v>
      </c>
      <c r="E7" s="7">
        <f>Final_Values!E18</f>
        <v>0.60310012568077087</v>
      </c>
      <c r="F7" s="7">
        <f>Final_Values!F18</f>
        <v>0.70808614384396606</v>
      </c>
      <c r="G7" s="7">
        <f>Final_Values!G18</f>
        <v>0.69496738117427781</v>
      </c>
      <c r="H7" s="7">
        <f>Final_Values!H18</f>
        <v>0.53327780091628485</v>
      </c>
      <c r="I7" s="7">
        <f>Final_Values!I18</f>
        <v>0.53327780091628485</v>
      </c>
    </row>
    <row r="8" spans="1:9" ht="15" customHeight="1" x14ac:dyDescent="0.25">
      <c r="A8" s="4" t="s">
        <v>16</v>
      </c>
      <c r="B8" s="8">
        <f>Final_Values!B19</f>
        <v>2.1534658020680553</v>
      </c>
      <c r="C8" s="8">
        <f>Final_Values!C19</f>
        <v>3.5373130774688066</v>
      </c>
      <c r="D8" s="8">
        <f>Final_Values!D19</f>
        <v>4.1510128591842665</v>
      </c>
      <c r="E8" s="8">
        <f>Final_Values!E19</f>
        <v>1.7533471651451027</v>
      </c>
      <c r="F8" s="8">
        <f>Final_Values!F19</f>
        <v>7.5815481833399367</v>
      </c>
      <c r="G8" s="8">
        <f>Final_Values!G19</f>
        <v>-3.7093266960021909</v>
      </c>
      <c r="H8" s="8">
        <f>Final_Values!H19</f>
        <v>-5.7429530803737912</v>
      </c>
      <c r="I8" s="8">
        <f>Final_Values!I19</f>
        <v>-2.0905979323954771</v>
      </c>
    </row>
    <row r="9" spans="1:9" ht="15" customHeight="1" x14ac:dyDescent="0.25">
      <c r="A9" t="s">
        <v>17</v>
      </c>
      <c r="B9" s="9">
        <f>Final_Values!B21</f>
        <v>69</v>
      </c>
      <c r="C9" s="9">
        <f>Final_Values!C21</f>
        <v>106</v>
      </c>
      <c r="D9" s="9">
        <f>Final_Values!D21</f>
        <v>118</v>
      </c>
      <c r="E9" s="9">
        <f>Final_Values!E21</f>
        <v>97</v>
      </c>
      <c r="F9" s="9">
        <f>Final_Values!F21</f>
        <v>100</v>
      </c>
      <c r="G9" s="9">
        <f>Final_Values!G21</f>
        <v>107</v>
      </c>
      <c r="H9" s="9">
        <f>Final_Values!H21</f>
        <v>76</v>
      </c>
      <c r="I9" s="9">
        <f>Final_Values!I21</f>
        <v>85</v>
      </c>
    </row>
    <row r="10" spans="1:9" ht="15" customHeight="1" x14ac:dyDescent="0.25">
      <c r="A10" t="s">
        <v>18</v>
      </c>
      <c r="B10" s="9">
        <f>Final_Values!B22</f>
        <v>72</v>
      </c>
      <c r="C10" s="9">
        <f>Final_Values!C22</f>
        <v>110</v>
      </c>
      <c r="D10" s="9">
        <f>Final_Values!D22</f>
        <v>118</v>
      </c>
      <c r="E10" s="9">
        <f>Final_Values!E22</f>
        <v>118</v>
      </c>
      <c r="F10" s="9">
        <f>Final_Values!F22</f>
        <v>103</v>
      </c>
      <c r="G10" s="9">
        <f>Final_Values!G22</f>
        <v>107</v>
      </c>
      <c r="H10" s="9">
        <f>Final_Values!H22</f>
        <v>87</v>
      </c>
      <c r="I10" s="9">
        <f>Final_Values!I22</f>
        <v>87</v>
      </c>
    </row>
    <row r="11" spans="1:9" ht="15" customHeight="1" x14ac:dyDescent="0.25">
      <c r="A11" s="4" t="s">
        <v>19</v>
      </c>
      <c r="B11" s="5">
        <f>Final_Values!B23</f>
        <v>-4.1666666666666664E-2</v>
      </c>
      <c r="C11" s="6">
        <f>Final_Values!C23</f>
        <v>-3.6363636363636362E-2</v>
      </c>
      <c r="D11" s="6">
        <f>Final_Values!D23</f>
        <v>0</v>
      </c>
      <c r="E11" s="6">
        <f>Final_Values!E23</f>
        <v>-0.17796610169491525</v>
      </c>
      <c r="F11" s="6">
        <f>Final_Values!F23</f>
        <v>-2.9126213592233011E-2</v>
      </c>
      <c r="G11" s="5">
        <f>Final_Values!G23</f>
        <v>0</v>
      </c>
      <c r="H11" s="6">
        <f>Final_Values!H23</f>
        <v>-0.12643678160919541</v>
      </c>
      <c r="I11" s="6">
        <f>Final_Values!I23</f>
        <v>-2.2988505747126436E-2</v>
      </c>
    </row>
    <row r="12" spans="1:9" ht="15" customHeight="1" x14ac:dyDescent="0.25">
      <c r="A12" t="s">
        <v>20</v>
      </c>
      <c r="B12" s="9">
        <f>Final_Values!B24</f>
        <v>9</v>
      </c>
      <c r="C12" s="9">
        <f>Final_Values!C24</f>
        <v>7</v>
      </c>
      <c r="D12" s="9">
        <f>Final_Values!D24</f>
        <v>7</v>
      </c>
      <c r="E12" s="9">
        <f>Final_Values!E24</f>
        <v>5</v>
      </c>
      <c r="F12" s="9">
        <f>Final_Values!F24</f>
        <v>5</v>
      </c>
      <c r="G12" s="9">
        <f>Final_Values!G24</f>
        <v>10</v>
      </c>
      <c r="H12" s="9">
        <f>Final_Values!H24</f>
        <v>6</v>
      </c>
      <c r="I12" s="9">
        <f>Final_Values!I24</f>
        <v>8</v>
      </c>
    </row>
    <row r="13" spans="1:9" ht="15" customHeight="1" x14ac:dyDescent="0.25">
      <c r="A13" t="s">
        <v>21</v>
      </c>
      <c r="B13" s="9">
        <f>Final_Values!B25</f>
        <v>10</v>
      </c>
      <c r="C13" s="9">
        <f>Final_Values!C25</f>
        <v>8</v>
      </c>
      <c r="D13" s="9">
        <f>Final_Values!D25</f>
        <v>5</v>
      </c>
      <c r="E13" s="9">
        <f>Final_Values!E25</f>
        <v>5</v>
      </c>
      <c r="F13" s="9">
        <f>Final_Values!F25</f>
        <v>6</v>
      </c>
      <c r="G13" s="9">
        <f>Final_Values!G25</f>
        <v>10</v>
      </c>
      <c r="H13" s="9">
        <f>Final_Values!H25</f>
        <v>10</v>
      </c>
      <c r="I13" s="9">
        <f>Final_Values!I25</f>
        <v>10</v>
      </c>
    </row>
    <row r="14" spans="1:9" ht="15" customHeight="1" x14ac:dyDescent="0.25">
      <c r="A14" t="s">
        <v>22</v>
      </c>
      <c r="B14" s="10">
        <f>Final_Values!B26</f>
        <v>-0.1</v>
      </c>
      <c r="C14" s="10">
        <f>Final_Values!C26</f>
        <v>-0.125</v>
      </c>
      <c r="D14" s="10">
        <f>Final_Values!D26</f>
        <v>0.4</v>
      </c>
      <c r="E14" s="10">
        <f>Final_Values!E26</f>
        <v>0</v>
      </c>
      <c r="F14" s="10">
        <f>Final_Values!F26</f>
        <v>-0.16666666666666666</v>
      </c>
      <c r="G14" s="10">
        <f>Final_Values!G26</f>
        <v>0</v>
      </c>
      <c r="H14" s="10">
        <f>Final_Values!H26</f>
        <v>-0.4</v>
      </c>
      <c r="I14" s="10">
        <f>Final_Values!I26</f>
        <v>-0.2</v>
      </c>
    </row>
    <row r="15" spans="1:9" ht="15" customHeight="1" x14ac:dyDescent="0.25">
      <c r="A15" s="4" t="s">
        <v>23</v>
      </c>
      <c r="B15" s="4" t="str">
        <f>Final_Values!B28</f>
        <v>Pass</v>
      </c>
      <c r="C15" s="4" t="str">
        <f>Final_Values!C28</f>
        <v>Pass</v>
      </c>
      <c r="D15" s="4" t="str">
        <f>Final_Values!D28</f>
        <v>Fail</v>
      </c>
      <c r="E15" s="4" t="str">
        <f>Final_Values!E28</f>
        <v>Pass</v>
      </c>
      <c r="F15" s="4" t="str">
        <f>Final_Values!F28</f>
        <v>Pass</v>
      </c>
      <c r="G15" s="4" t="str">
        <f>Final_Values!G28</f>
        <v>Pass</v>
      </c>
      <c r="H15" s="4" t="str">
        <f>Final_Values!H28</f>
        <v>Pass</v>
      </c>
      <c r="I15" s="4" t="str">
        <f>Final_Values!I28</f>
        <v>Pass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504D"/>
  </sheetPr>
  <dimension ref="A1:J28"/>
  <sheetViews>
    <sheetView zoomScale="145" zoomScaleNormal="14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8.7109375" defaultRowHeight="15" x14ac:dyDescent="0.25"/>
  <cols>
    <col min="1" max="1" width="42" customWidth="1"/>
    <col min="2" max="4" width="17.85546875" bestFit="1" customWidth="1"/>
    <col min="5" max="5" width="28.28515625" bestFit="1" customWidth="1"/>
    <col min="6" max="8" width="17.85546875" bestFit="1" customWidth="1"/>
    <col min="9" max="9" width="28.28515625" bestFit="1" customWidth="1"/>
    <col min="10" max="10" width="8" bestFit="1" customWidth="1"/>
  </cols>
  <sheetData>
    <row r="1" spans="1:10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0" t="s">
        <v>24</v>
      </c>
    </row>
    <row r="2" spans="1:10" ht="15" customHeight="1" x14ac:dyDescent="0.25">
      <c r="A2" t="s">
        <v>10</v>
      </c>
      <c r="B2" t="str">
        <f>VLOOKUP(B$1,Runs!$A$2:$B$9,2,FALSE())</f>
        <v>1</v>
      </c>
      <c r="C2" t="str">
        <f>VLOOKUP(C$1,Runs!$A$2:$B$9,2,FALSE())</f>
        <v>2</v>
      </c>
      <c r="D2" t="str">
        <f>VLOOKUP(D$1,Runs!$A$2:$B$9,2,FALSE())</f>
        <v>3</v>
      </c>
      <c r="E2" t="str">
        <f>VLOOKUP(E$1,Runs!$A$2:$B$9,2,FALSE())</f>
        <v>3</v>
      </c>
      <c r="F2" t="str">
        <f>VLOOKUP(F$1,Runs!$A$2:$B$9,2,FALSE())</f>
        <v>4</v>
      </c>
      <c r="G2" t="str">
        <f>VLOOKUP(G$1,Runs!$A$2:$B$9,2,FALSE())</f>
        <v>5</v>
      </c>
      <c r="H2" t="str">
        <f>VLOOKUP(H$1,Runs!$A$2:$B$9,2,FALSE())</f>
        <v>6</v>
      </c>
      <c r="I2" t="str">
        <f>VLOOKUP(I$1,Runs!$A$2:$B$9,2,FALSE())</f>
        <v>6</v>
      </c>
    </row>
    <row r="3" spans="1:10" ht="15" customHeight="1" x14ac:dyDescent="0.25">
      <c r="A3" t="s">
        <v>25</v>
      </c>
      <c r="B3" t="str">
        <f>VLOOKUP(B$1,Runs!$A$2:$C$9,3,FALSE())</f>
        <v>exp12_scenario_01</v>
      </c>
      <c r="C3" t="str">
        <f>VLOOKUP(C$1,Runs!$A$2:$C$9,3,FALSE())</f>
        <v>exp13_scenario_02</v>
      </c>
      <c r="D3" t="str">
        <f>VLOOKUP(D$1,Runs!$A$2:$C$9,3,FALSE())</f>
        <v>exp14_scenario_03</v>
      </c>
      <c r="E3" t="str">
        <f>VLOOKUP(E$1,Runs!$A$2:$C$9,3,FALSE())</f>
        <v>exp14_scenario_03_sensitivity</v>
      </c>
      <c r="F3" t="str">
        <f>VLOOKUP(F$1,Runs!$A$2:$C$9,3,FALSE())</f>
        <v>exp15_scenario_04</v>
      </c>
      <c r="G3" t="str">
        <f>VLOOKUP(G$1,Runs!$A$2:$C$9,3,FALSE())</f>
        <v>exp16_scenario_05</v>
      </c>
      <c r="H3" t="str">
        <f>VLOOKUP(H$1,Runs!$A$2:$C$9,3,FALSE())</f>
        <v>exp17_scenario_06</v>
      </c>
      <c r="I3" t="str">
        <f>VLOOKUP(I$1,Runs!$A$2:$C$9,3,FALSE())</f>
        <v>exp17_scenario_06_sensitivity</v>
      </c>
    </row>
    <row r="4" spans="1:10" ht="15" customHeight="1" x14ac:dyDescent="0.25">
      <c r="A4" s="1" t="s">
        <v>26</v>
      </c>
    </row>
    <row r="5" spans="1:10" ht="15" customHeight="1" x14ac:dyDescent="0.25">
      <c r="A5" t="s">
        <v>27</v>
      </c>
      <c r="B5" s="9">
        <f>COUNTIFS(Calc_LeadTime!$A$2:$A$81,B$1,Calc_LeadTime!$Y$2:$Y$81,1)</f>
        <v>9</v>
      </c>
      <c r="C5" s="9">
        <f>COUNTIFS(Calc_LeadTime!$A$2:$A$81,C$1,Calc_LeadTime!$Y$2:$Y$81,1)</f>
        <v>7</v>
      </c>
      <c r="D5" s="9">
        <f>COUNTIFS(Calc_LeadTime!$A$2:$A$81,D$1,Calc_LeadTime!$Y$2:$Y$81,1)</f>
        <v>5</v>
      </c>
      <c r="E5" s="9">
        <f>COUNTIFS(Calc_LeadTime!$A$2:$A$81,E$1,Calc_LeadTime!$Y$2:$Y$81,1)</f>
        <v>5</v>
      </c>
      <c r="F5" s="9">
        <f>COUNTIFS(Calc_LeadTime!$A$2:$A$81,F$1,Calc_LeadTime!$Y$2:$Y$81,1)</f>
        <v>5</v>
      </c>
      <c r="G5" s="9">
        <f>COUNTIFS(Calc_LeadTime!$A$2:$A$81,G$1,Calc_LeadTime!$Y$2:$Y$81,1)</f>
        <v>10</v>
      </c>
      <c r="H5" s="9">
        <f>COUNTIFS(Calc_LeadTime!$A$2:$A$81,H$1,Calc_LeadTime!$Y$2:$Y$81,1)</f>
        <v>6</v>
      </c>
      <c r="I5" s="9">
        <f>COUNTIFS(Calc_LeadTime!$A$2:$A$81,I$1,Calc_LeadTime!$Y$2:$Y$81,1)</f>
        <v>7</v>
      </c>
      <c r="J5" t="s">
        <v>28</v>
      </c>
    </row>
    <row r="6" spans="1:10" ht="15" customHeight="1" x14ac:dyDescent="0.25">
      <c r="A6" t="s">
        <v>29</v>
      </c>
      <c r="B6" s="9">
        <f>COUNTIFS(Calc_LeadTime!$A$2:$A$81,B$1,Calc_LeadTime!$X$2:$X$81,"DNF (sim)")</f>
        <v>1</v>
      </c>
      <c r="C6" s="9">
        <f>COUNTIFS(Calc_LeadTime!$A$2:$A$81,C$1,Calc_LeadTime!$X$2:$X$81,"DNF (sim)")</f>
        <v>1</v>
      </c>
      <c r="D6" s="9">
        <f>COUNTIFS(Calc_LeadTime!$A$2:$A$81,D$1,Calc_LeadTime!$X$2:$X$81,"DNF (sim)")</f>
        <v>0</v>
      </c>
      <c r="E6" s="9">
        <f>COUNTIFS(Calc_LeadTime!$A$2:$A$81,E$1,Calc_LeadTime!$X$2:$X$81,"DNF (sim)")</f>
        <v>0</v>
      </c>
      <c r="F6" s="9">
        <f>COUNTIFS(Calc_LeadTime!$A$2:$A$81,F$1,Calc_LeadTime!$X$2:$X$81,"DNF (sim)")</f>
        <v>1</v>
      </c>
      <c r="G6" s="9">
        <f>COUNTIFS(Calc_LeadTime!$A$2:$A$81,G$1,Calc_LeadTime!$X$2:$X$81,"DNF (sim)")</f>
        <v>0</v>
      </c>
      <c r="H6" s="9">
        <f>COUNTIFS(Calc_LeadTime!$A$2:$A$81,H$1,Calc_LeadTime!$X$2:$X$81,"DNF (sim)")</f>
        <v>2</v>
      </c>
      <c r="I6" s="9">
        <f>COUNTIFS(Calc_LeadTime!$A$2:$A$81,I$1,Calc_LeadTime!$X$2:$X$81,"DNF (sim)")</f>
        <v>1</v>
      </c>
      <c r="J6" t="s">
        <v>28</v>
      </c>
    </row>
    <row r="7" spans="1:10" ht="15" customHeight="1" x14ac:dyDescent="0.25">
      <c r="A7" t="s">
        <v>30</v>
      </c>
      <c r="B7" s="9">
        <f>COUNTIFS(Calc_LeadTime!$A$2:$A$81,B$1,Calc_LeadTime!$X$2:$X$81,"DNF (factory)")</f>
        <v>0</v>
      </c>
      <c r="C7" s="9">
        <f>COUNTIFS(Calc_LeadTime!$A$2:$A$81,C$1,Calc_LeadTime!$X$2:$X$81,"DNF (factory)")</f>
        <v>0</v>
      </c>
      <c r="D7" s="9">
        <f>COUNTIFS(Calc_LeadTime!$A$2:$A$81,D$1,Calc_LeadTime!$X$2:$X$81,"DNF (factory)")</f>
        <v>2</v>
      </c>
      <c r="E7" s="9">
        <f>COUNTIFS(Calc_LeadTime!$A$2:$A$81,E$1,Calc_LeadTime!$X$2:$X$81,"DNF (factory)")</f>
        <v>0</v>
      </c>
      <c r="F7" s="9">
        <f>COUNTIFS(Calc_LeadTime!$A$2:$A$81,F$1,Calc_LeadTime!$X$2:$X$81,"DNF (factory)")</f>
        <v>0</v>
      </c>
      <c r="G7" s="9">
        <f>COUNTIFS(Calc_LeadTime!$A$2:$A$81,G$1,Calc_LeadTime!$X$2:$X$81,"DNF (factory)")</f>
        <v>0</v>
      </c>
      <c r="H7" s="9">
        <f>COUNTIFS(Calc_LeadTime!$A$2:$A$81,H$1,Calc_LeadTime!$X$2:$X$81,"DNF (factory)")</f>
        <v>0</v>
      </c>
      <c r="I7" s="9">
        <f>COUNTIFS(Calc_LeadTime!$A$2:$A$81,I$1,Calc_LeadTime!$X$2:$X$81,"DNF (factory)")</f>
        <v>1</v>
      </c>
      <c r="J7" t="s">
        <v>28</v>
      </c>
    </row>
    <row r="8" spans="1:10" ht="15" customHeight="1" x14ac:dyDescent="0.25">
      <c r="A8" t="s">
        <v>31</v>
      </c>
      <c r="B8" s="9">
        <f>COUNTIFS(Calc_LeadTime!$A$2:$A$81,B$1,Calc_LeadTime!$X$2:$X$81,"DNF (sim + factory)")</f>
        <v>0</v>
      </c>
      <c r="C8" s="9">
        <f>COUNTIFS(Calc_LeadTime!$A$2:$A$81,C$1,Calc_LeadTime!$X$2:$X$81,"DNF (sim + factory)")</f>
        <v>2</v>
      </c>
      <c r="D8" s="9">
        <f>COUNTIFS(Calc_LeadTime!$A$2:$A$81,D$1,Calc_LeadTime!$X$2:$X$81,"DNF (sim + factory)")</f>
        <v>3</v>
      </c>
      <c r="E8" s="9">
        <f>COUNTIFS(Calc_LeadTime!$A$2:$A$81,E$1,Calc_LeadTime!$X$2:$X$81,"DNF (sim + factory)")</f>
        <v>5</v>
      </c>
      <c r="F8" s="9">
        <f>COUNTIFS(Calc_LeadTime!$A$2:$A$81,F$1,Calc_LeadTime!$X$2:$X$81,"DNF (sim + factory)")</f>
        <v>4</v>
      </c>
      <c r="G8" s="9">
        <f>COUNTIFS(Calc_LeadTime!$A$2:$A$81,G$1,Calc_LeadTime!$X$2:$X$81,"DNF (sim + factory)")</f>
        <v>0</v>
      </c>
      <c r="H8" s="9">
        <f>COUNTIFS(Calc_LeadTime!$A$2:$A$81,H$1,Calc_LeadTime!$X$2:$X$81,"DNF (sim + factory)")</f>
        <v>2</v>
      </c>
      <c r="I8" s="9">
        <f>COUNTIFS(Calc_LeadTime!$A$2:$A$81,I$1,Calc_LeadTime!$X$2:$X$81,"DNF (sim + factory)")</f>
        <v>1</v>
      </c>
      <c r="J8" t="s">
        <v>28</v>
      </c>
    </row>
    <row r="9" spans="1:10" ht="15" customHeight="1" x14ac:dyDescent="0.25">
      <c r="A9" t="s">
        <v>32</v>
      </c>
      <c r="B9" s="3">
        <f>AVERAGEIFS(Calc_LeadTime!$J$2:$J$81,Calc_LeadTime!$A$2:$A$81,B$1,Calc_LeadTime!$Y$2:$Y$81,1)</f>
        <v>429.21111111111105</v>
      </c>
      <c r="C9" s="3">
        <f>AVERAGEIFS(Calc_LeadTime!$J$2:$J$81,Calc_LeadTime!$A$2:$A$81,C$1,Calc_LeadTime!$Y$2:$Y$81,1)</f>
        <v>1089.3</v>
      </c>
      <c r="D9" s="3">
        <f>AVERAGEIFS(Calc_LeadTime!$J$2:$J$81,Calc_LeadTime!$A$2:$A$81,D$1,Calc_LeadTime!$Y$2:$Y$81,1)</f>
        <v>798.7</v>
      </c>
      <c r="E9" s="3">
        <f>AVERAGEIFS(Calc_LeadTime!$J$2:$J$81,Calc_LeadTime!$A$2:$A$81,E$1,Calc_LeadTime!$Y$2:$Y$81,1)</f>
        <v>1027.3</v>
      </c>
      <c r="F9" s="3">
        <f>AVERAGEIFS(Calc_LeadTime!$J$2:$J$81,Calc_LeadTime!$A$2:$A$81,F$1,Calc_LeadTime!$Y$2:$Y$81,1)</f>
        <v>1211.3</v>
      </c>
      <c r="G9" s="3">
        <f>AVERAGEIFS(Calc_LeadTime!$J$2:$J$81,Calc_LeadTime!$A$2:$A$81,G$1,Calc_LeadTime!$Y$2:$Y$81,1)</f>
        <v>788.92000000000007</v>
      </c>
      <c r="H9" s="3">
        <f>AVERAGEIFS(Calc_LeadTime!$J$2:$J$81,Calc_LeadTime!$A$2:$A$81,H$1,Calc_LeadTime!$Y$2:$Y$81,1)</f>
        <v>612.29999999999995</v>
      </c>
      <c r="I9" s="3">
        <f>AVERAGEIFS(Calc_LeadTime!$J$2:$J$81,Calc_LeadTime!$A$2:$A$81,I$1,Calc_LeadTime!$Y$2:$Y$81,1)</f>
        <v>604.15714285714296</v>
      </c>
      <c r="J9" t="s">
        <v>33</v>
      </c>
    </row>
    <row r="10" spans="1:10" ht="15" customHeight="1" x14ac:dyDescent="0.25">
      <c r="A10" t="s">
        <v>34</v>
      </c>
      <c r="B10" s="3">
        <f>AVERAGEIFS(Calc_LeadTime!$L$2:$L$81,Calc_LeadTime!$A$2:$A$81,B$1,Calc_LeadTime!$Y$2:$Y$81,1)</f>
        <v>386.46</v>
      </c>
      <c r="C10" s="3">
        <f>AVERAGEIFS(Calc_LeadTime!$L$2:$L$81,Calc_LeadTime!$A$2:$A$81,C$1,Calc_LeadTime!$Y$2:$Y$81,1)</f>
        <v>400.88000000000005</v>
      </c>
      <c r="D10" s="3">
        <f>AVERAGEIFS(Calc_LeadTime!$L$2:$L$81,Calc_LeadTime!$A$2:$A$81,D$1,Calc_LeadTime!$Y$2:$Y$81,1)</f>
        <v>323.72399999999999</v>
      </c>
      <c r="E10" s="3">
        <f>AVERAGEIFS(Calc_LeadTime!$L$2:$L$81,Calc_LeadTime!$A$2:$A$81,E$1,Calc_LeadTime!$Y$2:$Y$81,1)</f>
        <v>548.65200000000004</v>
      </c>
      <c r="F10" s="3">
        <f>AVERAGEIFS(Calc_LeadTime!$L$2:$L$81,Calc_LeadTime!$A$2:$A$81,F$1,Calc_LeadTime!$Y$2:$Y$81,1)</f>
        <v>343.31200000000001</v>
      </c>
      <c r="G10" s="3">
        <f>AVERAGEIFS(Calc_LeadTime!$L$2:$L$81,Calc_LeadTime!$A$2:$A$81,G$1,Calc_LeadTime!$Y$2:$Y$81,1)</f>
        <v>262.01600000000002</v>
      </c>
      <c r="H10" s="3">
        <f>AVERAGEIFS(Calc_LeadTime!$L$2:$L$81,Calc_LeadTime!$A$2:$A$81,H$1,Calc_LeadTime!$Y$2:$Y$81,1)</f>
        <v>485.88499999999999</v>
      </c>
      <c r="I10" s="3">
        <f>AVERAGEIFS(Calc_LeadTime!$L$2:$L$81,Calc_LeadTime!$A$2:$A$81,I$1,Calc_LeadTime!$Y$2:$Y$81,1)</f>
        <v>454.65714285714284</v>
      </c>
      <c r="J10" t="s">
        <v>33</v>
      </c>
    </row>
    <row r="11" spans="1:10" ht="15" customHeight="1" x14ac:dyDescent="0.25">
      <c r="A11" t="s">
        <v>35</v>
      </c>
      <c r="B11" s="3">
        <f>AVERAGEIFS(Calc_LeadTime!$S$2:$S$81,Calc_LeadTime!$A$2:$A$81,B$1,Calc_LeadTime!$Y$2:$Y$81,1)</f>
        <v>442.11111111111109</v>
      </c>
      <c r="C11" s="3">
        <f>AVERAGEIFS(Calc_LeadTime!$S$2:$S$81,Calc_LeadTime!$A$2:$A$81,C$1,Calc_LeadTime!$Y$2:$Y$81,1)</f>
        <v>1121</v>
      </c>
      <c r="D11" s="3">
        <f>AVERAGEIFS(Calc_LeadTime!$S$2:$S$81,Calc_LeadTime!$A$2:$A$81,D$1,Calc_LeadTime!$Y$2:$Y$81,1)</f>
        <v>766</v>
      </c>
      <c r="E11" s="3">
        <f>AVERAGEIFS(Calc_LeadTime!$S$2:$S$81,Calc_LeadTime!$A$2:$A$81,E$1,Calc_LeadTime!$Y$2:$Y$81,1)</f>
        <v>766</v>
      </c>
      <c r="F11" s="3">
        <f>AVERAGEIFS(Calc_LeadTime!$S$2:$S$81,Calc_LeadTime!$A$2:$A$81,F$1,Calc_LeadTime!$Y$2:$Y$81,1)</f>
        <v>1302.8</v>
      </c>
      <c r="G11" s="3">
        <f>AVERAGEIFS(Calc_LeadTime!$S$2:$S$81,Calc_LeadTime!$A$2:$A$81,G$1,Calc_LeadTime!$Y$2:$Y$81,1)</f>
        <v>800.6</v>
      </c>
      <c r="H11" s="3">
        <f>AVERAGEIFS(Calc_LeadTime!$S$2:$S$81,Calc_LeadTime!$A$2:$A$81,H$1,Calc_LeadTime!$Y$2:$Y$81,1)</f>
        <v>613.66666666666663</v>
      </c>
      <c r="I11" s="3">
        <f>AVERAGEIFS(Calc_LeadTime!$S$2:$S$81,Calc_LeadTime!$A$2:$A$81,I$1,Calc_LeadTime!$Y$2:$Y$81,1)</f>
        <v>653</v>
      </c>
      <c r="J11" t="s">
        <v>36</v>
      </c>
    </row>
    <row r="12" spans="1:10" ht="15" customHeight="1" x14ac:dyDescent="0.25">
      <c r="A12" t="s">
        <v>37</v>
      </c>
      <c r="B12" s="3">
        <f>AVERAGEIFS(Calc_LeadTime!$H$2:$H$81,Calc_LeadTime!$A$2:$A$81,B$1,Calc_LeadTime!$Y$2:$Y$81,1)</f>
        <v>855.34074072027579</v>
      </c>
      <c r="C12" s="3">
        <f>AVERAGEIFS(Calc_LeadTime!$H$2:$H$81,Calc_LeadTime!$A$2:$A$81,C$1,Calc_LeadTime!$Y$2:$Y$81,1)</f>
        <v>1527.9047619029213</v>
      </c>
      <c r="D12" s="3">
        <f>AVERAGEIFS(Calc_LeadTime!$H$2:$H$81,Calc_LeadTime!$A$2:$A$81,D$1,Calc_LeadTime!$Y$2:$Y$81,1)</f>
        <v>1143.2399999911431</v>
      </c>
      <c r="E12" s="3">
        <f>AVERAGEIFS(Calc_LeadTime!$H$2:$H$81,Calc_LeadTime!$A$2:$A$81,E$1,Calc_LeadTime!$Y$2:$Y$81,1)</f>
        <v>1482.7733333283104</v>
      </c>
      <c r="F12" s="3">
        <f>AVERAGEIFS(Calc_LeadTime!$H$2:$H$81,Calc_LeadTime!$A$2:$A$81,F$1,Calc_LeadTime!$Y$2:$Y$81,1)</f>
        <v>1623.3733333151322</v>
      </c>
      <c r="G12" s="3">
        <f>AVERAGEIFS(Calc_LeadTime!$H$2:$H$81,Calc_LeadTime!$A$2:$A$81,G$1,Calc_LeadTime!$Y$2:$Y$81,1)</f>
        <v>1091.4533333138097</v>
      </c>
      <c r="H12" s="3">
        <f>AVERAGEIFS(Calc_LeadTime!$H$2:$H$81,Calc_LeadTime!$A$2:$A$81,H$1,Calc_LeadTime!$Y$2:$Y$81,1)</f>
        <v>1112.8666666557547</v>
      </c>
      <c r="I12" s="3">
        <f>AVERAGEIFS(Calc_LeadTime!$H$2:$H$81,Calc_LeadTime!$A$2:$A$81,I$1,Calc_LeadTime!$Y$2:$Y$81,1)</f>
        <v>1070.6619047657919</v>
      </c>
      <c r="J12" t="s">
        <v>33</v>
      </c>
    </row>
    <row r="13" spans="1:10" ht="15" customHeight="1" x14ac:dyDescent="0.25">
      <c r="A13" t="s">
        <v>38</v>
      </c>
      <c r="B13" s="3">
        <f>AVERAGEIFS(Calc_LeadTime!$U$2:$U$81,Calc_LeadTime!$A$2:$A$81,B$1,Calc_LeadTime!$Y$2:$Y$81,1)</f>
        <v>857.66666666666663</v>
      </c>
      <c r="C13" s="3">
        <f>AVERAGEIFS(Calc_LeadTime!$U$2:$U$81,Calc_LeadTime!$A$2:$A$81,C$1,Calc_LeadTime!$Y$2:$Y$81,1)</f>
        <v>1482</v>
      </c>
      <c r="D13" s="3">
        <f>AVERAGEIFS(Calc_LeadTime!$U$2:$U$81,Calc_LeadTime!$A$2:$A$81,D$1,Calc_LeadTime!$Y$2:$Y$81,1)</f>
        <v>1588.4</v>
      </c>
      <c r="E13" s="3">
        <f>AVERAGEIFS(Calc_LeadTime!$U$2:$U$81,Calc_LeadTime!$A$2:$A$81,E$1,Calc_LeadTime!$Y$2:$Y$81,1)</f>
        <v>1588.4</v>
      </c>
      <c r="F13" s="3">
        <f>AVERAGEIFS(Calc_LeadTime!$U$2:$U$81,Calc_LeadTime!$A$2:$A$81,F$1,Calc_LeadTime!$Y$2:$Y$81,1)</f>
        <v>1552</v>
      </c>
      <c r="G13" s="3">
        <f>AVERAGEIFS(Calc_LeadTime!$U$2:$U$81,Calc_LeadTime!$A$2:$A$81,G$1,Calc_LeadTime!$Y$2:$Y$81,1)</f>
        <v>981.1</v>
      </c>
      <c r="H13" s="3">
        <f>AVERAGEIFS(Calc_LeadTime!$U$2:$U$81,Calc_LeadTime!$A$2:$A$81,H$1,Calc_LeadTime!$Y$2:$Y$81,1)</f>
        <v>997.66666666666663</v>
      </c>
      <c r="I13" s="3">
        <f>AVERAGEIFS(Calc_LeadTime!$U$2:$U$81,Calc_LeadTime!$A$2:$A$81,I$1,Calc_LeadTime!$Y$2:$Y$81,1)</f>
        <v>1054.5714285714287</v>
      </c>
      <c r="J13" t="s">
        <v>36</v>
      </c>
    </row>
    <row r="14" spans="1:10" ht="15" customHeight="1" x14ac:dyDescent="0.25">
      <c r="A14" s="4" t="s">
        <v>13</v>
      </c>
      <c r="B14" s="5">
        <f t="shared" ref="B14:I14" si="0">(B12-B13)/B13</f>
        <v>-2.7119229845209941E-3</v>
      </c>
      <c r="C14" s="5">
        <f t="shared" si="0"/>
        <v>3.097487307889429E-2</v>
      </c>
      <c r="D14" s="5">
        <f t="shared" si="0"/>
        <v>-0.28025686225689811</v>
      </c>
      <c r="E14" s="5">
        <f t="shared" si="0"/>
        <v>-6.6498782845435464E-2</v>
      </c>
      <c r="F14" s="5">
        <f t="shared" si="0"/>
        <v>4.5987972496863525E-2</v>
      </c>
      <c r="G14" s="5">
        <f t="shared" si="0"/>
        <v>0.11247919000490234</v>
      </c>
      <c r="H14" s="5">
        <f t="shared" si="0"/>
        <v>0.11546942865595193</v>
      </c>
      <c r="I14" s="5">
        <f t="shared" si="0"/>
        <v>1.5257834375581458E-2</v>
      </c>
      <c r="J14" t="s">
        <v>39</v>
      </c>
    </row>
    <row r="15" spans="1:10" ht="15" customHeight="1" x14ac:dyDescent="0.25">
      <c r="A15" s="1" t="s">
        <v>40</v>
      </c>
    </row>
    <row r="16" spans="1:10" ht="15" customHeight="1" x14ac:dyDescent="0.25">
      <c r="A16" t="s">
        <v>41</v>
      </c>
      <c r="B16" s="9">
        <f>COUNTIFS(Calc_Stations!$A$2:$A$38,B$1)</f>
        <v>3</v>
      </c>
      <c r="C16" s="9">
        <f>COUNTIFS(Calc_Stations!$A$2:$A$38,C$1)</f>
        <v>4</v>
      </c>
      <c r="D16" s="9">
        <f>COUNTIFS(Calc_Stations!$A$2:$A$38,D$1)</f>
        <v>5</v>
      </c>
      <c r="E16" s="9">
        <f>COUNTIFS(Calc_Stations!$A$2:$A$38,E$1)</f>
        <v>5</v>
      </c>
      <c r="F16" s="9">
        <f>COUNTIFS(Calc_Stations!$A$2:$A$38,F$1)</f>
        <v>5</v>
      </c>
      <c r="G16" s="9">
        <f>COUNTIFS(Calc_Stations!$A$2:$A$38,G$1)</f>
        <v>5</v>
      </c>
      <c r="H16" s="9">
        <f>COUNTIFS(Calc_Stations!$A$2:$A$38,H$1)</f>
        <v>5</v>
      </c>
      <c r="I16" s="9">
        <f>COUNTIFS(Calc_Stations!$A$2:$A$38,I$1)</f>
        <v>5</v>
      </c>
      <c r="J16" t="s">
        <v>42</v>
      </c>
    </row>
    <row r="17" spans="1:10" ht="15" customHeight="1" x14ac:dyDescent="0.25">
      <c r="A17" t="s">
        <v>14</v>
      </c>
      <c r="B17" s="7">
        <f>AVERAGEIFS(Calc_Stations!$K$2:$K$38,Calc_Stations!$A$2:$A$38,B$1)</f>
        <v>0.57810198693900239</v>
      </c>
      <c r="C17" s="7">
        <f>AVERAGEIFS(Calc_Stations!$K$2:$K$38,Calc_Stations!$A$2:$A$38,C$1)</f>
        <v>0.94038140892038347</v>
      </c>
      <c r="D17" s="7">
        <f>AVERAGEIFS(Calc_Stations!$K$2:$K$38,Calc_Stations!$A$2:$A$38,D$1)</f>
        <v>0.64461025427261354</v>
      </c>
      <c r="E17" s="7">
        <f>AVERAGEIFS(Calc_Stations!$K$2:$K$38,Calc_Stations!$A$2:$A$38,E$1)</f>
        <v>0.6206335973322219</v>
      </c>
      <c r="F17" s="7">
        <f>AVERAGEIFS(Calc_Stations!$K$2:$K$38,Calc_Stations!$A$2:$A$38,F$1)</f>
        <v>0.78390162567736543</v>
      </c>
      <c r="G17" s="7">
        <f>AVERAGEIFS(Calc_Stations!$K$2:$K$38,Calc_Stations!$A$2:$A$38,G$1)</f>
        <v>0.6578741142142559</v>
      </c>
      <c r="H17" s="7">
        <f>AVERAGEIFS(Calc_Stations!$K$2:$K$38,Calc_Stations!$A$2:$A$38,H$1)</f>
        <v>0.47584827011254693</v>
      </c>
      <c r="I17" s="7">
        <f>AVERAGEIFS(Calc_Stations!$K$2:$K$38,Calc_Stations!$A$2:$A$38,I$1)</f>
        <v>0.51237182159233008</v>
      </c>
      <c r="J17" t="s">
        <v>39</v>
      </c>
    </row>
    <row r="18" spans="1:10" ht="15" customHeight="1" x14ac:dyDescent="0.25">
      <c r="A18" t="s">
        <v>15</v>
      </c>
      <c r="B18" s="7">
        <f>AVERAGEIFS(Calc_Stations!$L$2:$L$38,Calc_Stations!$A$2:$A$38,B$1)</f>
        <v>0.55656732891832184</v>
      </c>
      <c r="C18" s="7">
        <f>AVERAGEIFS(Calc_Stations!$L$2:$L$38,Calc_Stations!$A$2:$A$38,C$1)</f>
        <v>0.9050082781456954</v>
      </c>
      <c r="D18" s="7">
        <f>AVERAGEIFS(Calc_Stations!$L$2:$L$38,Calc_Stations!$A$2:$A$38,D$1)</f>
        <v>0.60310012568077087</v>
      </c>
      <c r="E18" s="7">
        <f>AVERAGEIFS(Calc_Stations!$L$2:$L$38,Calc_Stations!$A$2:$A$38,E$1)</f>
        <v>0.60310012568077087</v>
      </c>
      <c r="F18" s="7">
        <f>AVERAGEIFS(Calc_Stations!$L$2:$L$38,Calc_Stations!$A$2:$A$38,F$1)</f>
        <v>0.70808614384396606</v>
      </c>
      <c r="G18" s="7">
        <f>AVERAGEIFS(Calc_Stations!$L$2:$L$38,Calc_Stations!$A$2:$A$38,G$1)</f>
        <v>0.69496738117427781</v>
      </c>
      <c r="H18" s="7">
        <f>AVERAGEIFS(Calc_Stations!$L$2:$L$38,Calc_Stations!$A$2:$A$38,H$1)</f>
        <v>0.53327780091628485</v>
      </c>
      <c r="I18" s="7">
        <f>AVERAGEIFS(Calc_Stations!$L$2:$L$38,Calc_Stations!$A$2:$A$38,I$1)</f>
        <v>0.53327780091628485</v>
      </c>
      <c r="J18" t="s">
        <v>39</v>
      </c>
    </row>
    <row r="19" spans="1:10" ht="15" customHeight="1" x14ac:dyDescent="0.25">
      <c r="A19" s="4" t="s">
        <v>43</v>
      </c>
      <c r="B19" s="8">
        <f t="shared" ref="B19:I19" si="1">(B17-B18)*100</f>
        <v>2.1534658020680553</v>
      </c>
      <c r="C19" s="8">
        <f t="shared" si="1"/>
        <v>3.5373130774688066</v>
      </c>
      <c r="D19" s="8">
        <f t="shared" si="1"/>
        <v>4.1510128591842665</v>
      </c>
      <c r="E19" s="8">
        <f t="shared" si="1"/>
        <v>1.7533471651451027</v>
      </c>
      <c r="F19" s="8">
        <f t="shared" si="1"/>
        <v>7.5815481833399367</v>
      </c>
      <c r="G19" s="8">
        <f t="shared" si="1"/>
        <v>-3.7093266960021909</v>
      </c>
      <c r="H19" s="8">
        <f t="shared" si="1"/>
        <v>-5.7429530803737912</v>
      </c>
      <c r="I19" s="8">
        <f t="shared" si="1"/>
        <v>-2.0905979323954771</v>
      </c>
      <c r="J19" t="s">
        <v>44</v>
      </c>
    </row>
    <row r="20" spans="1:10" ht="15" customHeight="1" x14ac:dyDescent="0.25">
      <c r="A20" s="1" t="s">
        <v>45</v>
      </c>
    </row>
    <row r="21" spans="1:10" ht="15" customHeight="1" x14ac:dyDescent="0.25">
      <c r="A21" t="s">
        <v>46</v>
      </c>
      <c r="B21" s="9">
        <f>SUMIFS(Calc_Components!$F$2:$F$83,Calc_Components!$A$2:$A$83,B$1,Calc_Components!$C$2:$C$83,"a")</f>
        <v>69</v>
      </c>
      <c r="C21" s="9">
        <f>SUMIFS(Calc_Components!$F$2:$F$83,Calc_Components!$A$2:$A$83,C$1,Calc_Components!$C$2:$C$83,"a")</f>
        <v>106</v>
      </c>
      <c r="D21" s="9">
        <f>SUMIFS(Calc_Components!$F$2:$F$83,Calc_Components!$A$2:$A$83,D$1,Calc_Components!$C$2:$C$83,"a")</f>
        <v>118</v>
      </c>
      <c r="E21" s="9">
        <f>SUMIFS(Calc_Components!$F$2:$F$83,Calc_Components!$A$2:$A$83,E$1,Calc_Components!$C$2:$C$83,"a")</f>
        <v>97</v>
      </c>
      <c r="F21" s="9">
        <f>SUMIFS(Calc_Components!$F$2:$F$83,Calc_Components!$A$2:$A$83,F$1,Calc_Components!$C$2:$C$83,"a")</f>
        <v>100</v>
      </c>
      <c r="G21" s="9">
        <f>SUMIFS(Calc_Components!$F$2:$F$83,Calc_Components!$A$2:$A$83,G$1,Calc_Components!$C$2:$C$83,"a")</f>
        <v>107</v>
      </c>
      <c r="H21" s="9">
        <f>SUMIFS(Calc_Components!$F$2:$F$83,Calc_Components!$A$2:$A$83,H$1,Calc_Components!$C$2:$C$83,"a")</f>
        <v>76</v>
      </c>
      <c r="I21" s="9">
        <f>SUMIFS(Calc_Components!$F$2:$F$83,Calc_Components!$A$2:$A$83,I$1,Calc_Components!$C$2:$C$83,"a")</f>
        <v>85</v>
      </c>
      <c r="J21" t="s">
        <v>47</v>
      </c>
    </row>
    <row r="22" spans="1:10" ht="15" customHeight="1" x14ac:dyDescent="0.25">
      <c r="A22" t="s">
        <v>48</v>
      </c>
      <c r="B22" s="9">
        <f>SUMIFS(Calc_Components!$H$2:$H$83,Calc_Components!$A$2:$A$83,B$1,Calc_Components!$C$2:$C$83,"a")</f>
        <v>72</v>
      </c>
      <c r="C22" s="9">
        <f>SUMIFS(Calc_Components!$H$2:$H$83,Calc_Components!$A$2:$A$83,C$1,Calc_Components!$C$2:$C$83,"a")</f>
        <v>110</v>
      </c>
      <c r="D22" s="9">
        <f>SUMIFS(Calc_Components!$H$2:$H$83,Calc_Components!$A$2:$A$83,D$1,Calc_Components!$C$2:$C$83,"a")</f>
        <v>118</v>
      </c>
      <c r="E22" s="9">
        <f>SUMIFS(Calc_Components!$H$2:$H$83,Calc_Components!$A$2:$A$83,E$1,Calc_Components!$C$2:$C$83,"a")</f>
        <v>118</v>
      </c>
      <c r="F22" s="9">
        <f>SUMIFS(Calc_Components!$H$2:$H$83,Calc_Components!$A$2:$A$83,F$1,Calc_Components!$C$2:$C$83,"a")</f>
        <v>103</v>
      </c>
      <c r="G22" s="9">
        <f>SUMIFS(Calc_Components!$H$2:$H$83,Calc_Components!$A$2:$A$83,G$1,Calc_Components!$C$2:$C$83,"a")</f>
        <v>107</v>
      </c>
      <c r="H22" s="9">
        <f>SUMIFS(Calc_Components!$H$2:$H$83,Calc_Components!$A$2:$A$83,H$1,Calc_Components!$C$2:$C$83,"a")</f>
        <v>87</v>
      </c>
      <c r="I22" s="9">
        <f>SUMIFS(Calc_Components!$H$2:$H$83,Calc_Components!$A$2:$A$83,I$1,Calc_Components!$C$2:$C$83,"a")</f>
        <v>87</v>
      </c>
      <c r="J22" t="s">
        <v>47</v>
      </c>
    </row>
    <row r="23" spans="1:10" ht="15" customHeight="1" x14ac:dyDescent="0.25">
      <c r="A23" s="4" t="s">
        <v>19</v>
      </c>
      <c r="B23" s="5">
        <f t="shared" ref="B23:I23" si="2">(B21-B22)/B22</f>
        <v>-4.1666666666666664E-2</v>
      </c>
      <c r="C23" s="5">
        <f t="shared" si="2"/>
        <v>-3.6363636363636362E-2</v>
      </c>
      <c r="D23" s="5">
        <f t="shared" si="2"/>
        <v>0</v>
      </c>
      <c r="E23" s="5">
        <f t="shared" si="2"/>
        <v>-0.17796610169491525</v>
      </c>
      <c r="F23" s="5">
        <f t="shared" si="2"/>
        <v>-2.9126213592233011E-2</v>
      </c>
      <c r="G23" s="5">
        <f t="shared" si="2"/>
        <v>0</v>
      </c>
      <c r="H23" s="5">
        <f t="shared" si="2"/>
        <v>-0.12643678160919541</v>
      </c>
      <c r="I23" s="5">
        <f t="shared" si="2"/>
        <v>-2.2988505747126436E-2</v>
      </c>
      <c r="J23" t="s">
        <v>39</v>
      </c>
    </row>
    <row r="24" spans="1:10" ht="15" customHeight="1" x14ac:dyDescent="0.25">
      <c r="A24" t="s">
        <v>20</v>
      </c>
      <c r="B24" s="9">
        <f>SUMIFS(Calc_Components!$F$2:$F$83,Calc_Components!$A$2:$A$83,B$1,Calc_Components!$C$2:$C$83,"b")</f>
        <v>9</v>
      </c>
      <c r="C24" s="9">
        <f>SUMIFS(Calc_Components!$F$2:$F$83,Calc_Components!$A$2:$A$83,C$1,Calc_Components!$C$2:$C$83,"b")</f>
        <v>7</v>
      </c>
      <c r="D24" s="9">
        <f>SUMIFS(Calc_Components!$F$2:$F$83,Calc_Components!$A$2:$A$83,D$1,Calc_Components!$C$2:$C$83,"b")</f>
        <v>7</v>
      </c>
      <c r="E24" s="9">
        <f>SUMIFS(Calc_Components!$F$2:$F$83,Calc_Components!$A$2:$A$83,E$1,Calc_Components!$C$2:$C$83,"b")</f>
        <v>5</v>
      </c>
      <c r="F24" s="9">
        <f>SUMIFS(Calc_Components!$F$2:$F$83,Calc_Components!$A$2:$A$83,F$1,Calc_Components!$C$2:$C$83,"b")</f>
        <v>5</v>
      </c>
      <c r="G24" s="9">
        <f>SUMIFS(Calc_Components!$F$2:$F$83,Calc_Components!$A$2:$A$83,G$1,Calc_Components!$C$2:$C$83,"b")</f>
        <v>10</v>
      </c>
      <c r="H24" s="9">
        <f>SUMIFS(Calc_Components!$F$2:$F$83,Calc_Components!$A$2:$A$83,H$1,Calc_Components!$C$2:$C$83,"b")</f>
        <v>6</v>
      </c>
      <c r="I24" s="9">
        <f>SUMIFS(Calc_Components!$F$2:$F$83,Calc_Components!$A$2:$A$83,I$1,Calc_Components!$C$2:$C$83,"b")</f>
        <v>8</v>
      </c>
      <c r="J24" t="s">
        <v>47</v>
      </c>
    </row>
    <row r="25" spans="1:10" ht="15" customHeight="1" x14ac:dyDescent="0.25">
      <c r="A25" t="s">
        <v>21</v>
      </c>
      <c r="B25" s="9">
        <f>SUMIFS(Calc_Components!$H$2:$H$83,Calc_Components!$A$2:$A$83,B$1,Calc_Components!$C$2:$C$83,"b")</f>
        <v>10</v>
      </c>
      <c r="C25" s="9">
        <f>SUMIFS(Calc_Components!$H$2:$H$83,Calc_Components!$A$2:$A$83,C$1,Calc_Components!$C$2:$C$83,"b")</f>
        <v>8</v>
      </c>
      <c r="D25" s="9">
        <f>SUMIFS(Calc_Components!$H$2:$H$83,Calc_Components!$A$2:$A$83,D$1,Calc_Components!$C$2:$C$83,"b")</f>
        <v>5</v>
      </c>
      <c r="E25" s="9">
        <f>SUMIFS(Calc_Components!$H$2:$H$83,Calc_Components!$A$2:$A$83,E$1,Calc_Components!$C$2:$C$83,"b")</f>
        <v>5</v>
      </c>
      <c r="F25" s="9">
        <f>SUMIFS(Calc_Components!$H$2:$H$83,Calc_Components!$A$2:$A$83,F$1,Calc_Components!$C$2:$C$83,"b")</f>
        <v>6</v>
      </c>
      <c r="G25" s="9">
        <f>SUMIFS(Calc_Components!$H$2:$H$83,Calc_Components!$A$2:$A$83,G$1,Calc_Components!$C$2:$C$83,"b")</f>
        <v>10</v>
      </c>
      <c r="H25" s="9">
        <f>SUMIFS(Calc_Components!$H$2:$H$83,Calc_Components!$A$2:$A$83,H$1,Calc_Components!$C$2:$C$83,"b")</f>
        <v>10</v>
      </c>
      <c r="I25" s="9">
        <f>SUMIFS(Calc_Components!$H$2:$H$83,Calc_Components!$A$2:$A$83,I$1,Calc_Components!$C$2:$C$83,"b")</f>
        <v>10</v>
      </c>
      <c r="J25" t="s">
        <v>47</v>
      </c>
    </row>
    <row r="26" spans="1:10" ht="15" customHeight="1" x14ac:dyDescent="0.25">
      <c r="A26" t="s">
        <v>22</v>
      </c>
      <c r="B26" s="10">
        <f t="shared" ref="B26:I26" si="3">IF(B25=0,"",(B24-B25)/B25)</f>
        <v>-0.1</v>
      </c>
      <c r="C26" s="10">
        <f t="shared" si="3"/>
        <v>-0.125</v>
      </c>
      <c r="D26" s="10">
        <f t="shared" si="3"/>
        <v>0.4</v>
      </c>
      <c r="E26" s="10">
        <f t="shared" si="3"/>
        <v>0</v>
      </c>
      <c r="F26" s="10">
        <f t="shared" si="3"/>
        <v>-0.16666666666666666</v>
      </c>
      <c r="G26" s="10">
        <f t="shared" si="3"/>
        <v>0</v>
      </c>
      <c r="H26" s="10">
        <f t="shared" si="3"/>
        <v>-0.4</v>
      </c>
      <c r="I26" s="10">
        <f t="shared" si="3"/>
        <v>-0.2</v>
      </c>
      <c r="J26" t="s">
        <v>39</v>
      </c>
    </row>
    <row r="27" spans="1:10" ht="15" customHeight="1" x14ac:dyDescent="0.25">
      <c r="A27" s="1" t="s">
        <v>49</v>
      </c>
    </row>
    <row r="28" spans="1:10" ht="15" customHeight="1" x14ac:dyDescent="0.25">
      <c r="A28" s="4" t="s">
        <v>50</v>
      </c>
      <c r="B28" s="4" t="str">
        <f t="shared" ref="B28:I28" si="4">IF(AND(ABS(B14)&lt;=0.2,ABS(B19)&lt;=20,ABS(B23)&lt;=0.2),"Pass","Fail")</f>
        <v>Pass</v>
      </c>
      <c r="C28" s="4" t="str">
        <f t="shared" si="4"/>
        <v>Pass</v>
      </c>
      <c r="D28" s="4" t="str">
        <f t="shared" si="4"/>
        <v>Fail</v>
      </c>
      <c r="E28" s="4" t="str">
        <f t="shared" si="4"/>
        <v>Pass</v>
      </c>
      <c r="F28" s="4" t="str">
        <f t="shared" si="4"/>
        <v>Pass</v>
      </c>
      <c r="G28" s="4" t="str">
        <f t="shared" si="4"/>
        <v>Pass</v>
      </c>
      <c r="H28" s="4" t="str">
        <f t="shared" si="4"/>
        <v>Pass</v>
      </c>
      <c r="I28" s="4" t="str">
        <f t="shared" si="4"/>
        <v>Pass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7DB1"/>
  </sheetPr>
  <dimension ref="A1:E9"/>
  <sheetViews>
    <sheetView zoomScale="145" zoomScaleNormal="145" workbookViewId="0">
      <selection activeCell="B2" sqref="B2"/>
    </sheetView>
  </sheetViews>
  <sheetFormatPr baseColWidth="10" defaultColWidth="9.140625" defaultRowHeight="15" x14ac:dyDescent="0.25"/>
  <cols>
    <col min="1" max="2" width="12" customWidth="1"/>
    <col min="3" max="3" width="35.85546875" customWidth="1"/>
    <col min="4" max="4" width="28.85546875" bestFit="1" customWidth="1"/>
    <col min="5" max="5" width="20" customWidth="1"/>
  </cols>
  <sheetData>
    <row r="1" spans="1:5" ht="15" customHeight="1" x14ac:dyDescent="0.25">
      <c r="A1" s="11" t="s">
        <v>55</v>
      </c>
      <c r="B1" s="11" t="s">
        <v>10</v>
      </c>
      <c r="C1" s="11" t="s">
        <v>25</v>
      </c>
      <c r="D1" s="11" t="s">
        <v>56</v>
      </c>
      <c r="E1" s="11" t="s">
        <v>57</v>
      </c>
    </row>
    <row r="2" spans="1:5" ht="15" customHeight="1" x14ac:dyDescent="0.25">
      <c r="A2" t="s">
        <v>1</v>
      </c>
      <c r="B2" t="s">
        <v>58</v>
      </c>
      <c r="C2" t="s">
        <v>59</v>
      </c>
      <c r="D2" t="s">
        <v>1438</v>
      </c>
      <c r="E2" s="12">
        <v>45664</v>
      </c>
    </row>
    <row r="3" spans="1:5" ht="15" customHeight="1" x14ac:dyDescent="0.25">
      <c r="A3" t="s">
        <v>2</v>
      </c>
      <c r="B3" t="s">
        <v>60</v>
      </c>
      <c r="C3" t="s">
        <v>61</v>
      </c>
      <c r="D3" t="s">
        <v>1439</v>
      </c>
      <c r="E3" s="12">
        <v>45660</v>
      </c>
    </row>
    <row r="4" spans="1:5" ht="15" customHeight="1" x14ac:dyDescent="0.25">
      <c r="A4" t="s">
        <v>3</v>
      </c>
      <c r="B4" t="s">
        <v>62</v>
      </c>
      <c r="C4" t="s">
        <v>63</v>
      </c>
      <c r="D4" t="s">
        <v>1440</v>
      </c>
      <c r="E4" s="12">
        <v>45670</v>
      </c>
    </row>
    <row r="5" spans="1:5" ht="15" customHeight="1" x14ac:dyDescent="0.25">
      <c r="A5" t="s">
        <v>4</v>
      </c>
      <c r="B5" t="s">
        <v>62</v>
      </c>
      <c r="C5" t="s">
        <v>64</v>
      </c>
      <c r="D5" t="s">
        <v>1441</v>
      </c>
      <c r="E5" s="12">
        <v>45670</v>
      </c>
    </row>
    <row r="6" spans="1:5" ht="15" customHeight="1" x14ac:dyDescent="0.25">
      <c r="A6" t="s">
        <v>5</v>
      </c>
      <c r="B6" t="s">
        <v>65</v>
      </c>
      <c r="C6" t="s">
        <v>66</v>
      </c>
      <c r="D6" t="s">
        <v>1442</v>
      </c>
      <c r="E6" s="12">
        <v>45665</v>
      </c>
    </row>
    <row r="7" spans="1:5" ht="15" customHeight="1" x14ac:dyDescent="0.25">
      <c r="A7" t="s">
        <v>6</v>
      </c>
      <c r="B7" t="s">
        <v>67</v>
      </c>
      <c r="C7" t="s">
        <v>68</v>
      </c>
      <c r="D7" t="s">
        <v>1443</v>
      </c>
      <c r="E7" s="12">
        <v>45666</v>
      </c>
    </row>
    <row r="8" spans="1:5" ht="15" customHeight="1" x14ac:dyDescent="0.25">
      <c r="A8" t="s">
        <v>7</v>
      </c>
      <c r="B8" t="s">
        <v>69</v>
      </c>
      <c r="C8" t="s">
        <v>70</v>
      </c>
      <c r="D8" t="s">
        <v>1444</v>
      </c>
      <c r="E8" s="12">
        <v>45667</v>
      </c>
    </row>
    <row r="9" spans="1:5" ht="15" customHeight="1" x14ac:dyDescent="0.25">
      <c r="A9" t="s">
        <v>8</v>
      </c>
      <c r="B9" t="s">
        <v>69</v>
      </c>
      <c r="C9" t="s">
        <v>71</v>
      </c>
      <c r="D9" t="s">
        <v>1445</v>
      </c>
      <c r="E9" s="12">
        <v>45667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6BB0"/>
  </sheetPr>
  <dimension ref="A1:E7"/>
  <sheetViews>
    <sheetView zoomScale="160" zoomScaleNormal="160" workbookViewId="0">
      <selection activeCell="E1" sqref="E1:E1048576"/>
    </sheetView>
  </sheetViews>
  <sheetFormatPr baseColWidth="10" defaultColWidth="9.140625" defaultRowHeight="15" x14ac:dyDescent="0.25"/>
  <cols>
    <col min="1" max="1" width="12" customWidth="1"/>
    <col min="2" max="2" width="17" customWidth="1"/>
    <col min="3" max="4" width="22" customWidth="1"/>
    <col min="5" max="5" width="12" customWidth="1"/>
  </cols>
  <sheetData>
    <row r="1" spans="1:5" ht="15" customHeight="1" x14ac:dyDescent="0.25">
      <c r="A1" s="13" t="s">
        <v>10</v>
      </c>
      <c r="B1" s="13" t="s">
        <v>18</v>
      </c>
      <c r="C1" s="13" t="s">
        <v>72</v>
      </c>
      <c r="D1" s="13" t="s">
        <v>73</v>
      </c>
      <c r="E1" s="14"/>
    </row>
    <row r="2" spans="1:5" ht="15" customHeight="1" x14ac:dyDescent="0.25">
      <c r="A2" t="s">
        <v>58</v>
      </c>
      <c r="B2">
        <f>SUMIFS(Factory_Components!$H$2:$H$62,Factory_Components!$A$2:$A$62,A2,Factory_Components!$B$2:$B$62,"a")</f>
        <v>72</v>
      </c>
      <c r="C2" s="3">
        <f>AVERAGEIFS(Factory_Stations!$F$2:$F$28,Factory_Stations!$A$2:$A$28,A2)</f>
        <v>55.656732891832199</v>
      </c>
      <c r="D2">
        <f>COUNTIFS(Factory_PO!$A$2:$A$61,A2,Factory_PO!$D$2:$D$61,"&lt;&gt;")</f>
        <v>10</v>
      </c>
    </row>
    <row r="3" spans="1:5" ht="15" customHeight="1" x14ac:dyDescent="0.25">
      <c r="A3" t="s">
        <v>60</v>
      </c>
      <c r="B3">
        <f>SUMIFS(Factory_Components!$H$2:$H$62,Factory_Components!$A$2:$A$62,A3,Factory_Components!$B$2:$B$62,"a")</f>
        <v>110</v>
      </c>
      <c r="C3" s="3">
        <f>AVERAGEIFS(Factory_Stations!$F$2:$F$28,Factory_Stations!$A$2:$A$28,A3)</f>
        <v>90.500827814569561</v>
      </c>
      <c r="D3">
        <f>COUNTIFS(Factory_PO!$A$2:$A$61,A3,Factory_PO!$D$2:$D$61,"&lt;&gt;")</f>
        <v>8</v>
      </c>
    </row>
    <row r="4" spans="1:5" ht="15" customHeight="1" x14ac:dyDescent="0.25">
      <c r="A4" t="s">
        <v>62</v>
      </c>
      <c r="B4">
        <f>SUMIFS(Factory_Components!$H$2:$H$62,Factory_Components!$A$2:$A$62,A4,Factory_Components!$B$2:$B$62,"a")</f>
        <v>118</v>
      </c>
      <c r="C4" s="3">
        <f>AVERAGEIFS(Factory_Stations!$F$2:$F$28,Factory_Stations!$A$2:$A$28,A4)</f>
        <v>60.310012568077084</v>
      </c>
      <c r="D4">
        <f>COUNTIFS(Factory_PO!$A$2:$A$61,A4,Factory_PO!$D$2:$D$61,"&lt;&gt;")</f>
        <v>5</v>
      </c>
    </row>
    <row r="5" spans="1:5" ht="15" customHeight="1" x14ac:dyDescent="0.25">
      <c r="A5" t="s">
        <v>65</v>
      </c>
      <c r="B5">
        <f>SUMIFS(Factory_Components!$H$2:$H$62,Factory_Components!$A$2:$A$62,A5,Factory_Components!$B$2:$B$62,"a")</f>
        <v>103</v>
      </c>
      <c r="C5" s="3">
        <f>AVERAGEIFS(Factory_Stations!$F$2:$F$28,Factory_Stations!$A$2:$A$28,A5)</f>
        <v>70.808614384396606</v>
      </c>
      <c r="D5">
        <f>COUNTIFS(Factory_PO!$A$2:$A$61,A5,Factory_PO!$D$2:$D$61,"&lt;&gt;")</f>
        <v>6</v>
      </c>
    </row>
    <row r="6" spans="1:5" ht="15" customHeight="1" x14ac:dyDescent="0.25">
      <c r="A6" t="s">
        <v>67</v>
      </c>
      <c r="B6">
        <f>SUMIFS(Factory_Components!$H$2:$H$62,Factory_Components!$A$2:$A$62,A6,Factory_Components!$B$2:$B$62,"a")</f>
        <v>107</v>
      </c>
      <c r="C6" s="3">
        <f>AVERAGEIFS(Factory_Stations!$F$2:$F$28,Factory_Stations!$A$2:$A$28,A6)</f>
        <v>69.496738117427782</v>
      </c>
      <c r="D6">
        <f>COUNTIFS(Factory_PO!$A$2:$A$61,A6,Factory_PO!$D$2:$D$61,"&lt;&gt;")</f>
        <v>10</v>
      </c>
    </row>
    <row r="7" spans="1:5" ht="15" customHeight="1" x14ac:dyDescent="0.25">
      <c r="A7" t="s">
        <v>69</v>
      </c>
      <c r="B7">
        <f>SUMIFS(Factory_Components!$H$2:$H$62,Factory_Components!$A$2:$A$62,A7,Factory_Components!$B$2:$B$62,"a")</f>
        <v>87</v>
      </c>
      <c r="C7" s="3">
        <f>AVERAGEIFS(Factory_Stations!$F$2:$F$28,Factory_Stations!$A$2:$A$28,A7)</f>
        <v>53.327780091628483</v>
      </c>
      <c r="D7">
        <f>COUNTIFS(Factory_PO!$A$2:$A$61,A7,Factory_PO!$D$2:$D$61,"&lt;&gt;")</f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B7DB1"/>
  </sheetPr>
  <dimension ref="A1:K816"/>
  <sheetViews>
    <sheetView zoomScale="115" zoomScaleNormal="115" workbookViewId="0">
      <pane ySplit="1" topLeftCell="A2" activePane="bottomLeft" state="frozen"/>
      <selection pane="bottomLeft" activeCell="B2" sqref="B2"/>
    </sheetView>
  </sheetViews>
  <sheetFormatPr baseColWidth="10" defaultColWidth="9.140625" defaultRowHeight="15" x14ac:dyDescent="0.25"/>
  <cols>
    <col min="1" max="3" width="12" customWidth="1"/>
    <col min="4" max="5" width="13" customWidth="1"/>
    <col min="6" max="7" width="20" customWidth="1"/>
    <col min="8" max="9" width="12" customWidth="1"/>
    <col min="10" max="10" width="16" customWidth="1"/>
    <col min="11" max="11" width="14" customWidth="1"/>
  </cols>
  <sheetData>
    <row r="1" spans="1:11" ht="15" customHeight="1" x14ac:dyDescent="0.25">
      <c r="A1" s="11" t="s">
        <v>55</v>
      </c>
      <c r="B1" s="11" t="s">
        <v>74</v>
      </c>
      <c r="C1" s="11" t="s">
        <v>75</v>
      </c>
      <c r="D1" s="11" t="s">
        <v>76</v>
      </c>
      <c r="E1" s="11" t="s">
        <v>77</v>
      </c>
      <c r="F1" s="11" t="s">
        <v>78</v>
      </c>
      <c r="G1" s="11" t="s">
        <v>79</v>
      </c>
      <c r="H1" s="11" t="s">
        <v>80</v>
      </c>
      <c r="I1" s="2" t="s">
        <v>81</v>
      </c>
      <c r="J1" s="2" t="s">
        <v>82</v>
      </c>
      <c r="K1" s="2" t="s">
        <v>83</v>
      </c>
    </row>
    <row r="2" spans="1:11" ht="15" customHeight="1" x14ac:dyDescent="0.25">
      <c r="A2" t="s">
        <v>1</v>
      </c>
      <c r="B2">
        <v>1</v>
      </c>
      <c r="C2" t="s">
        <v>84</v>
      </c>
      <c r="D2" t="s">
        <v>85</v>
      </c>
      <c r="E2" t="s">
        <v>86</v>
      </c>
      <c r="F2" s="12">
        <v>45664</v>
      </c>
      <c r="G2" s="12">
        <v>45664.063101851898</v>
      </c>
      <c r="H2" t="str">
        <f t="shared" ref="H2:H65" si="0">MID(E2,8,100)</f>
        <v>BOSP</v>
      </c>
      <c r="I2" t="str">
        <f t="shared" ref="I2:I65" si="1">IF(H2="CORE","CHS",H2)</f>
        <v>BOSP</v>
      </c>
      <c r="J2" s="3">
        <f>(F2-VLOOKUP($A2,Runs!$A$2:$E$9,5,FALSE()))*1440</f>
        <v>0</v>
      </c>
      <c r="K2" s="3">
        <f>(G2-VLOOKUP($A2,Runs!$A$2:$E$9,5,FALSE()))*1440</f>
        <v>90.866666733054444</v>
      </c>
    </row>
    <row r="3" spans="1:11" ht="15" customHeight="1" x14ac:dyDescent="0.25">
      <c r="A3" t="s">
        <v>1</v>
      </c>
      <c r="B3">
        <v>1</v>
      </c>
      <c r="C3" t="s">
        <v>87</v>
      </c>
      <c r="D3" t="s">
        <v>85</v>
      </c>
      <c r="E3" t="s">
        <v>86</v>
      </c>
      <c r="F3" s="12">
        <v>45664</v>
      </c>
      <c r="G3" s="12">
        <v>45664.084398148101</v>
      </c>
      <c r="H3" t="str">
        <f t="shared" si="0"/>
        <v>BOSP</v>
      </c>
      <c r="I3" t="str">
        <f t="shared" si="1"/>
        <v>BOSP</v>
      </c>
      <c r="J3" s="3">
        <f>(F3-VLOOKUP($A3,Runs!$A$2:$E$9,5,FALSE()))*1440</f>
        <v>0</v>
      </c>
      <c r="K3" s="3">
        <f>(G3-VLOOKUP($A3,Runs!$A$2:$E$9,5,FALSE()))*1440</f>
        <v>121.53333326568827</v>
      </c>
    </row>
    <row r="4" spans="1:11" ht="15" customHeight="1" x14ac:dyDescent="0.25">
      <c r="A4" t="s">
        <v>1</v>
      </c>
      <c r="B4">
        <v>1</v>
      </c>
      <c r="C4" t="s">
        <v>88</v>
      </c>
      <c r="D4" t="s">
        <v>85</v>
      </c>
      <c r="E4" t="s">
        <v>89</v>
      </c>
      <c r="F4" s="12">
        <v>45664</v>
      </c>
      <c r="G4" s="12">
        <v>45664.125601851898</v>
      </c>
      <c r="H4" t="str">
        <f t="shared" si="0"/>
        <v>RT</v>
      </c>
      <c r="I4" t="str">
        <f t="shared" si="1"/>
        <v>RT</v>
      </c>
      <c r="J4" s="3">
        <f>(F4-VLOOKUP($A4,Runs!$A$2:$E$9,5,FALSE()))*1440</f>
        <v>0</v>
      </c>
      <c r="K4" s="3">
        <f>(G4-VLOOKUP($A4,Runs!$A$2:$E$9,5,FALSE()))*1440</f>
        <v>180.86666673305444</v>
      </c>
    </row>
    <row r="5" spans="1:11" ht="15" customHeight="1" x14ac:dyDescent="0.25">
      <c r="A5" t="s">
        <v>1</v>
      </c>
      <c r="B5">
        <v>1</v>
      </c>
      <c r="C5" t="s">
        <v>90</v>
      </c>
      <c r="D5" t="s">
        <v>85</v>
      </c>
      <c r="E5" t="s">
        <v>89</v>
      </c>
      <c r="F5" s="12">
        <v>45664</v>
      </c>
      <c r="G5" s="12">
        <v>45664.148194444497</v>
      </c>
      <c r="H5" t="str">
        <f t="shared" si="0"/>
        <v>RT</v>
      </c>
      <c r="I5" t="str">
        <f t="shared" si="1"/>
        <v>RT</v>
      </c>
      <c r="J5" s="3">
        <f>(F5-VLOOKUP($A5,Runs!$A$2:$E$9,5,FALSE()))*1440</f>
        <v>0</v>
      </c>
      <c r="K5" s="3">
        <f>(G5-VLOOKUP($A5,Runs!$A$2:$E$9,5,FALSE()))*1440</f>
        <v>213.400000075344</v>
      </c>
    </row>
    <row r="6" spans="1:11" ht="15" customHeight="1" x14ac:dyDescent="0.25">
      <c r="A6" t="s">
        <v>1</v>
      </c>
      <c r="B6">
        <v>2</v>
      </c>
      <c r="C6" t="s">
        <v>91</v>
      </c>
      <c r="D6" t="s">
        <v>85</v>
      </c>
      <c r="E6" t="s">
        <v>86</v>
      </c>
      <c r="F6" s="12">
        <v>45664.083333333299</v>
      </c>
      <c r="G6" s="12">
        <v>45664.167731481502</v>
      </c>
      <c r="H6" t="str">
        <f t="shared" si="0"/>
        <v>BOSP</v>
      </c>
      <c r="I6" t="str">
        <f t="shared" si="1"/>
        <v>BOSP</v>
      </c>
      <c r="J6" s="3">
        <f>(F6-VLOOKUP($A6,Runs!$A$2:$E$9,5,FALSE()))*1440</f>
        <v>119.99999995110556</v>
      </c>
      <c r="K6" s="3">
        <f>(G6-VLOOKUP($A6,Runs!$A$2:$E$9,5,FALSE()))*1440</f>
        <v>241.53333336347714</v>
      </c>
    </row>
    <row r="7" spans="1:11" ht="15" customHeight="1" x14ac:dyDescent="0.25">
      <c r="A7" t="s">
        <v>1</v>
      </c>
      <c r="B7">
        <v>2</v>
      </c>
      <c r="C7" t="s">
        <v>92</v>
      </c>
      <c r="D7" t="s">
        <v>85</v>
      </c>
      <c r="E7" t="s">
        <v>86</v>
      </c>
      <c r="F7" s="12">
        <v>45664.083333333299</v>
      </c>
      <c r="G7" s="12">
        <v>45664.208935185197</v>
      </c>
      <c r="H7" t="str">
        <f t="shared" si="0"/>
        <v>BOSP</v>
      </c>
      <c r="I7" t="str">
        <f t="shared" si="1"/>
        <v>BOSP</v>
      </c>
      <c r="J7" s="3">
        <f>(F7-VLOOKUP($A7,Runs!$A$2:$E$9,5,FALSE()))*1440</f>
        <v>119.99999995110556</v>
      </c>
      <c r="K7" s="3">
        <f>(G7-VLOOKUP($A7,Runs!$A$2:$E$9,5,FALSE()))*1440</f>
        <v>300.86666668416001</v>
      </c>
    </row>
    <row r="8" spans="1:11" ht="15" customHeight="1" x14ac:dyDescent="0.25">
      <c r="A8" t="s">
        <v>1</v>
      </c>
      <c r="B8">
        <v>2</v>
      </c>
      <c r="C8" t="s">
        <v>93</v>
      </c>
      <c r="D8" t="s">
        <v>85</v>
      </c>
      <c r="E8" t="s">
        <v>89</v>
      </c>
      <c r="F8" s="12">
        <v>45664.083333333299</v>
      </c>
      <c r="G8" s="12">
        <v>45664.230231481502</v>
      </c>
      <c r="H8" t="str">
        <f t="shared" si="0"/>
        <v>RT</v>
      </c>
      <c r="I8" t="str">
        <f t="shared" si="1"/>
        <v>RT</v>
      </c>
      <c r="J8" s="3">
        <f>(F8-VLOOKUP($A8,Runs!$A$2:$E$9,5,FALSE()))*1440</f>
        <v>119.99999995110556</v>
      </c>
      <c r="K8" s="3">
        <f>(G8-VLOOKUP($A8,Runs!$A$2:$E$9,5,FALSE()))*1440</f>
        <v>331.53333336347714</v>
      </c>
    </row>
    <row r="9" spans="1:11" ht="15" customHeight="1" x14ac:dyDescent="0.25">
      <c r="A9" t="s">
        <v>1</v>
      </c>
      <c r="B9">
        <v>1</v>
      </c>
      <c r="C9" t="s">
        <v>94</v>
      </c>
      <c r="D9" t="s">
        <v>85</v>
      </c>
      <c r="E9" t="s">
        <v>95</v>
      </c>
      <c r="F9" s="12">
        <v>45664</v>
      </c>
      <c r="G9" s="12">
        <v>45664.252361111103</v>
      </c>
      <c r="H9" t="str">
        <f t="shared" si="0"/>
        <v>CORE</v>
      </c>
      <c r="I9" t="str">
        <f t="shared" si="1"/>
        <v>CHS</v>
      </c>
      <c r="J9" s="3">
        <f>(F9-VLOOKUP($A9,Runs!$A$2:$E$9,5,FALSE()))*1440</f>
        <v>0</v>
      </c>
      <c r="K9" s="3">
        <f>(G9-VLOOKUP($A9,Runs!$A$2:$E$9,5,FALSE()))*1440</f>
        <v>363.3999999880325</v>
      </c>
    </row>
    <row r="10" spans="1:11" ht="15" customHeight="1" x14ac:dyDescent="0.25">
      <c r="A10" t="s">
        <v>1</v>
      </c>
      <c r="B10">
        <v>2</v>
      </c>
      <c r="C10" t="s">
        <v>96</v>
      </c>
      <c r="D10" t="s">
        <v>85</v>
      </c>
      <c r="E10" t="s">
        <v>89</v>
      </c>
      <c r="F10" s="12">
        <v>45664.083333333299</v>
      </c>
      <c r="G10" s="12">
        <v>45664.273194444497</v>
      </c>
      <c r="H10" t="str">
        <f t="shared" si="0"/>
        <v>RT</v>
      </c>
      <c r="I10" t="str">
        <f t="shared" si="1"/>
        <v>RT</v>
      </c>
      <c r="J10" s="3">
        <f>(F10-VLOOKUP($A10,Runs!$A$2:$E$9,5,FALSE()))*1440</f>
        <v>119.99999995110556</v>
      </c>
      <c r="K10" s="3">
        <f>(G10-VLOOKUP($A10,Runs!$A$2:$E$9,5,FALSE()))*1440</f>
        <v>393.400000075344</v>
      </c>
    </row>
    <row r="11" spans="1:11" ht="15" customHeight="1" x14ac:dyDescent="0.25">
      <c r="A11" t="s">
        <v>1</v>
      </c>
      <c r="B11">
        <v>3</v>
      </c>
      <c r="C11" t="s">
        <v>97</v>
      </c>
      <c r="D11" t="s">
        <v>85</v>
      </c>
      <c r="E11" t="s">
        <v>86</v>
      </c>
      <c r="F11" s="12">
        <v>45664.166666666701</v>
      </c>
      <c r="G11" s="12">
        <v>45664.292268518497</v>
      </c>
      <c r="H11" t="str">
        <f t="shared" si="0"/>
        <v>BOSP</v>
      </c>
      <c r="I11" t="str">
        <f t="shared" si="1"/>
        <v>BOSP</v>
      </c>
      <c r="J11" s="3">
        <f>(F11-VLOOKUP($A11,Runs!$A$2:$E$9,5,FALSE()))*1440</f>
        <v>240.00000004889444</v>
      </c>
      <c r="K11" s="3">
        <f>(G11-VLOOKUP($A11,Runs!$A$2:$E$9,5,FALSE()))*1440</f>
        <v>420.86666663526557</v>
      </c>
    </row>
    <row r="12" spans="1:11" ht="15" customHeight="1" x14ac:dyDescent="0.25">
      <c r="A12" t="s">
        <v>1</v>
      </c>
      <c r="B12">
        <v>3</v>
      </c>
      <c r="C12" t="s">
        <v>98</v>
      </c>
      <c r="D12" t="s">
        <v>85</v>
      </c>
      <c r="E12" t="s">
        <v>86</v>
      </c>
      <c r="F12" s="12">
        <v>45664.166666666701</v>
      </c>
      <c r="G12" s="12">
        <v>45664.313564814802</v>
      </c>
      <c r="H12" t="str">
        <f t="shared" si="0"/>
        <v>BOSP</v>
      </c>
      <c r="I12" t="str">
        <f t="shared" si="1"/>
        <v>BOSP</v>
      </c>
      <c r="J12" s="3">
        <f>(F12-VLOOKUP($A12,Runs!$A$2:$E$9,5,FALSE()))*1440</f>
        <v>240.00000004889444</v>
      </c>
      <c r="K12" s="3">
        <f>(G12-VLOOKUP($A12,Runs!$A$2:$E$9,5,FALSE()))*1440</f>
        <v>451.53333331458271</v>
      </c>
    </row>
    <row r="13" spans="1:11" ht="15" customHeight="1" x14ac:dyDescent="0.25">
      <c r="A13" t="s">
        <v>1</v>
      </c>
      <c r="B13">
        <v>1</v>
      </c>
      <c r="C13" t="s">
        <v>99</v>
      </c>
      <c r="D13" t="s">
        <v>85</v>
      </c>
      <c r="E13" t="s">
        <v>100</v>
      </c>
      <c r="F13" s="12">
        <v>45664</v>
      </c>
      <c r="G13" s="12">
        <v>45664.314629629604</v>
      </c>
      <c r="H13" t="str">
        <f t="shared" si="0"/>
        <v>BSA</v>
      </c>
      <c r="I13" t="str">
        <f t="shared" si="1"/>
        <v>BSA</v>
      </c>
      <c r="J13" s="3">
        <f>(F13-VLOOKUP($A13,Runs!$A$2:$E$9,5,FALSE()))*1440</f>
        <v>0</v>
      </c>
      <c r="K13" s="3">
        <f>(G13-VLOOKUP($A13,Runs!$A$2:$E$9,5,FALSE()))*1440</f>
        <v>453.06666662916541</v>
      </c>
    </row>
    <row r="14" spans="1:11" ht="15" customHeight="1" x14ac:dyDescent="0.25">
      <c r="A14" t="s">
        <v>1</v>
      </c>
      <c r="B14">
        <v>3</v>
      </c>
      <c r="C14" t="s">
        <v>101</v>
      </c>
      <c r="D14" t="s">
        <v>85</v>
      </c>
      <c r="E14" t="s">
        <v>89</v>
      </c>
      <c r="F14" s="12">
        <v>45664.166666666701</v>
      </c>
      <c r="G14" s="12">
        <v>45664.355231481502</v>
      </c>
      <c r="H14" t="str">
        <f t="shared" si="0"/>
        <v>RT</v>
      </c>
      <c r="I14" t="str">
        <f t="shared" si="1"/>
        <v>RT</v>
      </c>
      <c r="J14" s="3">
        <f>(F14-VLOOKUP($A14,Runs!$A$2:$E$9,5,FALSE()))*1440</f>
        <v>240.00000004889444</v>
      </c>
      <c r="K14" s="3">
        <f>(G14-VLOOKUP($A14,Runs!$A$2:$E$9,5,FALSE()))*1440</f>
        <v>511.53333336347714</v>
      </c>
    </row>
    <row r="15" spans="1:11" ht="15" customHeight="1" x14ac:dyDescent="0.25">
      <c r="A15" t="s">
        <v>1</v>
      </c>
      <c r="B15">
        <v>3</v>
      </c>
      <c r="C15" t="s">
        <v>102</v>
      </c>
      <c r="D15" t="s">
        <v>85</v>
      </c>
      <c r="E15" t="s">
        <v>89</v>
      </c>
      <c r="F15" s="12">
        <v>45664.166666666701</v>
      </c>
      <c r="G15" s="12">
        <v>45664.377361111103</v>
      </c>
      <c r="H15" t="str">
        <f t="shared" si="0"/>
        <v>RT</v>
      </c>
      <c r="I15" t="str">
        <f t="shared" si="1"/>
        <v>RT</v>
      </c>
      <c r="J15" s="3">
        <f>(F15-VLOOKUP($A15,Runs!$A$2:$E$9,5,FALSE()))*1440</f>
        <v>240.00000004889444</v>
      </c>
      <c r="K15" s="3">
        <f>(G15-VLOOKUP($A15,Runs!$A$2:$E$9,5,FALSE()))*1440</f>
        <v>543.3999999880325</v>
      </c>
    </row>
    <row r="16" spans="1:11" ht="15" customHeight="1" x14ac:dyDescent="0.25">
      <c r="A16" t="s">
        <v>1</v>
      </c>
      <c r="B16">
        <v>2</v>
      </c>
      <c r="C16" t="s">
        <v>103</v>
      </c>
      <c r="D16" t="s">
        <v>85</v>
      </c>
      <c r="E16" t="s">
        <v>95</v>
      </c>
      <c r="F16" s="12">
        <v>45664.083333333299</v>
      </c>
      <c r="G16" s="12">
        <v>45664.379722222198</v>
      </c>
      <c r="H16" t="str">
        <f t="shared" si="0"/>
        <v>CORE</v>
      </c>
      <c r="I16" t="str">
        <f t="shared" si="1"/>
        <v>CHS</v>
      </c>
      <c r="J16" s="3">
        <f>(F16-VLOOKUP($A16,Runs!$A$2:$E$9,5,FALSE()))*1440</f>
        <v>119.99999995110556</v>
      </c>
      <c r="K16" s="3">
        <f>(G16-VLOOKUP($A16,Runs!$A$2:$E$9,5,FALSE()))*1440</f>
        <v>546.79999996558763</v>
      </c>
    </row>
    <row r="17" spans="1:11" ht="15" customHeight="1" x14ac:dyDescent="0.25">
      <c r="A17" t="s">
        <v>1</v>
      </c>
      <c r="B17">
        <v>1</v>
      </c>
      <c r="C17" t="s">
        <v>104</v>
      </c>
      <c r="D17" t="s">
        <v>85</v>
      </c>
      <c r="E17" t="s">
        <v>100</v>
      </c>
      <c r="F17" s="12">
        <v>45664</v>
      </c>
      <c r="G17" s="12">
        <v>45664.380787037</v>
      </c>
      <c r="H17" t="str">
        <f t="shared" si="0"/>
        <v>BSA</v>
      </c>
      <c r="I17" t="str">
        <f t="shared" si="1"/>
        <v>BSA</v>
      </c>
      <c r="J17" s="3">
        <f>(F17-VLOOKUP($A17,Runs!$A$2:$E$9,5,FALSE()))*1440</f>
        <v>0</v>
      </c>
      <c r="K17" s="3">
        <f>(G17-VLOOKUP($A17,Runs!$A$2:$E$9,5,FALSE()))*1440</f>
        <v>548.33333328017034</v>
      </c>
    </row>
    <row r="18" spans="1:11" ht="15" customHeight="1" x14ac:dyDescent="0.25">
      <c r="A18" t="s">
        <v>1</v>
      </c>
      <c r="B18">
        <v>1</v>
      </c>
      <c r="C18" t="s">
        <v>105</v>
      </c>
      <c r="D18" t="s">
        <v>85</v>
      </c>
      <c r="E18" t="s">
        <v>106</v>
      </c>
      <c r="F18" s="12">
        <v>45664</v>
      </c>
      <c r="G18" s="12">
        <v>45664.396898148101</v>
      </c>
      <c r="H18" t="str">
        <f t="shared" si="0"/>
        <v>RAX_RD</v>
      </c>
      <c r="I18" t="str">
        <f t="shared" si="1"/>
        <v>RAX_RD</v>
      </c>
      <c r="J18" s="3">
        <f>(F18-VLOOKUP($A18,Runs!$A$2:$E$9,5,FALSE()))*1440</f>
        <v>0</v>
      </c>
      <c r="K18" s="3">
        <f>(G18-VLOOKUP($A18,Runs!$A$2:$E$9,5,FALSE()))*1440</f>
        <v>571.53333326568827</v>
      </c>
    </row>
    <row r="19" spans="1:11" ht="15" customHeight="1" x14ac:dyDescent="0.25">
      <c r="A19" t="s">
        <v>1</v>
      </c>
      <c r="B19">
        <v>4</v>
      </c>
      <c r="C19" t="s">
        <v>107</v>
      </c>
      <c r="D19" t="s">
        <v>85</v>
      </c>
      <c r="E19" t="s">
        <v>108</v>
      </c>
      <c r="F19" s="12">
        <v>45664.25</v>
      </c>
      <c r="G19" s="12">
        <v>45664.417268518497</v>
      </c>
      <c r="H19" t="str">
        <f t="shared" si="0"/>
        <v>BOSP</v>
      </c>
      <c r="I19" t="str">
        <f t="shared" si="1"/>
        <v>BOSP</v>
      </c>
      <c r="J19" s="3">
        <f>(F19-VLOOKUP($A19,Runs!$A$2:$E$9,5,FALSE()))*1440</f>
        <v>360</v>
      </c>
      <c r="K19" s="3">
        <f>(G19-VLOOKUP($A19,Runs!$A$2:$E$9,5,FALSE()))*1440</f>
        <v>600.86666663526557</v>
      </c>
    </row>
    <row r="20" spans="1:11" ht="15" customHeight="1" x14ac:dyDescent="0.25">
      <c r="A20" t="s">
        <v>1</v>
      </c>
      <c r="B20">
        <v>4</v>
      </c>
      <c r="C20" t="s">
        <v>109</v>
      </c>
      <c r="D20" t="s">
        <v>85</v>
      </c>
      <c r="E20" t="s">
        <v>108</v>
      </c>
      <c r="F20" s="12">
        <v>45664.25</v>
      </c>
      <c r="G20" s="12">
        <v>45664.438564814802</v>
      </c>
      <c r="H20" t="str">
        <f t="shared" si="0"/>
        <v>BOSP</v>
      </c>
      <c r="I20" t="str">
        <f t="shared" si="1"/>
        <v>BOSP</v>
      </c>
      <c r="J20" s="3">
        <f>(F20-VLOOKUP($A20,Runs!$A$2:$E$9,5,FALSE()))*1440</f>
        <v>360</v>
      </c>
      <c r="K20" s="3">
        <f>(G20-VLOOKUP($A20,Runs!$A$2:$E$9,5,FALSE()))*1440</f>
        <v>631.53333331458271</v>
      </c>
    </row>
    <row r="21" spans="1:11" ht="15" customHeight="1" x14ac:dyDescent="0.25">
      <c r="A21" t="s">
        <v>1</v>
      </c>
      <c r="B21">
        <v>2</v>
      </c>
      <c r="C21" t="s">
        <v>110</v>
      </c>
      <c r="D21" t="s">
        <v>85</v>
      </c>
      <c r="E21" t="s">
        <v>100</v>
      </c>
      <c r="F21" s="12">
        <v>45664.083333333299</v>
      </c>
      <c r="G21" s="12">
        <v>45664.439629629604</v>
      </c>
      <c r="H21" t="str">
        <f t="shared" si="0"/>
        <v>BSA</v>
      </c>
      <c r="I21" t="str">
        <f t="shared" si="1"/>
        <v>BSA</v>
      </c>
      <c r="J21" s="3">
        <f>(F21-VLOOKUP($A21,Runs!$A$2:$E$9,5,FALSE()))*1440</f>
        <v>119.99999995110556</v>
      </c>
      <c r="K21" s="3">
        <f>(G21-VLOOKUP($A21,Runs!$A$2:$E$9,5,FALSE()))*1440</f>
        <v>633.06666662916541</v>
      </c>
    </row>
    <row r="22" spans="1:11" ht="15" customHeight="1" x14ac:dyDescent="0.25">
      <c r="A22" t="s">
        <v>1</v>
      </c>
      <c r="B22">
        <v>3</v>
      </c>
      <c r="C22" t="s">
        <v>111</v>
      </c>
      <c r="D22" t="s">
        <v>85</v>
      </c>
      <c r="E22" t="s">
        <v>95</v>
      </c>
      <c r="F22" s="12">
        <v>45664.166666666701</v>
      </c>
      <c r="G22" s="12">
        <v>45664.481643518498</v>
      </c>
      <c r="H22" t="str">
        <f t="shared" si="0"/>
        <v>CORE</v>
      </c>
      <c r="I22" t="str">
        <f t="shared" si="1"/>
        <v>CHS</v>
      </c>
      <c r="J22" s="3">
        <f>(F22-VLOOKUP($A22,Runs!$A$2:$E$9,5,FALSE()))*1440</f>
        <v>240.00000004889444</v>
      </c>
      <c r="K22" s="3">
        <f>(G22-VLOOKUP($A22,Runs!$A$2:$E$9,5,FALSE()))*1440</f>
        <v>693.56666663778014</v>
      </c>
    </row>
    <row r="23" spans="1:11" ht="15" customHeight="1" x14ac:dyDescent="0.25">
      <c r="A23" t="s">
        <v>1</v>
      </c>
      <c r="B23">
        <v>2</v>
      </c>
      <c r="C23" t="s">
        <v>112</v>
      </c>
      <c r="D23" t="s">
        <v>85</v>
      </c>
      <c r="E23" t="s">
        <v>100</v>
      </c>
      <c r="F23" s="12">
        <v>45664.083333333299</v>
      </c>
      <c r="G23" s="12">
        <v>45664.501064814802</v>
      </c>
      <c r="H23" t="str">
        <f t="shared" si="0"/>
        <v>BSA</v>
      </c>
      <c r="I23" t="str">
        <f t="shared" si="1"/>
        <v>BSA</v>
      </c>
      <c r="J23" s="3">
        <f>(F23-VLOOKUP($A23,Runs!$A$2:$E$9,5,FALSE()))*1440</f>
        <v>119.99999995110556</v>
      </c>
      <c r="K23" s="3">
        <f>(G23-VLOOKUP($A23,Runs!$A$2:$E$9,5,FALSE()))*1440</f>
        <v>721.53333331458271</v>
      </c>
    </row>
    <row r="24" spans="1:11" ht="15" customHeight="1" x14ac:dyDescent="0.25">
      <c r="A24" t="s">
        <v>1</v>
      </c>
      <c r="B24">
        <v>4</v>
      </c>
      <c r="C24" t="s">
        <v>113</v>
      </c>
      <c r="D24" t="s">
        <v>85</v>
      </c>
      <c r="E24" t="s">
        <v>114</v>
      </c>
      <c r="F24" s="12">
        <v>45664.25</v>
      </c>
      <c r="G24" s="12">
        <v>45664.521898148101</v>
      </c>
      <c r="H24" t="str">
        <f t="shared" si="0"/>
        <v>BAT</v>
      </c>
      <c r="I24" t="str">
        <f t="shared" si="1"/>
        <v>BAT</v>
      </c>
      <c r="J24" s="3">
        <f>(F24-VLOOKUP($A24,Runs!$A$2:$E$9,5,FALSE()))*1440</f>
        <v>360</v>
      </c>
      <c r="K24" s="3">
        <f>(G24-VLOOKUP($A24,Runs!$A$2:$E$9,5,FALSE()))*1440</f>
        <v>751.53333326568827</v>
      </c>
    </row>
    <row r="25" spans="1:11" ht="15" customHeight="1" x14ac:dyDescent="0.25">
      <c r="A25" t="s">
        <v>1</v>
      </c>
      <c r="B25">
        <v>2</v>
      </c>
      <c r="C25" t="s">
        <v>115</v>
      </c>
      <c r="D25" t="s">
        <v>85</v>
      </c>
      <c r="E25" t="s">
        <v>106</v>
      </c>
      <c r="F25" s="12">
        <v>45664.083333333299</v>
      </c>
      <c r="G25" s="12">
        <v>45664.522962962998</v>
      </c>
      <c r="H25" t="str">
        <f t="shared" si="0"/>
        <v>RAX_RD</v>
      </c>
      <c r="I25" t="str">
        <f t="shared" si="1"/>
        <v>RAX_RD</v>
      </c>
      <c r="J25" s="3">
        <f>(F25-VLOOKUP($A25,Runs!$A$2:$E$9,5,FALSE()))*1440</f>
        <v>119.99999995110556</v>
      </c>
      <c r="K25" s="3">
        <f>(G25-VLOOKUP($A25,Runs!$A$2:$E$9,5,FALSE()))*1440</f>
        <v>753.0666667164769</v>
      </c>
    </row>
    <row r="26" spans="1:11" ht="15" customHeight="1" x14ac:dyDescent="0.25">
      <c r="A26" t="s">
        <v>1</v>
      </c>
      <c r="B26">
        <v>3</v>
      </c>
      <c r="C26" t="s">
        <v>116</v>
      </c>
      <c r="D26" t="s">
        <v>85</v>
      </c>
      <c r="E26" t="s">
        <v>100</v>
      </c>
      <c r="F26" s="12">
        <v>45664.166666666701</v>
      </c>
      <c r="G26" s="12">
        <v>45664.543425925898</v>
      </c>
      <c r="H26" t="str">
        <f t="shared" si="0"/>
        <v>BSA</v>
      </c>
      <c r="I26" t="str">
        <f t="shared" si="1"/>
        <v>BSA</v>
      </c>
      <c r="J26" s="3">
        <f>(F26-VLOOKUP($A26,Runs!$A$2:$E$9,5,FALSE()))*1440</f>
        <v>240.00000004889444</v>
      </c>
      <c r="K26" s="3">
        <f>(G26-VLOOKUP($A26,Runs!$A$2:$E$9,5,FALSE()))*1440</f>
        <v>782.53333329339512</v>
      </c>
    </row>
    <row r="27" spans="1:11" ht="15" customHeight="1" x14ac:dyDescent="0.25">
      <c r="A27" t="s">
        <v>1</v>
      </c>
      <c r="B27">
        <v>4</v>
      </c>
      <c r="C27" t="s">
        <v>117</v>
      </c>
      <c r="D27" t="s">
        <v>85</v>
      </c>
      <c r="E27" t="s">
        <v>118</v>
      </c>
      <c r="F27" s="12">
        <v>45664.25</v>
      </c>
      <c r="G27" s="12">
        <v>45664.563564814802</v>
      </c>
      <c r="H27" t="str">
        <f t="shared" si="0"/>
        <v>RT</v>
      </c>
      <c r="I27" t="str">
        <f t="shared" si="1"/>
        <v>RT</v>
      </c>
      <c r="J27" s="3">
        <f>(F27-VLOOKUP($A27,Runs!$A$2:$E$9,5,FALSE()))*1440</f>
        <v>360</v>
      </c>
      <c r="K27" s="3">
        <f>(G27-VLOOKUP($A27,Runs!$A$2:$E$9,5,FALSE()))*1440</f>
        <v>811.53333331458271</v>
      </c>
    </row>
    <row r="28" spans="1:11" ht="15" customHeight="1" x14ac:dyDescent="0.25">
      <c r="A28" t="s">
        <v>1</v>
      </c>
      <c r="B28">
        <v>4</v>
      </c>
      <c r="C28" t="s">
        <v>119</v>
      </c>
      <c r="D28" t="s">
        <v>85</v>
      </c>
      <c r="E28" t="s">
        <v>118</v>
      </c>
      <c r="F28" s="12">
        <v>45664.25</v>
      </c>
      <c r="G28" s="12">
        <v>45664.584398148101</v>
      </c>
      <c r="H28" t="str">
        <f t="shared" si="0"/>
        <v>RT</v>
      </c>
      <c r="I28" t="str">
        <f t="shared" si="1"/>
        <v>RT</v>
      </c>
      <c r="J28" s="3">
        <f>(F28-VLOOKUP($A28,Runs!$A$2:$E$9,5,FALSE()))*1440</f>
        <v>360</v>
      </c>
      <c r="K28" s="3">
        <f>(G28-VLOOKUP($A28,Runs!$A$2:$E$9,5,FALSE()))*1440</f>
        <v>841.53333326568827</v>
      </c>
    </row>
    <row r="29" spans="1:11" ht="15" customHeight="1" x14ac:dyDescent="0.25">
      <c r="A29" t="s">
        <v>1</v>
      </c>
      <c r="B29">
        <v>4</v>
      </c>
      <c r="C29" t="s">
        <v>120</v>
      </c>
      <c r="D29" t="s">
        <v>85</v>
      </c>
      <c r="E29" t="s">
        <v>121</v>
      </c>
      <c r="F29" s="12">
        <v>45664.25</v>
      </c>
      <c r="G29" s="12">
        <v>45664.605231481502</v>
      </c>
      <c r="H29" t="str">
        <f t="shared" si="0"/>
        <v>FT</v>
      </c>
      <c r="I29" t="str">
        <f t="shared" si="1"/>
        <v>FT</v>
      </c>
      <c r="J29" s="3">
        <f>(F29-VLOOKUP($A29,Runs!$A$2:$E$9,5,FALSE()))*1440</f>
        <v>360</v>
      </c>
      <c r="K29" s="3">
        <f>(G29-VLOOKUP($A29,Runs!$A$2:$E$9,5,FALSE()))*1440</f>
        <v>871.53333336347714</v>
      </c>
    </row>
    <row r="30" spans="1:11" ht="15" customHeight="1" x14ac:dyDescent="0.25">
      <c r="A30" t="s">
        <v>1</v>
      </c>
      <c r="B30">
        <v>3</v>
      </c>
      <c r="C30" t="s">
        <v>122</v>
      </c>
      <c r="D30" t="s">
        <v>85</v>
      </c>
      <c r="E30" t="s">
        <v>100</v>
      </c>
      <c r="F30" s="12">
        <v>45664.166666666701</v>
      </c>
      <c r="G30" s="12">
        <v>45664.606296296297</v>
      </c>
      <c r="H30" t="str">
        <f t="shared" si="0"/>
        <v>BSA</v>
      </c>
      <c r="I30" t="str">
        <f t="shared" si="1"/>
        <v>BSA</v>
      </c>
      <c r="J30" s="3">
        <f>(F30-VLOOKUP($A30,Runs!$A$2:$E$9,5,FALSE()))*1440</f>
        <v>240.00000004889444</v>
      </c>
      <c r="K30" s="3">
        <f>(G30-VLOOKUP($A30,Runs!$A$2:$E$9,5,FALSE()))*1440</f>
        <v>873.06666666758247</v>
      </c>
    </row>
    <row r="31" spans="1:11" ht="15" customHeight="1" x14ac:dyDescent="0.25">
      <c r="A31" t="s">
        <v>1</v>
      </c>
      <c r="B31">
        <v>3</v>
      </c>
      <c r="C31" t="s">
        <v>123</v>
      </c>
      <c r="D31" t="s">
        <v>85</v>
      </c>
      <c r="E31" t="s">
        <v>106</v>
      </c>
      <c r="F31" s="12">
        <v>45664.166666666701</v>
      </c>
      <c r="G31" s="12">
        <v>45664.626064814802</v>
      </c>
      <c r="H31" t="str">
        <f t="shared" si="0"/>
        <v>RAX_RD</v>
      </c>
      <c r="I31" t="str">
        <f t="shared" si="1"/>
        <v>RAX_RD</v>
      </c>
      <c r="J31" s="3">
        <f>(F31-VLOOKUP($A31,Runs!$A$2:$E$9,5,FALSE()))*1440</f>
        <v>240.00000004889444</v>
      </c>
      <c r="K31" s="3">
        <f>(G31-VLOOKUP($A31,Runs!$A$2:$E$9,5,FALSE()))*1440</f>
        <v>901.53333331458271</v>
      </c>
    </row>
    <row r="32" spans="1:11" ht="15" customHeight="1" x14ac:dyDescent="0.25">
      <c r="A32" t="s">
        <v>1</v>
      </c>
      <c r="B32">
        <v>4</v>
      </c>
      <c r="C32" t="s">
        <v>124</v>
      </c>
      <c r="D32" t="s">
        <v>85</v>
      </c>
      <c r="E32" t="s">
        <v>121</v>
      </c>
      <c r="F32" s="12">
        <v>45664.25</v>
      </c>
      <c r="G32" s="12">
        <v>45664.646435185197</v>
      </c>
      <c r="H32" t="str">
        <f t="shared" si="0"/>
        <v>FT</v>
      </c>
      <c r="I32" t="str">
        <f t="shared" si="1"/>
        <v>FT</v>
      </c>
      <c r="J32" s="3">
        <f>(F32-VLOOKUP($A32,Runs!$A$2:$E$9,5,FALSE()))*1440</f>
        <v>360</v>
      </c>
      <c r="K32" s="3">
        <f>(G32-VLOOKUP($A32,Runs!$A$2:$E$9,5,FALSE()))*1440</f>
        <v>930.86666668416001</v>
      </c>
    </row>
    <row r="33" spans="1:11" ht="15" customHeight="1" x14ac:dyDescent="0.25">
      <c r="A33" t="s">
        <v>1</v>
      </c>
      <c r="B33">
        <v>4</v>
      </c>
      <c r="C33" t="s">
        <v>125</v>
      </c>
      <c r="D33" t="s">
        <v>85</v>
      </c>
      <c r="E33" t="s">
        <v>126</v>
      </c>
      <c r="F33" s="12">
        <v>45664.25</v>
      </c>
      <c r="G33" s="12">
        <v>45664.667731481502</v>
      </c>
      <c r="H33" t="str">
        <f t="shared" si="0"/>
        <v>CRE</v>
      </c>
      <c r="I33" t="str">
        <f t="shared" si="1"/>
        <v>CRE</v>
      </c>
      <c r="J33" s="3">
        <f>(F33-VLOOKUP($A33,Runs!$A$2:$E$9,5,FALSE()))*1440</f>
        <v>360</v>
      </c>
      <c r="K33" s="3">
        <f>(G33-VLOOKUP($A33,Runs!$A$2:$E$9,5,FALSE()))*1440</f>
        <v>961.53333336347714</v>
      </c>
    </row>
    <row r="34" spans="1:11" ht="15" customHeight="1" x14ac:dyDescent="0.25">
      <c r="A34" t="s">
        <v>1</v>
      </c>
      <c r="B34">
        <v>5</v>
      </c>
      <c r="C34" t="s">
        <v>127</v>
      </c>
      <c r="D34" t="s">
        <v>85</v>
      </c>
      <c r="E34" t="s">
        <v>128</v>
      </c>
      <c r="F34" s="12">
        <v>45664.375</v>
      </c>
      <c r="G34" s="12">
        <v>45664.688564814802</v>
      </c>
      <c r="H34" t="str">
        <f t="shared" si="0"/>
        <v>RT</v>
      </c>
      <c r="I34" t="str">
        <f t="shared" si="1"/>
        <v>RT</v>
      </c>
      <c r="J34" s="3">
        <f>(F34-VLOOKUP($A34,Runs!$A$2:$E$9,5,FALSE()))*1440</f>
        <v>540</v>
      </c>
      <c r="K34" s="3">
        <f>(G34-VLOOKUP($A34,Runs!$A$2:$E$9,5,FALSE()))*1440</f>
        <v>991.53333331458271</v>
      </c>
    </row>
    <row r="35" spans="1:11" ht="15" customHeight="1" x14ac:dyDescent="0.25">
      <c r="A35" t="s">
        <v>1</v>
      </c>
      <c r="B35">
        <v>5</v>
      </c>
      <c r="C35" t="s">
        <v>129</v>
      </c>
      <c r="D35" t="s">
        <v>85</v>
      </c>
      <c r="E35" t="s">
        <v>128</v>
      </c>
      <c r="F35" s="12">
        <v>45664.375</v>
      </c>
      <c r="G35" s="12">
        <v>45664.709398148101</v>
      </c>
      <c r="H35" t="str">
        <f t="shared" si="0"/>
        <v>RT</v>
      </c>
      <c r="I35" t="str">
        <f t="shared" si="1"/>
        <v>RT</v>
      </c>
      <c r="J35" s="3">
        <f>(F35-VLOOKUP($A35,Runs!$A$2:$E$9,5,FALSE()))*1440</f>
        <v>540</v>
      </c>
      <c r="K35" s="3">
        <f>(G35-VLOOKUP($A35,Runs!$A$2:$E$9,5,FALSE()))*1440</f>
        <v>1021.5333332656883</v>
      </c>
    </row>
    <row r="36" spans="1:11" ht="15" customHeight="1" x14ac:dyDescent="0.25">
      <c r="A36" t="s">
        <v>1</v>
      </c>
      <c r="B36">
        <v>5</v>
      </c>
      <c r="C36" t="s">
        <v>130</v>
      </c>
      <c r="D36" t="s">
        <v>85</v>
      </c>
      <c r="E36" t="s">
        <v>131</v>
      </c>
      <c r="F36" s="12">
        <v>45664.375</v>
      </c>
      <c r="G36" s="12">
        <v>45664.730231481502</v>
      </c>
      <c r="H36" t="str">
        <f t="shared" si="0"/>
        <v>FT</v>
      </c>
      <c r="I36" t="str">
        <f t="shared" si="1"/>
        <v>FT</v>
      </c>
      <c r="J36" s="3">
        <f>(F36-VLOOKUP($A36,Runs!$A$2:$E$9,5,FALSE()))*1440</f>
        <v>540</v>
      </c>
      <c r="K36" s="3">
        <f>(G36-VLOOKUP($A36,Runs!$A$2:$E$9,5,FALSE()))*1440</f>
        <v>1051.5333333634771</v>
      </c>
    </row>
    <row r="37" spans="1:11" ht="15" customHeight="1" x14ac:dyDescent="0.25">
      <c r="A37" t="s">
        <v>1</v>
      </c>
      <c r="B37">
        <v>5</v>
      </c>
      <c r="C37" t="s">
        <v>132</v>
      </c>
      <c r="D37" t="s">
        <v>85</v>
      </c>
      <c r="E37" t="s">
        <v>131</v>
      </c>
      <c r="F37" s="12">
        <v>45664.375</v>
      </c>
      <c r="G37" s="12">
        <v>45664.774351851898</v>
      </c>
      <c r="H37" t="str">
        <f t="shared" si="0"/>
        <v>FT</v>
      </c>
      <c r="I37" t="str">
        <f t="shared" si="1"/>
        <v>FT</v>
      </c>
      <c r="J37" s="3">
        <f>(F37-VLOOKUP($A37,Runs!$A$2:$E$9,5,FALSE()))*1440</f>
        <v>540</v>
      </c>
      <c r="K37" s="3">
        <f>(G37-VLOOKUP($A37,Runs!$A$2:$E$9,5,FALSE()))*1440</f>
        <v>1115.0666667334735</v>
      </c>
    </row>
    <row r="38" spans="1:11" ht="15" customHeight="1" x14ac:dyDescent="0.25">
      <c r="A38" t="s">
        <v>1</v>
      </c>
      <c r="B38">
        <v>6</v>
      </c>
      <c r="C38" t="s">
        <v>133</v>
      </c>
      <c r="D38" t="s">
        <v>85</v>
      </c>
      <c r="E38" t="s">
        <v>86</v>
      </c>
      <c r="F38" s="12">
        <v>45664.416666666701</v>
      </c>
      <c r="G38" s="12">
        <v>45664.792731481502</v>
      </c>
      <c r="H38" t="str">
        <f t="shared" si="0"/>
        <v>BOSP</v>
      </c>
      <c r="I38" t="str">
        <f t="shared" si="1"/>
        <v>BOSP</v>
      </c>
      <c r="J38" s="3">
        <f>(F38-VLOOKUP($A38,Runs!$A$2:$E$9,5,FALSE()))*1440</f>
        <v>600.00000004889444</v>
      </c>
      <c r="K38" s="3">
        <f>(G38-VLOOKUP($A38,Runs!$A$2:$E$9,5,FALSE()))*1440</f>
        <v>1141.5333333634771</v>
      </c>
    </row>
    <row r="39" spans="1:11" ht="15" customHeight="1" x14ac:dyDescent="0.25">
      <c r="A39" t="s">
        <v>1</v>
      </c>
      <c r="B39">
        <v>6</v>
      </c>
      <c r="C39" t="s">
        <v>134</v>
      </c>
      <c r="D39" t="s">
        <v>85</v>
      </c>
      <c r="E39" t="s">
        <v>86</v>
      </c>
      <c r="F39" s="12">
        <v>45664.416666666701</v>
      </c>
      <c r="G39" s="12">
        <v>45664.813101851898</v>
      </c>
      <c r="H39" t="str">
        <f t="shared" si="0"/>
        <v>BOSP</v>
      </c>
      <c r="I39" t="str">
        <f t="shared" si="1"/>
        <v>BOSP</v>
      </c>
      <c r="J39" s="3">
        <f>(F39-VLOOKUP($A39,Runs!$A$2:$E$9,5,FALSE()))*1440</f>
        <v>600.00000004889444</v>
      </c>
      <c r="K39" s="3">
        <f>(G39-VLOOKUP($A39,Runs!$A$2:$E$9,5,FALSE()))*1440</f>
        <v>1170.8666667330544</v>
      </c>
    </row>
    <row r="40" spans="1:11" ht="15" customHeight="1" x14ac:dyDescent="0.25">
      <c r="A40" t="s">
        <v>1</v>
      </c>
      <c r="B40">
        <v>5</v>
      </c>
      <c r="C40" t="s">
        <v>135</v>
      </c>
      <c r="D40" t="s">
        <v>85</v>
      </c>
      <c r="E40" t="s">
        <v>136</v>
      </c>
      <c r="F40" s="12">
        <v>45664.375</v>
      </c>
      <c r="G40" s="12">
        <v>45664.834398148101</v>
      </c>
      <c r="H40" t="str">
        <f t="shared" si="0"/>
        <v>SSA</v>
      </c>
      <c r="I40" t="str">
        <f t="shared" si="1"/>
        <v>SSA</v>
      </c>
      <c r="J40" s="3">
        <f>(F40-VLOOKUP($A40,Runs!$A$2:$E$9,5,FALSE()))*1440</f>
        <v>540</v>
      </c>
      <c r="K40" s="3">
        <f>(G40-VLOOKUP($A40,Runs!$A$2:$E$9,5,FALSE()))*1440</f>
        <v>1201.5333332656883</v>
      </c>
    </row>
    <row r="41" spans="1:11" ht="15" customHeight="1" x14ac:dyDescent="0.25">
      <c r="A41" t="s">
        <v>1</v>
      </c>
      <c r="B41">
        <v>6</v>
      </c>
      <c r="C41" t="s">
        <v>137</v>
      </c>
      <c r="D41" t="s">
        <v>85</v>
      </c>
      <c r="E41" t="s">
        <v>89</v>
      </c>
      <c r="F41" s="12">
        <v>45664.416666666701</v>
      </c>
      <c r="G41" s="12">
        <v>45664.855231481502</v>
      </c>
      <c r="H41" t="str">
        <f t="shared" si="0"/>
        <v>RT</v>
      </c>
      <c r="I41" t="str">
        <f t="shared" si="1"/>
        <v>RT</v>
      </c>
      <c r="J41" s="3">
        <f>(F41-VLOOKUP($A41,Runs!$A$2:$E$9,5,FALSE()))*1440</f>
        <v>600.00000004889444</v>
      </c>
      <c r="K41" s="3">
        <f>(G41-VLOOKUP($A41,Runs!$A$2:$E$9,5,FALSE()))*1440</f>
        <v>1231.5333333634771</v>
      </c>
    </row>
    <row r="42" spans="1:11" ht="15" customHeight="1" x14ac:dyDescent="0.25">
      <c r="A42" t="s">
        <v>1</v>
      </c>
      <c r="B42">
        <v>6</v>
      </c>
      <c r="C42" t="s">
        <v>138</v>
      </c>
      <c r="D42" t="s">
        <v>85</v>
      </c>
      <c r="E42" t="s">
        <v>89</v>
      </c>
      <c r="F42" s="12">
        <v>45664.416666666701</v>
      </c>
      <c r="G42" s="12">
        <v>45664.877361111103</v>
      </c>
      <c r="H42" t="str">
        <f t="shared" si="0"/>
        <v>RT</v>
      </c>
      <c r="I42" t="str">
        <f t="shared" si="1"/>
        <v>RT</v>
      </c>
      <c r="J42" s="3">
        <f>(F42-VLOOKUP($A42,Runs!$A$2:$E$9,5,FALSE()))*1440</f>
        <v>600.00000004889444</v>
      </c>
      <c r="K42" s="3">
        <f>(G42-VLOOKUP($A42,Runs!$A$2:$E$9,5,FALSE()))*1440</f>
        <v>1263.3999999880325</v>
      </c>
    </row>
    <row r="43" spans="1:11" ht="15" customHeight="1" x14ac:dyDescent="0.25">
      <c r="A43" t="s">
        <v>1</v>
      </c>
      <c r="B43">
        <v>5</v>
      </c>
      <c r="C43" t="s">
        <v>139</v>
      </c>
      <c r="D43" t="s">
        <v>85</v>
      </c>
      <c r="E43" t="s">
        <v>136</v>
      </c>
      <c r="F43" s="12">
        <v>45664.375</v>
      </c>
      <c r="G43" s="12">
        <v>45664.878425925897</v>
      </c>
      <c r="H43" t="str">
        <f t="shared" si="0"/>
        <v>SSA</v>
      </c>
      <c r="I43" t="str">
        <f t="shared" si="1"/>
        <v>SSA</v>
      </c>
      <c r="J43" s="3">
        <f>(F43-VLOOKUP($A43,Runs!$A$2:$E$9,5,FALSE()))*1440</f>
        <v>540</v>
      </c>
      <c r="K43" s="3">
        <f>(G43-VLOOKUP($A43,Runs!$A$2:$E$9,5,FALSE()))*1440</f>
        <v>1264.9333332921378</v>
      </c>
    </row>
    <row r="44" spans="1:11" ht="15" customHeight="1" x14ac:dyDescent="0.25">
      <c r="A44" t="s">
        <v>1</v>
      </c>
      <c r="B44">
        <v>7</v>
      </c>
      <c r="C44" t="s">
        <v>140</v>
      </c>
      <c r="D44" t="s">
        <v>85</v>
      </c>
      <c r="E44" t="s">
        <v>86</v>
      </c>
      <c r="F44" s="12">
        <v>45664.5</v>
      </c>
      <c r="G44" s="12">
        <v>45664.917731481502</v>
      </c>
      <c r="H44" t="str">
        <f t="shared" si="0"/>
        <v>BOSP</v>
      </c>
      <c r="I44" t="str">
        <f t="shared" si="1"/>
        <v>BOSP</v>
      </c>
      <c r="J44" s="3">
        <f>(F44-VLOOKUP($A44,Runs!$A$2:$E$9,5,FALSE()))*1440</f>
        <v>720</v>
      </c>
      <c r="K44" s="3">
        <f>(G44-VLOOKUP($A44,Runs!$A$2:$E$9,5,FALSE()))*1440</f>
        <v>1321.5333333634771</v>
      </c>
    </row>
    <row r="45" spans="1:11" ht="15" customHeight="1" x14ac:dyDescent="0.25">
      <c r="A45" t="s">
        <v>1</v>
      </c>
      <c r="B45">
        <v>5</v>
      </c>
      <c r="C45" t="s">
        <v>141</v>
      </c>
      <c r="D45" t="s">
        <v>85</v>
      </c>
      <c r="E45" t="s">
        <v>142</v>
      </c>
      <c r="F45" s="12">
        <v>45664.375</v>
      </c>
      <c r="G45" s="12">
        <v>45664.918796296297</v>
      </c>
      <c r="H45" t="str">
        <f t="shared" si="0"/>
        <v>BSA</v>
      </c>
      <c r="I45" t="str">
        <f t="shared" si="1"/>
        <v>BSA</v>
      </c>
      <c r="J45" s="3">
        <f>(F45-VLOOKUP($A45,Runs!$A$2:$E$9,5,FALSE()))*1440</f>
        <v>540</v>
      </c>
      <c r="K45" s="3">
        <f>(G45-VLOOKUP($A45,Runs!$A$2:$E$9,5,FALSE()))*1440</f>
        <v>1323.0666666675825</v>
      </c>
    </row>
    <row r="46" spans="1:11" ht="15" customHeight="1" x14ac:dyDescent="0.25">
      <c r="A46" t="s">
        <v>1</v>
      </c>
      <c r="B46">
        <v>7</v>
      </c>
      <c r="C46" t="s">
        <v>143</v>
      </c>
      <c r="D46" t="s">
        <v>85</v>
      </c>
      <c r="E46" t="s">
        <v>86</v>
      </c>
      <c r="F46" s="12">
        <v>45664.5</v>
      </c>
      <c r="G46" s="12">
        <v>45664.938564814802</v>
      </c>
      <c r="H46" t="str">
        <f t="shared" si="0"/>
        <v>BOSP</v>
      </c>
      <c r="I46" t="str">
        <f t="shared" si="1"/>
        <v>BOSP</v>
      </c>
      <c r="J46" s="3">
        <f>(F46-VLOOKUP($A46,Runs!$A$2:$E$9,5,FALSE()))*1440</f>
        <v>720</v>
      </c>
      <c r="K46" s="3">
        <f>(G46-VLOOKUP($A46,Runs!$A$2:$E$9,5,FALSE()))*1440</f>
        <v>1351.5333333145827</v>
      </c>
    </row>
    <row r="47" spans="1:11" ht="15" customHeight="1" x14ac:dyDescent="0.25">
      <c r="A47" t="s">
        <v>1</v>
      </c>
      <c r="B47">
        <v>7</v>
      </c>
      <c r="C47" t="s">
        <v>144</v>
      </c>
      <c r="D47" t="s">
        <v>85</v>
      </c>
      <c r="E47" t="s">
        <v>89</v>
      </c>
      <c r="F47" s="12">
        <v>45664.5</v>
      </c>
      <c r="G47" s="12">
        <v>45664.980231481502</v>
      </c>
      <c r="H47" t="str">
        <f t="shared" si="0"/>
        <v>RT</v>
      </c>
      <c r="I47" t="str">
        <f t="shared" si="1"/>
        <v>RT</v>
      </c>
      <c r="J47" s="3">
        <f>(F47-VLOOKUP($A47,Runs!$A$2:$E$9,5,FALSE()))*1440</f>
        <v>720</v>
      </c>
      <c r="K47" s="3">
        <f>(G47-VLOOKUP($A47,Runs!$A$2:$E$9,5,FALSE()))*1440</f>
        <v>1411.5333333634771</v>
      </c>
    </row>
    <row r="48" spans="1:11" ht="15" customHeight="1" x14ac:dyDescent="0.25">
      <c r="A48" t="s">
        <v>1</v>
      </c>
      <c r="B48">
        <v>6</v>
      </c>
      <c r="C48" t="s">
        <v>145</v>
      </c>
      <c r="D48" t="s">
        <v>85</v>
      </c>
      <c r="E48" t="s">
        <v>95</v>
      </c>
      <c r="F48" s="12">
        <v>45664.416666666701</v>
      </c>
      <c r="G48" s="12">
        <v>45664.982592592598</v>
      </c>
      <c r="H48" t="str">
        <f t="shared" si="0"/>
        <v>CORE</v>
      </c>
      <c r="I48" t="str">
        <f t="shared" si="1"/>
        <v>CHS</v>
      </c>
      <c r="J48" s="3">
        <f>(F48-VLOOKUP($A48,Runs!$A$2:$E$9,5,FALSE()))*1440</f>
        <v>600.00000004889444</v>
      </c>
      <c r="K48" s="3">
        <f>(G48-VLOOKUP($A48,Runs!$A$2:$E$9,5,FALSE()))*1440</f>
        <v>1414.9333333410323</v>
      </c>
    </row>
    <row r="49" spans="1:11" ht="15" customHeight="1" x14ac:dyDescent="0.25">
      <c r="A49" t="s">
        <v>1</v>
      </c>
      <c r="B49">
        <v>5</v>
      </c>
      <c r="C49" t="s">
        <v>146</v>
      </c>
      <c r="D49" t="s">
        <v>85</v>
      </c>
      <c r="E49" t="s">
        <v>142</v>
      </c>
      <c r="F49" s="12">
        <v>45664.375</v>
      </c>
      <c r="G49" s="12">
        <v>45664.9836574074</v>
      </c>
      <c r="H49" t="str">
        <f t="shared" si="0"/>
        <v>BSA</v>
      </c>
      <c r="I49" t="str">
        <f t="shared" si="1"/>
        <v>BSA</v>
      </c>
      <c r="J49" s="3">
        <f>(F49-VLOOKUP($A49,Runs!$A$2:$E$9,5,FALSE()))*1440</f>
        <v>540</v>
      </c>
      <c r="K49" s="3">
        <f>(G49-VLOOKUP($A49,Runs!$A$2:$E$9,5,FALSE()))*1440</f>
        <v>1416.466666655615</v>
      </c>
    </row>
    <row r="50" spans="1:11" ht="15" customHeight="1" x14ac:dyDescent="0.25">
      <c r="A50" t="s">
        <v>1</v>
      </c>
      <c r="B50">
        <v>7</v>
      </c>
      <c r="C50" t="s">
        <v>147</v>
      </c>
      <c r="D50" t="s">
        <v>85</v>
      </c>
      <c r="E50" t="s">
        <v>89</v>
      </c>
      <c r="F50" s="12">
        <v>45664.5</v>
      </c>
      <c r="G50" s="12">
        <v>45665.002361111103</v>
      </c>
      <c r="H50" t="str">
        <f t="shared" si="0"/>
        <v>RT</v>
      </c>
      <c r="I50" t="str">
        <f t="shared" si="1"/>
        <v>RT</v>
      </c>
      <c r="J50" s="3">
        <f>(F50-VLOOKUP($A50,Runs!$A$2:$E$9,5,FALSE()))*1440</f>
        <v>720</v>
      </c>
      <c r="K50" s="3">
        <f>(G50-VLOOKUP($A50,Runs!$A$2:$E$9,5,FALSE()))*1440</f>
        <v>1443.3999999880325</v>
      </c>
    </row>
    <row r="51" spans="1:11" ht="15" customHeight="1" x14ac:dyDescent="0.25">
      <c r="A51" t="s">
        <v>1</v>
      </c>
      <c r="B51">
        <v>5</v>
      </c>
      <c r="C51" t="s">
        <v>148</v>
      </c>
      <c r="D51" t="s">
        <v>85</v>
      </c>
      <c r="E51" t="s">
        <v>149</v>
      </c>
      <c r="F51" s="12">
        <v>45664.375</v>
      </c>
      <c r="G51" s="12">
        <v>45665.003425925897</v>
      </c>
      <c r="H51" t="str">
        <f t="shared" si="0"/>
        <v>CSEB-NABS</v>
      </c>
      <c r="I51" t="str">
        <f t="shared" si="1"/>
        <v>CSEB-NABS</v>
      </c>
      <c r="J51" s="3">
        <f>(F51-VLOOKUP($A51,Runs!$A$2:$E$9,5,FALSE()))*1440</f>
        <v>540</v>
      </c>
      <c r="K51" s="3">
        <f>(G51-VLOOKUP($A51,Runs!$A$2:$E$9,5,FALSE()))*1440</f>
        <v>1444.9333332921378</v>
      </c>
    </row>
    <row r="52" spans="1:11" ht="15" customHeight="1" x14ac:dyDescent="0.25">
      <c r="A52" t="s">
        <v>1</v>
      </c>
      <c r="B52">
        <v>8</v>
      </c>
      <c r="C52" t="s">
        <v>150</v>
      </c>
      <c r="D52" t="s">
        <v>85</v>
      </c>
      <c r="E52" t="s">
        <v>108</v>
      </c>
      <c r="F52" s="12">
        <v>45664.604166666701</v>
      </c>
      <c r="G52" s="12">
        <v>45665.021898148101</v>
      </c>
      <c r="H52" t="str">
        <f t="shared" si="0"/>
        <v>BOSP</v>
      </c>
      <c r="I52" t="str">
        <f t="shared" si="1"/>
        <v>BOSP</v>
      </c>
      <c r="J52" s="3">
        <f>(F52-VLOOKUP($A52,Runs!$A$2:$E$9,5,FALSE()))*1440</f>
        <v>870.00000004889444</v>
      </c>
      <c r="K52" s="3">
        <f>(G52-VLOOKUP($A52,Runs!$A$2:$E$9,5,FALSE()))*1440</f>
        <v>1471.5333332656883</v>
      </c>
    </row>
    <row r="53" spans="1:11" ht="15" customHeight="1" x14ac:dyDescent="0.25">
      <c r="A53" t="s">
        <v>1</v>
      </c>
      <c r="B53">
        <v>6</v>
      </c>
      <c r="C53" t="s">
        <v>151</v>
      </c>
      <c r="D53" t="s">
        <v>85</v>
      </c>
      <c r="E53" t="s">
        <v>100</v>
      </c>
      <c r="F53" s="12">
        <v>45664.416666666701</v>
      </c>
      <c r="G53" s="12">
        <v>45665.042731481502</v>
      </c>
      <c r="H53" t="str">
        <f t="shared" si="0"/>
        <v>BSA</v>
      </c>
      <c r="I53" t="str">
        <f t="shared" si="1"/>
        <v>BSA</v>
      </c>
      <c r="J53" s="3">
        <f>(F53-VLOOKUP($A53,Runs!$A$2:$E$9,5,FALSE()))*1440</f>
        <v>600.00000004889444</v>
      </c>
      <c r="K53" s="3">
        <f>(G53-VLOOKUP($A53,Runs!$A$2:$E$9,5,FALSE()))*1440</f>
        <v>1501.5333333634771</v>
      </c>
    </row>
    <row r="54" spans="1:11" ht="15" customHeight="1" x14ac:dyDescent="0.25">
      <c r="A54" t="s">
        <v>1</v>
      </c>
      <c r="B54">
        <v>8</v>
      </c>
      <c r="C54" t="s">
        <v>152</v>
      </c>
      <c r="D54" t="s">
        <v>85</v>
      </c>
      <c r="E54" t="s">
        <v>108</v>
      </c>
      <c r="F54" s="12">
        <v>45664.604166666701</v>
      </c>
      <c r="G54" s="12">
        <v>45665.063564814802</v>
      </c>
      <c r="H54" t="str">
        <f t="shared" si="0"/>
        <v>BOSP</v>
      </c>
      <c r="I54" t="str">
        <f t="shared" si="1"/>
        <v>BOSP</v>
      </c>
      <c r="J54" s="3">
        <f>(F54-VLOOKUP($A54,Runs!$A$2:$E$9,5,FALSE()))*1440</f>
        <v>870.00000004889444</v>
      </c>
      <c r="K54" s="3">
        <f>(G54-VLOOKUP($A54,Runs!$A$2:$E$9,5,FALSE()))*1440</f>
        <v>1531.5333333145827</v>
      </c>
    </row>
    <row r="55" spans="1:11" ht="15" customHeight="1" x14ac:dyDescent="0.25">
      <c r="A55" t="s">
        <v>1</v>
      </c>
      <c r="B55">
        <v>7</v>
      </c>
      <c r="C55" t="s">
        <v>153</v>
      </c>
      <c r="D55" t="s">
        <v>85</v>
      </c>
      <c r="E55" t="s">
        <v>95</v>
      </c>
      <c r="F55" s="12">
        <v>45664.5</v>
      </c>
      <c r="G55" s="12">
        <v>45665.106527777803</v>
      </c>
      <c r="H55" t="str">
        <f t="shared" si="0"/>
        <v>CORE</v>
      </c>
      <c r="I55" t="str">
        <f t="shared" si="1"/>
        <v>CHS</v>
      </c>
      <c r="J55" s="3">
        <f>(F55-VLOOKUP($A55,Runs!$A$2:$E$9,5,FALSE()))*1440</f>
        <v>720</v>
      </c>
      <c r="K55" s="3">
        <f>(G55-VLOOKUP($A55,Runs!$A$2:$E$9,5,FALSE()))*1440</f>
        <v>1593.4000000369269</v>
      </c>
    </row>
    <row r="56" spans="1:11" ht="15" customHeight="1" x14ac:dyDescent="0.25">
      <c r="A56" t="s">
        <v>1</v>
      </c>
      <c r="B56">
        <v>6</v>
      </c>
      <c r="C56" t="s">
        <v>154</v>
      </c>
      <c r="D56" t="s">
        <v>85</v>
      </c>
      <c r="E56" t="s">
        <v>100</v>
      </c>
      <c r="F56" s="12">
        <v>45664.416666666701</v>
      </c>
      <c r="G56" s="12">
        <v>45665.107592592598</v>
      </c>
      <c r="H56" t="str">
        <f t="shared" si="0"/>
        <v>BSA</v>
      </c>
      <c r="I56" t="str">
        <f t="shared" si="1"/>
        <v>BSA</v>
      </c>
      <c r="J56" s="3">
        <f>(F56-VLOOKUP($A56,Runs!$A$2:$E$9,5,FALSE()))*1440</f>
        <v>600.00000004889444</v>
      </c>
      <c r="K56" s="3">
        <f>(G56-VLOOKUP($A56,Runs!$A$2:$E$9,5,FALSE()))*1440</f>
        <v>1594.9333333410323</v>
      </c>
    </row>
    <row r="57" spans="1:11" ht="15" customHeight="1" x14ac:dyDescent="0.25">
      <c r="A57" t="s">
        <v>1</v>
      </c>
      <c r="B57">
        <v>6</v>
      </c>
      <c r="C57" t="s">
        <v>155</v>
      </c>
      <c r="D57" t="s">
        <v>85</v>
      </c>
      <c r="E57" t="s">
        <v>106</v>
      </c>
      <c r="F57" s="12">
        <v>45664.416666666701</v>
      </c>
      <c r="G57" s="12">
        <v>45665.126064814802</v>
      </c>
      <c r="H57" t="str">
        <f t="shared" si="0"/>
        <v>RAX_RD</v>
      </c>
      <c r="I57" t="str">
        <f t="shared" si="1"/>
        <v>RAX_RD</v>
      </c>
      <c r="J57" s="3">
        <f>(F57-VLOOKUP($A57,Runs!$A$2:$E$9,5,FALSE()))*1440</f>
        <v>600.00000004889444</v>
      </c>
      <c r="K57" s="3">
        <f>(G57-VLOOKUP($A57,Runs!$A$2:$E$9,5,FALSE()))*1440</f>
        <v>1621.5333333145827</v>
      </c>
    </row>
    <row r="58" spans="1:11" ht="15" customHeight="1" x14ac:dyDescent="0.25">
      <c r="A58" t="s">
        <v>1</v>
      </c>
      <c r="B58">
        <v>8</v>
      </c>
      <c r="C58" t="s">
        <v>156</v>
      </c>
      <c r="D58" t="s">
        <v>85</v>
      </c>
      <c r="E58" t="s">
        <v>114</v>
      </c>
      <c r="F58" s="12">
        <v>45664.604166666701</v>
      </c>
      <c r="G58" s="12">
        <v>45665.146898148101</v>
      </c>
      <c r="H58" t="str">
        <f t="shared" si="0"/>
        <v>BAT</v>
      </c>
      <c r="I58" t="str">
        <f t="shared" si="1"/>
        <v>BAT</v>
      </c>
      <c r="J58" s="3">
        <f>(F58-VLOOKUP($A58,Runs!$A$2:$E$9,5,FALSE()))*1440</f>
        <v>870.00000004889444</v>
      </c>
      <c r="K58" s="3">
        <f>(G58-VLOOKUP($A58,Runs!$A$2:$E$9,5,FALSE()))*1440</f>
        <v>1651.5333332656883</v>
      </c>
    </row>
    <row r="59" spans="1:11" ht="15" customHeight="1" x14ac:dyDescent="0.25">
      <c r="A59" t="s">
        <v>1</v>
      </c>
      <c r="B59">
        <v>8</v>
      </c>
      <c r="C59" t="s">
        <v>157</v>
      </c>
      <c r="D59" t="s">
        <v>85</v>
      </c>
      <c r="E59" t="s">
        <v>118</v>
      </c>
      <c r="F59" s="12">
        <v>45664.604166666701</v>
      </c>
      <c r="G59" s="12">
        <v>45665.167731481502</v>
      </c>
      <c r="H59" t="str">
        <f t="shared" si="0"/>
        <v>RT</v>
      </c>
      <c r="I59" t="str">
        <f t="shared" si="1"/>
        <v>RT</v>
      </c>
      <c r="J59" s="3">
        <f>(F59-VLOOKUP($A59,Runs!$A$2:$E$9,5,FALSE()))*1440</f>
        <v>870.00000004889444</v>
      </c>
      <c r="K59" s="3">
        <f>(G59-VLOOKUP($A59,Runs!$A$2:$E$9,5,FALSE()))*1440</f>
        <v>1681.5333333634771</v>
      </c>
    </row>
    <row r="60" spans="1:11" ht="15" customHeight="1" x14ac:dyDescent="0.25">
      <c r="A60" t="s">
        <v>1</v>
      </c>
      <c r="B60">
        <v>7</v>
      </c>
      <c r="C60" t="s">
        <v>158</v>
      </c>
      <c r="D60" t="s">
        <v>85</v>
      </c>
      <c r="E60" t="s">
        <v>100</v>
      </c>
      <c r="F60" s="12">
        <v>45664.5</v>
      </c>
      <c r="G60" s="12">
        <v>45665.168796296297</v>
      </c>
      <c r="H60" t="str">
        <f t="shared" si="0"/>
        <v>BSA</v>
      </c>
      <c r="I60" t="str">
        <f t="shared" si="1"/>
        <v>BSA</v>
      </c>
      <c r="J60" s="3">
        <f>(F60-VLOOKUP($A60,Runs!$A$2:$E$9,5,FALSE()))*1440</f>
        <v>720</v>
      </c>
      <c r="K60" s="3">
        <f>(G60-VLOOKUP($A60,Runs!$A$2:$E$9,5,FALSE()))*1440</f>
        <v>1683.0666666675825</v>
      </c>
    </row>
    <row r="61" spans="1:11" ht="15" customHeight="1" x14ac:dyDescent="0.25">
      <c r="A61" t="s">
        <v>1</v>
      </c>
      <c r="B61">
        <v>8</v>
      </c>
      <c r="C61" t="s">
        <v>159</v>
      </c>
      <c r="D61" t="s">
        <v>85</v>
      </c>
      <c r="E61" t="s">
        <v>118</v>
      </c>
      <c r="F61" s="12">
        <v>45664.604166666701</v>
      </c>
      <c r="G61" s="12">
        <v>45665.209398148101</v>
      </c>
      <c r="H61" t="str">
        <f t="shared" si="0"/>
        <v>RT</v>
      </c>
      <c r="I61" t="str">
        <f t="shared" si="1"/>
        <v>RT</v>
      </c>
      <c r="J61" s="3">
        <f>(F61-VLOOKUP($A61,Runs!$A$2:$E$9,5,FALSE()))*1440</f>
        <v>870.00000004889444</v>
      </c>
      <c r="K61" s="3">
        <f>(G61-VLOOKUP($A61,Runs!$A$2:$E$9,5,FALSE()))*1440</f>
        <v>1741.5333332656883</v>
      </c>
    </row>
    <row r="62" spans="1:11" ht="15" customHeight="1" x14ac:dyDescent="0.25">
      <c r="A62" t="s">
        <v>1</v>
      </c>
      <c r="B62">
        <v>8</v>
      </c>
      <c r="C62" t="s">
        <v>160</v>
      </c>
      <c r="D62" t="s">
        <v>85</v>
      </c>
      <c r="E62" t="s">
        <v>121</v>
      </c>
      <c r="F62" s="12">
        <v>45664.604166666701</v>
      </c>
      <c r="G62" s="12">
        <v>45665.230231481502</v>
      </c>
      <c r="H62" t="str">
        <f t="shared" si="0"/>
        <v>FT</v>
      </c>
      <c r="I62" t="str">
        <f t="shared" si="1"/>
        <v>FT</v>
      </c>
      <c r="J62" s="3">
        <f>(F62-VLOOKUP($A62,Runs!$A$2:$E$9,5,FALSE()))*1440</f>
        <v>870.00000004889444</v>
      </c>
      <c r="K62" s="3">
        <f>(G62-VLOOKUP($A62,Runs!$A$2:$E$9,5,FALSE()))*1440</f>
        <v>1771.5333333634771</v>
      </c>
    </row>
    <row r="63" spans="1:11" ht="15" customHeight="1" x14ac:dyDescent="0.25">
      <c r="A63" t="s">
        <v>1</v>
      </c>
      <c r="B63">
        <v>7</v>
      </c>
      <c r="C63" t="s">
        <v>161</v>
      </c>
      <c r="D63" t="s">
        <v>85</v>
      </c>
      <c r="E63" t="s">
        <v>100</v>
      </c>
      <c r="F63" s="12">
        <v>45664.5</v>
      </c>
      <c r="G63" s="12">
        <v>45665.231296296297</v>
      </c>
      <c r="H63" t="str">
        <f t="shared" si="0"/>
        <v>BSA</v>
      </c>
      <c r="I63" t="str">
        <f t="shared" si="1"/>
        <v>BSA</v>
      </c>
      <c r="J63" s="3">
        <f>(F63-VLOOKUP($A63,Runs!$A$2:$E$9,5,FALSE()))*1440</f>
        <v>720</v>
      </c>
      <c r="K63" s="3">
        <f>(G63-VLOOKUP($A63,Runs!$A$2:$E$9,5,FALSE()))*1440</f>
        <v>1773.0666666675825</v>
      </c>
    </row>
    <row r="64" spans="1:11" ht="15" customHeight="1" x14ac:dyDescent="0.25">
      <c r="A64" t="s">
        <v>1</v>
      </c>
      <c r="B64">
        <v>7</v>
      </c>
      <c r="C64" t="s">
        <v>162</v>
      </c>
      <c r="D64" t="s">
        <v>85</v>
      </c>
      <c r="E64" t="s">
        <v>106</v>
      </c>
      <c r="F64" s="12">
        <v>45664.5</v>
      </c>
      <c r="G64" s="12">
        <v>45665.251064814802</v>
      </c>
      <c r="H64" t="str">
        <f t="shared" si="0"/>
        <v>RAX_RD</v>
      </c>
      <c r="I64" t="str">
        <f t="shared" si="1"/>
        <v>RAX_RD</v>
      </c>
      <c r="J64" s="3">
        <f>(F64-VLOOKUP($A64,Runs!$A$2:$E$9,5,FALSE()))*1440</f>
        <v>720</v>
      </c>
      <c r="K64" s="3">
        <f>(G64-VLOOKUP($A64,Runs!$A$2:$E$9,5,FALSE()))*1440</f>
        <v>1801.5333333145827</v>
      </c>
    </row>
    <row r="65" spans="1:11" ht="15" customHeight="1" x14ac:dyDescent="0.25">
      <c r="A65" t="s">
        <v>1</v>
      </c>
      <c r="B65">
        <v>8</v>
      </c>
      <c r="C65" t="s">
        <v>163</v>
      </c>
      <c r="D65" t="s">
        <v>85</v>
      </c>
      <c r="E65" t="s">
        <v>121</v>
      </c>
      <c r="F65" s="12">
        <v>45664.604166666701</v>
      </c>
      <c r="G65" s="12">
        <v>45665.271898148101</v>
      </c>
      <c r="H65" t="str">
        <f t="shared" si="0"/>
        <v>FT</v>
      </c>
      <c r="I65" t="str">
        <f t="shared" si="1"/>
        <v>FT</v>
      </c>
      <c r="J65" s="3">
        <f>(F65-VLOOKUP($A65,Runs!$A$2:$E$9,5,FALSE()))*1440</f>
        <v>870.00000004889444</v>
      </c>
      <c r="K65" s="3">
        <f>(G65-VLOOKUP($A65,Runs!$A$2:$E$9,5,FALSE()))*1440</f>
        <v>1831.5333332656883</v>
      </c>
    </row>
    <row r="66" spans="1:11" ht="15" customHeight="1" x14ac:dyDescent="0.25">
      <c r="A66" t="s">
        <v>1</v>
      </c>
      <c r="B66">
        <v>8</v>
      </c>
      <c r="C66" t="s">
        <v>164</v>
      </c>
      <c r="D66" t="s">
        <v>85</v>
      </c>
      <c r="E66" t="s">
        <v>126</v>
      </c>
      <c r="F66" s="12">
        <v>45664.604166666701</v>
      </c>
      <c r="G66" s="12">
        <v>45665.292268518497</v>
      </c>
      <c r="H66" t="str">
        <f t="shared" ref="H66:H129" si="2">MID(E66,8,100)</f>
        <v>CRE</v>
      </c>
      <c r="I66" t="str">
        <f t="shared" ref="I66:I129" si="3">IF(H66="CORE","CHS",H66)</f>
        <v>CRE</v>
      </c>
      <c r="J66" s="3">
        <f>(F66-VLOOKUP($A66,Runs!$A$2:$E$9,5,FALSE()))*1440</f>
        <v>870.00000004889444</v>
      </c>
      <c r="K66" s="3">
        <f>(G66-VLOOKUP($A66,Runs!$A$2:$E$9,5,FALSE()))*1440</f>
        <v>1860.8666666352656</v>
      </c>
    </row>
    <row r="67" spans="1:11" ht="15" customHeight="1" x14ac:dyDescent="0.25">
      <c r="A67" t="s">
        <v>1</v>
      </c>
      <c r="B67">
        <v>9</v>
      </c>
      <c r="C67" t="s">
        <v>165</v>
      </c>
      <c r="D67" t="s">
        <v>85</v>
      </c>
      <c r="E67" t="s">
        <v>86</v>
      </c>
      <c r="F67" s="12">
        <v>45664.770833333299</v>
      </c>
      <c r="G67" s="12">
        <v>45665.313564814802</v>
      </c>
      <c r="H67" t="str">
        <f t="shared" si="2"/>
        <v>BOSP</v>
      </c>
      <c r="I67" t="str">
        <f t="shared" si="3"/>
        <v>BOSP</v>
      </c>
      <c r="J67" s="3">
        <f>(F67-VLOOKUP($A67,Runs!$A$2:$E$9,5,FALSE()))*1440</f>
        <v>1109.9999999511056</v>
      </c>
      <c r="K67" s="3">
        <f>(G67-VLOOKUP($A67,Runs!$A$2:$E$9,5,FALSE()))*1440</f>
        <v>1891.5333333145827</v>
      </c>
    </row>
    <row r="68" spans="1:11" ht="15" customHeight="1" x14ac:dyDescent="0.25">
      <c r="A68" t="s">
        <v>1</v>
      </c>
      <c r="B68">
        <v>9</v>
      </c>
      <c r="C68" t="s">
        <v>166</v>
      </c>
      <c r="D68" t="s">
        <v>85</v>
      </c>
      <c r="E68" t="s">
        <v>86</v>
      </c>
      <c r="F68" s="12">
        <v>45664.770833333299</v>
      </c>
      <c r="G68" s="12">
        <v>45665.334398148101</v>
      </c>
      <c r="H68" t="str">
        <f t="shared" si="2"/>
        <v>BOSP</v>
      </c>
      <c r="I68" t="str">
        <f t="shared" si="3"/>
        <v>BOSP</v>
      </c>
      <c r="J68" s="3">
        <f>(F68-VLOOKUP($A68,Runs!$A$2:$E$9,5,FALSE()))*1440</f>
        <v>1109.9999999511056</v>
      </c>
      <c r="K68" s="3">
        <f>(G68-VLOOKUP($A68,Runs!$A$2:$E$9,5,FALSE()))*1440</f>
        <v>1921.5333332656883</v>
      </c>
    </row>
    <row r="69" spans="1:11" ht="15" customHeight="1" x14ac:dyDescent="0.25">
      <c r="A69" t="s">
        <v>1</v>
      </c>
      <c r="B69">
        <v>9</v>
      </c>
      <c r="C69" t="s">
        <v>167</v>
      </c>
      <c r="D69" t="s">
        <v>85</v>
      </c>
      <c r="E69" t="s">
        <v>89</v>
      </c>
      <c r="F69" s="12">
        <v>45664.770833333299</v>
      </c>
      <c r="G69" s="12">
        <v>45665.355231481502</v>
      </c>
      <c r="H69" t="str">
        <f t="shared" si="2"/>
        <v>RT</v>
      </c>
      <c r="I69" t="str">
        <f t="shared" si="3"/>
        <v>RT</v>
      </c>
      <c r="J69" s="3">
        <f>(F69-VLOOKUP($A69,Runs!$A$2:$E$9,5,FALSE()))*1440</f>
        <v>1109.9999999511056</v>
      </c>
      <c r="K69" s="3">
        <f>(G69-VLOOKUP($A69,Runs!$A$2:$E$9,5,FALSE()))*1440</f>
        <v>1951.5333333634771</v>
      </c>
    </row>
    <row r="70" spans="1:11" ht="15" customHeight="1" x14ac:dyDescent="0.25">
      <c r="A70" t="s">
        <v>1</v>
      </c>
      <c r="B70">
        <v>9</v>
      </c>
      <c r="C70" t="s">
        <v>168</v>
      </c>
      <c r="D70" t="s">
        <v>85</v>
      </c>
      <c r="E70" t="s">
        <v>89</v>
      </c>
      <c r="F70" s="12">
        <v>45664.770833333299</v>
      </c>
      <c r="G70" s="12">
        <v>45665.377361111103</v>
      </c>
      <c r="H70" t="str">
        <f t="shared" si="2"/>
        <v>RT</v>
      </c>
      <c r="I70" t="str">
        <f t="shared" si="3"/>
        <v>RT</v>
      </c>
      <c r="J70" s="3">
        <f>(F70-VLOOKUP($A70,Runs!$A$2:$E$9,5,FALSE()))*1440</f>
        <v>1109.9999999511056</v>
      </c>
      <c r="K70" s="3">
        <f>(G70-VLOOKUP($A70,Runs!$A$2:$E$9,5,FALSE()))*1440</f>
        <v>1983.3999999880325</v>
      </c>
    </row>
    <row r="71" spans="1:11" ht="15" customHeight="1" x14ac:dyDescent="0.25">
      <c r="A71" t="s">
        <v>1</v>
      </c>
      <c r="B71">
        <v>10</v>
      </c>
      <c r="C71" t="s">
        <v>169</v>
      </c>
      <c r="D71" t="s">
        <v>85</v>
      </c>
      <c r="E71" t="s">
        <v>128</v>
      </c>
      <c r="F71" s="12">
        <v>45665.25</v>
      </c>
      <c r="G71" s="12">
        <v>45665.417731481502</v>
      </c>
      <c r="H71" t="str">
        <f t="shared" si="2"/>
        <v>RT</v>
      </c>
      <c r="I71" t="str">
        <f t="shared" si="3"/>
        <v>RT</v>
      </c>
      <c r="J71" s="3">
        <f>(F71-VLOOKUP($A71,Runs!$A$2:$E$9,5,FALSE()))*1440</f>
        <v>1800</v>
      </c>
      <c r="K71" s="3">
        <f>(G71-VLOOKUP($A71,Runs!$A$2:$E$9,5,FALSE()))*1440</f>
        <v>2041.5333333634771</v>
      </c>
    </row>
    <row r="72" spans="1:11" ht="15" customHeight="1" x14ac:dyDescent="0.25">
      <c r="A72" t="s">
        <v>1</v>
      </c>
      <c r="B72">
        <v>10</v>
      </c>
      <c r="C72" t="s">
        <v>170</v>
      </c>
      <c r="D72" t="s">
        <v>85</v>
      </c>
      <c r="E72" t="s">
        <v>128</v>
      </c>
      <c r="F72" s="12">
        <v>45665.25</v>
      </c>
      <c r="G72" s="12">
        <v>45665.438564814802</v>
      </c>
      <c r="H72" t="str">
        <f t="shared" si="2"/>
        <v>RT</v>
      </c>
      <c r="I72" t="str">
        <f t="shared" si="3"/>
        <v>RT</v>
      </c>
      <c r="J72" s="3">
        <f>(F72-VLOOKUP($A72,Runs!$A$2:$E$9,5,FALSE()))*1440</f>
        <v>1800</v>
      </c>
      <c r="K72" s="3">
        <f>(G72-VLOOKUP($A72,Runs!$A$2:$E$9,5,FALSE()))*1440</f>
        <v>2071.5333333145827</v>
      </c>
    </row>
    <row r="73" spans="1:11" ht="15" customHeight="1" x14ac:dyDescent="0.25">
      <c r="A73" t="s">
        <v>1</v>
      </c>
      <c r="B73">
        <v>10</v>
      </c>
      <c r="C73" t="s">
        <v>171</v>
      </c>
      <c r="D73" t="s">
        <v>85</v>
      </c>
      <c r="E73" t="s">
        <v>131</v>
      </c>
      <c r="F73" s="12">
        <v>45665.25</v>
      </c>
      <c r="G73" s="12">
        <v>45665.480231481502</v>
      </c>
      <c r="H73" t="str">
        <f t="shared" si="2"/>
        <v>FT</v>
      </c>
      <c r="I73" t="str">
        <f t="shared" si="3"/>
        <v>FT</v>
      </c>
      <c r="J73" s="3">
        <f>(F73-VLOOKUP($A73,Runs!$A$2:$E$9,5,FALSE()))*1440</f>
        <v>1800</v>
      </c>
      <c r="K73" s="3">
        <f>(G73-VLOOKUP($A73,Runs!$A$2:$E$9,5,FALSE()))*1440</f>
        <v>2131.5333333634771</v>
      </c>
    </row>
    <row r="74" spans="1:11" ht="15" customHeight="1" x14ac:dyDescent="0.25">
      <c r="A74" t="s">
        <v>1</v>
      </c>
      <c r="B74">
        <v>9</v>
      </c>
      <c r="C74" t="s">
        <v>172</v>
      </c>
      <c r="D74" t="s">
        <v>85</v>
      </c>
      <c r="E74" t="s">
        <v>95</v>
      </c>
      <c r="F74" s="12">
        <v>45664.770833333299</v>
      </c>
      <c r="G74" s="12">
        <v>45665.482592592598</v>
      </c>
      <c r="H74" t="str">
        <f t="shared" si="2"/>
        <v>CORE</v>
      </c>
      <c r="I74" t="str">
        <f t="shared" si="3"/>
        <v>CHS</v>
      </c>
      <c r="J74" s="3">
        <f>(F74-VLOOKUP($A74,Runs!$A$2:$E$9,5,FALSE()))*1440</f>
        <v>1109.9999999511056</v>
      </c>
      <c r="K74" s="3">
        <f>(G74-VLOOKUP($A74,Runs!$A$2:$E$9,5,FALSE()))*1440</f>
        <v>2134.9333333410323</v>
      </c>
    </row>
    <row r="75" spans="1:11" ht="15" customHeight="1" x14ac:dyDescent="0.25">
      <c r="A75" t="s">
        <v>1</v>
      </c>
      <c r="B75">
        <v>10</v>
      </c>
      <c r="C75" t="s">
        <v>173</v>
      </c>
      <c r="D75" t="s">
        <v>85</v>
      </c>
      <c r="E75" t="s">
        <v>131</v>
      </c>
      <c r="F75" s="12">
        <v>45665.25</v>
      </c>
      <c r="G75" s="12">
        <v>45665.503518518497</v>
      </c>
      <c r="H75" t="str">
        <f t="shared" si="2"/>
        <v>FT</v>
      </c>
      <c r="I75" t="str">
        <f t="shared" si="3"/>
        <v>FT</v>
      </c>
      <c r="J75" s="3">
        <f>(F75-VLOOKUP($A75,Runs!$A$2:$E$9,5,FALSE()))*1440</f>
        <v>1800</v>
      </c>
      <c r="K75" s="3">
        <f>(G75-VLOOKUP($A75,Runs!$A$2:$E$9,5,FALSE()))*1440</f>
        <v>2165.0666666356847</v>
      </c>
    </row>
    <row r="76" spans="1:11" ht="15" customHeight="1" x14ac:dyDescent="0.25">
      <c r="A76" t="s">
        <v>1</v>
      </c>
      <c r="B76">
        <v>9</v>
      </c>
      <c r="C76" t="s">
        <v>174</v>
      </c>
      <c r="D76" t="s">
        <v>85</v>
      </c>
      <c r="E76" t="s">
        <v>100</v>
      </c>
      <c r="F76" s="12">
        <v>45664.770833333299</v>
      </c>
      <c r="G76" s="12">
        <v>45665.542731481502</v>
      </c>
      <c r="H76" t="str">
        <f t="shared" si="2"/>
        <v>BSA</v>
      </c>
      <c r="I76" t="str">
        <f t="shared" si="3"/>
        <v>BSA</v>
      </c>
      <c r="J76" s="3">
        <f>(F76-VLOOKUP($A76,Runs!$A$2:$E$9,5,FALSE()))*1440</f>
        <v>1109.9999999511056</v>
      </c>
      <c r="K76" s="3">
        <f>(G76-VLOOKUP($A76,Runs!$A$2:$E$9,5,FALSE()))*1440</f>
        <v>2221.5333333634771</v>
      </c>
    </row>
    <row r="77" spans="1:11" ht="15" customHeight="1" x14ac:dyDescent="0.25">
      <c r="A77" t="s">
        <v>1</v>
      </c>
      <c r="B77">
        <v>9</v>
      </c>
      <c r="C77" t="s">
        <v>175</v>
      </c>
      <c r="D77" t="s">
        <v>85</v>
      </c>
      <c r="E77" t="s">
        <v>100</v>
      </c>
      <c r="F77" s="12">
        <v>45664.770833333299</v>
      </c>
      <c r="G77" s="12">
        <v>45665.605231481502</v>
      </c>
      <c r="H77" t="str">
        <f t="shared" si="2"/>
        <v>BSA</v>
      </c>
      <c r="I77" t="str">
        <f t="shared" si="3"/>
        <v>BSA</v>
      </c>
      <c r="J77" s="3">
        <f>(F77-VLOOKUP($A77,Runs!$A$2:$E$9,5,FALSE()))*1440</f>
        <v>1109.9999999511056</v>
      </c>
      <c r="K77" s="3">
        <f>(G77-VLOOKUP($A77,Runs!$A$2:$E$9,5,FALSE()))*1440</f>
        <v>2311.5333333634771</v>
      </c>
    </row>
    <row r="78" spans="1:11" ht="15" customHeight="1" x14ac:dyDescent="0.25">
      <c r="A78" t="s">
        <v>1</v>
      </c>
      <c r="B78">
        <v>9</v>
      </c>
      <c r="C78" t="s">
        <v>176</v>
      </c>
      <c r="D78" t="s">
        <v>85</v>
      </c>
      <c r="E78" t="s">
        <v>106</v>
      </c>
      <c r="F78" s="12">
        <v>45664.770833333299</v>
      </c>
      <c r="G78" s="12">
        <v>45665.626064814802</v>
      </c>
      <c r="H78" t="str">
        <f t="shared" si="2"/>
        <v>RAX_RD</v>
      </c>
      <c r="I78" t="str">
        <f t="shared" si="3"/>
        <v>RAX_RD</v>
      </c>
      <c r="J78" s="3">
        <f>(F78-VLOOKUP($A78,Runs!$A$2:$E$9,5,FALSE()))*1440</f>
        <v>1109.9999999511056</v>
      </c>
      <c r="K78" s="3">
        <f>(G78-VLOOKUP($A78,Runs!$A$2:$E$9,5,FALSE()))*1440</f>
        <v>2341.5333333145827</v>
      </c>
    </row>
    <row r="79" spans="1:11" ht="15" customHeight="1" x14ac:dyDescent="0.25">
      <c r="A79" t="s">
        <v>1</v>
      </c>
      <c r="B79">
        <v>10</v>
      </c>
      <c r="C79" t="s">
        <v>177</v>
      </c>
      <c r="D79" t="s">
        <v>85</v>
      </c>
      <c r="E79" t="s">
        <v>136</v>
      </c>
      <c r="F79" s="12">
        <v>45665.25</v>
      </c>
      <c r="G79" s="12">
        <v>45665.646898148101</v>
      </c>
      <c r="H79" t="str">
        <f t="shared" si="2"/>
        <v>SSA</v>
      </c>
      <c r="I79" t="str">
        <f t="shared" si="3"/>
        <v>SSA</v>
      </c>
      <c r="J79" s="3">
        <f>(F79-VLOOKUP($A79,Runs!$A$2:$E$9,5,FALSE()))*1440</f>
        <v>1800</v>
      </c>
      <c r="K79" s="3">
        <f>(G79-VLOOKUP($A79,Runs!$A$2:$E$9,5,FALSE()))*1440</f>
        <v>2371.5333332656883</v>
      </c>
    </row>
    <row r="80" spans="1:11" ht="15" customHeight="1" x14ac:dyDescent="0.25">
      <c r="A80" t="s">
        <v>2</v>
      </c>
      <c r="B80">
        <v>1</v>
      </c>
      <c r="C80" t="s">
        <v>84</v>
      </c>
      <c r="D80" t="s">
        <v>85</v>
      </c>
      <c r="E80" t="s">
        <v>178</v>
      </c>
      <c r="F80" s="12">
        <v>45660</v>
      </c>
      <c r="G80" s="12">
        <v>45660.063101851898</v>
      </c>
      <c r="H80" t="str">
        <f t="shared" si="2"/>
        <v>BOSP</v>
      </c>
      <c r="I80" t="str">
        <f t="shared" si="3"/>
        <v>BOSP</v>
      </c>
      <c r="J80" s="3">
        <f>(F80-VLOOKUP($A80,Runs!$A$2:$E$9,5,FALSE()))*1440</f>
        <v>0</v>
      </c>
      <c r="K80" s="3">
        <f>(G80-VLOOKUP($A80,Runs!$A$2:$E$9,5,FALSE()))*1440</f>
        <v>90.866666733054444</v>
      </c>
    </row>
    <row r="81" spans="1:11" ht="15" customHeight="1" x14ac:dyDescent="0.25">
      <c r="A81" t="s">
        <v>2</v>
      </c>
      <c r="B81">
        <v>1</v>
      </c>
      <c r="C81" t="s">
        <v>87</v>
      </c>
      <c r="D81" t="s">
        <v>85</v>
      </c>
      <c r="E81" t="s">
        <v>178</v>
      </c>
      <c r="F81" s="12">
        <v>45660</v>
      </c>
      <c r="G81" s="12">
        <v>45660.105347222197</v>
      </c>
      <c r="H81" t="str">
        <f t="shared" si="2"/>
        <v>BOSP</v>
      </c>
      <c r="I81" t="str">
        <f t="shared" si="3"/>
        <v>BOSP</v>
      </c>
      <c r="J81" s="3">
        <f>(F81-VLOOKUP($A81,Runs!$A$2:$E$9,5,FALSE()))*1440</f>
        <v>0</v>
      </c>
      <c r="K81" s="3">
        <f>(G81-VLOOKUP($A81,Runs!$A$2:$E$9,5,FALSE()))*1440</f>
        <v>151.69999996433035</v>
      </c>
    </row>
    <row r="82" spans="1:11" ht="15" customHeight="1" x14ac:dyDescent="0.25">
      <c r="A82" t="s">
        <v>2</v>
      </c>
      <c r="B82">
        <v>2</v>
      </c>
      <c r="C82" t="s">
        <v>91</v>
      </c>
      <c r="D82" t="s">
        <v>85</v>
      </c>
      <c r="E82" t="s">
        <v>178</v>
      </c>
      <c r="F82" s="12">
        <v>45660.041666666701</v>
      </c>
      <c r="G82" s="12">
        <v>45660.106412036999</v>
      </c>
      <c r="H82" t="str">
        <f t="shared" si="2"/>
        <v>BOSP</v>
      </c>
      <c r="I82" t="str">
        <f t="shared" si="3"/>
        <v>BOSP</v>
      </c>
      <c r="J82" s="3">
        <f>(F82-VLOOKUP($A82,Runs!$A$2:$E$9,5,FALSE()))*1440</f>
        <v>60.000000048894435</v>
      </c>
      <c r="K82" s="3">
        <f>(G82-VLOOKUP($A82,Runs!$A$2:$E$9,5,FALSE()))*1440</f>
        <v>153.23333327891305</v>
      </c>
    </row>
    <row r="83" spans="1:11" ht="15" customHeight="1" x14ac:dyDescent="0.25">
      <c r="A83" t="s">
        <v>2</v>
      </c>
      <c r="B83">
        <v>2</v>
      </c>
      <c r="C83" t="s">
        <v>92</v>
      </c>
      <c r="D83" t="s">
        <v>85</v>
      </c>
      <c r="E83" t="s">
        <v>178</v>
      </c>
      <c r="F83" s="12">
        <v>45660.041666666701</v>
      </c>
      <c r="G83" s="12">
        <v>45660.147523148204</v>
      </c>
      <c r="H83" t="str">
        <f t="shared" si="2"/>
        <v>BOSP</v>
      </c>
      <c r="I83" t="str">
        <f t="shared" si="3"/>
        <v>BOSP</v>
      </c>
      <c r="J83" s="3">
        <f>(F83-VLOOKUP($A83,Runs!$A$2:$E$9,5,FALSE()))*1440</f>
        <v>60.000000048894435</v>
      </c>
      <c r="K83" s="3">
        <f>(G83-VLOOKUP($A83,Runs!$A$2:$E$9,5,FALSE()))*1440</f>
        <v>212.43333341320977</v>
      </c>
    </row>
    <row r="84" spans="1:11" ht="15" customHeight="1" x14ac:dyDescent="0.25">
      <c r="A84" t="s">
        <v>2</v>
      </c>
      <c r="B84">
        <v>3</v>
      </c>
      <c r="C84" t="s">
        <v>97</v>
      </c>
      <c r="D84" t="s">
        <v>85</v>
      </c>
      <c r="E84" t="s">
        <v>178</v>
      </c>
      <c r="F84" s="12">
        <v>45660.083333333299</v>
      </c>
      <c r="G84" s="12">
        <v>45660.148587962998</v>
      </c>
      <c r="H84" t="str">
        <f t="shared" si="2"/>
        <v>BOSP</v>
      </c>
      <c r="I84" t="str">
        <f t="shared" si="3"/>
        <v>BOSP</v>
      </c>
      <c r="J84" s="3">
        <f>(F84-VLOOKUP($A84,Runs!$A$2:$E$9,5,FALSE()))*1440</f>
        <v>119.99999995110556</v>
      </c>
      <c r="K84" s="3">
        <f>(G84-VLOOKUP($A84,Runs!$A$2:$E$9,5,FALSE()))*1440</f>
        <v>213.96666671731509</v>
      </c>
    </row>
    <row r="85" spans="1:11" ht="15" customHeight="1" x14ac:dyDescent="0.25">
      <c r="A85" t="s">
        <v>2</v>
      </c>
      <c r="B85">
        <v>1</v>
      </c>
      <c r="C85" t="s">
        <v>179</v>
      </c>
      <c r="D85" t="s">
        <v>85</v>
      </c>
      <c r="E85" t="s">
        <v>180</v>
      </c>
      <c r="F85" s="12">
        <v>45660</v>
      </c>
      <c r="G85" s="12">
        <v>45660.168356481503</v>
      </c>
      <c r="H85" t="str">
        <f t="shared" si="2"/>
        <v>BAT</v>
      </c>
      <c r="I85" t="str">
        <f t="shared" si="3"/>
        <v>BAT</v>
      </c>
      <c r="J85" s="3">
        <f>(F85-VLOOKUP($A85,Runs!$A$2:$E$9,5,FALSE()))*1440</f>
        <v>0</v>
      </c>
      <c r="K85" s="3">
        <f>(G85-VLOOKUP($A85,Runs!$A$2:$E$9,5,FALSE()))*1440</f>
        <v>242.43333336431533</v>
      </c>
    </row>
    <row r="86" spans="1:11" ht="15" customHeight="1" x14ac:dyDescent="0.25">
      <c r="A86" t="s">
        <v>2</v>
      </c>
      <c r="B86">
        <v>3</v>
      </c>
      <c r="C86" t="s">
        <v>98</v>
      </c>
      <c r="D86" t="s">
        <v>85</v>
      </c>
      <c r="E86" t="s">
        <v>178</v>
      </c>
      <c r="F86" s="12">
        <v>45660.083333333299</v>
      </c>
      <c r="G86" s="12">
        <v>45660.188564814802</v>
      </c>
      <c r="H86" t="str">
        <f t="shared" si="2"/>
        <v>BOSP</v>
      </c>
      <c r="I86" t="str">
        <f t="shared" si="3"/>
        <v>BOSP</v>
      </c>
      <c r="J86" s="3">
        <f>(F86-VLOOKUP($A86,Runs!$A$2:$E$9,5,FALSE()))*1440</f>
        <v>119.99999995110556</v>
      </c>
      <c r="K86" s="3">
        <f>(G86-VLOOKUP($A86,Runs!$A$2:$E$9,5,FALSE()))*1440</f>
        <v>271.53333331458271</v>
      </c>
    </row>
    <row r="87" spans="1:11" ht="15" customHeight="1" x14ac:dyDescent="0.25">
      <c r="A87" t="s">
        <v>2</v>
      </c>
      <c r="B87">
        <v>4</v>
      </c>
      <c r="C87" t="s">
        <v>107</v>
      </c>
      <c r="D87" t="s">
        <v>85</v>
      </c>
      <c r="E87" t="s">
        <v>178</v>
      </c>
      <c r="F87" s="12">
        <v>45660.125</v>
      </c>
      <c r="G87" s="12">
        <v>45660.189629629604</v>
      </c>
      <c r="H87" t="str">
        <f t="shared" si="2"/>
        <v>BOSP</v>
      </c>
      <c r="I87" t="str">
        <f t="shared" si="3"/>
        <v>BOSP</v>
      </c>
      <c r="J87" s="3">
        <f>(F87-VLOOKUP($A87,Runs!$A$2:$E$9,5,FALSE()))*1440</f>
        <v>180</v>
      </c>
      <c r="K87" s="3">
        <f>(G87-VLOOKUP($A87,Runs!$A$2:$E$9,5,FALSE()))*1440</f>
        <v>273.06666662916541</v>
      </c>
    </row>
    <row r="88" spans="1:11" ht="15" customHeight="1" x14ac:dyDescent="0.25">
      <c r="A88" t="s">
        <v>2</v>
      </c>
      <c r="B88">
        <v>1</v>
      </c>
      <c r="C88" t="s">
        <v>88</v>
      </c>
      <c r="D88" t="s">
        <v>85</v>
      </c>
      <c r="E88" t="s">
        <v>181</v>
      </c>
      <c r="F88" s="12">
        <v>45660</v>
      </c>
      <c r="G88" s="12">
        <v>45660.208935185197</v>
      </c>
      <c r="H88" t="str">
        <f t="shared" si="2"/>
        <v>RT</v>
      </c>
      <c r="I88" t="str">
        <f t="shared" si="3"/>
        <v>RT</v>
      </c>
      <c r="J88" s="3">
        <f>(F88-VLOOKUP($A88,Runs!$A$2:$E$9,5,FALSE()))*1440</f>
        <v>0</v>
      </c>
      <c r="K88" s="3">
        <f>(G88-VLOOKUP($A88,Runs!$A$2:$E$9,5,FALSE()))*1440</f>
        <v>300.86666668416001</v>
      </c>
    </row>
    <row r="89" spans="1:11" ht="15" customHeight="1" x14ac:dyDescent="0.25">
      <c r="A89" t="s">
        <v>2</v>
      </c>
      <c r="B89">
        <v>2</v>
      </c>
      <c r="C89" t="s">
        <v>182</v>
      </c>
      <c r="D89" t="s">
        <v>85</v>
      </c>
      <c r="E89" t="s">
        <v>180</v>
      </c>
      <c r="F89" s="12">
        <v>45660.041666666701</v>
      </c>
      <c r="G89" s="12">
        <v>45660.21</v>
      </c>
      <c r="H89" t="str">
        <f t="shared" si="2"/>
        <v>BAT</v>
      </c>
      <c r="I89" t="str">
        <f t="shared" si="3"/>
        <v>BAT</v>
      </c>
      <c r="J89" s="3">
        <f>(F89-VLOOKUP($A89,Runs!$A$2:$E$9,5,FALSE()))*1440</f>
        <v>60.000000048894435</v>
      </c>
      <c r="K89" s="3">
        <f>(G89-VLOOKUP($A89,Runs!$A$2:$E$9,5,FALSE()))*1440</f>
        <v>302.39999999874271</v>
      </c>
    </row>
    <row r="90" spans="1:11" ht="15" customHeight="1" x14ac:dyDescent="0.25">
      <c r="A90" t="s">
        <v>2</v>
      </c>
      <c r="B90">
        <v>1</v>
      </c>
      <c r="C90" t="s">
        <v>90</v>
      </c>
      <c r="D90" t="s">
        <v>85</v>
      </c>
      <c r="E90" t="s">
        <v>181</v>
      </c>
      <c r="F90" s="12">
        <v>45660</v>
      </c>
      <c r="G90" s="12">
        <v>45660.230231481502</v>
      </c>
      <c r="H90" t="str">
        <f t="shared" si="2"/>
        <v>RT</v>
      </c>
      <c r="I90" t="str">
        <f t="shared" si="3"/>
        <v>RT</v>
      </c>
      <c r="J90" s="3">
        <f>(F90-VLOOKUP($A90,Runs!$A$2:$E$9,5,FALSE()))*1440</f>
        <v>0</v>
      </c>
      <c r="K90" s="3">
        <f>(G90-VLOOKUP($A90,Runs!$A$2:$E$9,5,FALSE()))*1440</f>
        <v>331.53333336347714</v>
      </c>
    </row>
    <row r="91" spans="1:11" ht="15" customHeight="1" x14ac:dyDescent="0.25">
      <c r="A91" t="s">
        <v>2</v>
      </c>
      <c r="B91">
        <v>4</v>
      </c>
      <c r="C91" t="s">
        <v>109</v>
      </c>
      <c r="D91" t="s">
        <v>85</v>
      </c>
      <c r="E91" t="s">
        <v>178</v>
      </c>
      <c r="F91" s="12">
        <v>45660.125</v>
      </c>
      <c r="G91" s="12">
        <v>45660.231296296297</v>
      </c>
      <c r="H91" t="str">
        <f t="shared" si="2"/>
        <v>BOSP</v>
      </c>
      <c r="I91" t="str">
        <f t="shared" si="3"/>
        <v>BOSP</v>
      </c>
      <c r="J91" s="3">
        <f>(F91-VLOOKUP($A91,Runs!$A$2:$E$9,5,FALSE()))*1440</f>
        <v>180</v>
      </c>
      <c r="K91" s="3">
        <f>(G91-VLOOKUP($A91,Runs!$A$2:$E$9,5,FALSE()))*1440</f>
        <v>333.06666666758247</v>
      </c>
    </row>
    <row r="92" spans="1:11" ht="15" customHeight="1" x14ac:dyDescent="0.25">
      <c r="A92" t="s">
        <v>2</v>
      </c>
      <c r="B92">
        <v>2</v>
      </c>
      <c r="C92" t="s">
        <v>93</v>
      </c>
      <c r="D92" t="s">
        <v>85</v>
      </c>
      <c r="E92" t="s">
        <v>181</v>
      </c>
      <c r="F92" s="12">
        <v>45660.041666666701</v>
      </c>
      <c r="G92" s="12">
        <v>45660.250601851898</v>
      </c>
      <c r="H92" t="str">
        <f t="shared" si="2"/>
        <v>RT</v>
      </c>
      <c r="I92" t="str">
        <f t="shared" si="3"/>
        <v>RT</v>
      </c>
      <c r="J92" s="3">
        <f>(F92-VLOOKUP($A92,Runs!$A$2:$E$9,5,FALSE()))*1440</f>
        <v>60.000000048894435</v>
      </c>
      <c r="K92" s="3">
        <f>(G92-VLOOKUP($A92,Runs!$A$2:$E$9,5,FALSE()))*1440</f>
        <v>360.86666673305444</v>
      </c>
    </row>
    <row r="93" spans="1:11" ht="15" customHeight="1" x14ac:dyDescent="0.25">
      <c r="A93" t="s">
        <v>2</v>
      </c>
      <c r="B93">
        <v>3</v>
      </c>
      <c r="C93" t="s">
        <v>183</v>
      </c>
      <c r="D93" t="s">
        <v>85</v>
      </c>
      <c r="E93" t="s">
        <v>180</v>
      </c>
      <c r="F93" s="12">
        <v>45660.083333333299</v>
      </c>
      <c r="G93" s="12">
        <v>45660.2516666667</v>
      </c>
      <c r="H93" t="str">
        <f t="shared" si="2"/>
        <v>BAT</v>
      </c>
      <c r="I93" t="str">
        <f t="shared" si="3"/>
        <v>BAT</v>
      </c>
      <c r="J93" s="3">
        <f>(F93-VLOOKUP($A93,Runs!$A$2:$E$9,5,FALSE()))*1440</f>
        <v>119.99999995110556</v>
      </c>
      <c r="K93" s="3">
        <f>(G93-VLOOKUP($A93,Runs!$A$2:$E$9,5,FALSE()))*1440</f>
        <v>362.40000004763715</v>
      </c>
    </row>
    <row r="94" spans="1:11" ht="15" customHeight="1" x14ac:dyDescent="0.25">
      <c r="A94" t="s">
        <v>2</v>
      </c>
      <c r="B94">
        <v>1</v>
      </c>
      <c r="C94" t="s">
        <v>184</v>
      </c>
      <c r="D94" t="s">
        <v>85</v>
      </c>
      <c r="E94" t="s">
        <v>185</v>
      </c>
      <c r="F94" s="12">
        <v>45660</v>
      </c>
      <c r="G94" s="12">
        <v>45660.271898148101</v>
      </c>
      <c r="H94" t="str">
        <f t="shared" si="2"/>
        <v>FT</v>
      </c>
      <c r="I94" t="str">
        <f t="shared" si="3"/>
        <v>FT</v>
      </c>
      <c r="J94" s="3">
        <f>(F94-VLOOKUP($A94,Runs!$A$2:$E$9,5,FALSE()))*1440</f>
        <v>0</v>
      </c>
      <c r="K94" s="3">
        <f>(G94-VLOOKUP($A94,Runs!$A$2:$E$9,5,FALSE()))*1440</f>
        <v>391.53333326568827</v>
      </c>
    </row>
    <row r="95" spans="1:11" ht="15" customHeight="1" x14ac:dyDescent="0.25">
      <c r="A95" t="s">
        <v>2</v>
      </c>
      <c r="B95">
        <v>2</v>
      </c>
      <c r="C95" t="s">
        <v>96</v>
      </c>
      <c r="D95" t="s">
        <v>85</v>
      </c>
      <c r="E95" t="s">
        <v>181</v>
      </c>
      <c r="F95" s="12">
        <v>45660.041666666701</v>
      </c>
      <c r="G95" s="12">
        <v>45660.272962962998</v>
      </c>
      <c r="H95" t="str">
        <f t="shared" si="2"/>
        <v>RT</v>
      </c>
      <c r="I95" t="str">
        <f t="shared" si="3"/>
        <v>RT</v>
      </c>
      <c r="J95" s="3">
        <f>(F95-VLOOKUP($A95,Runs!$A$2:$E$9,5,FALSE()))*1440</f>
        <v>60.000000048894435</v>
      </c>
      <c r="K95" s="3">
        <f>(G95-VLOOKUP($A95,Runs!$A$2:$E$9,5,FALSE()))*1440</f>
        <v>393.0666667164769</v>
      </c>
    </row>
    <row r="96" spans="1:11" ht="15" customHeight="1" x14ac:dyDescent="0.25">
      <c r="A96" t="s">
        <v>2</v>
      </c>
      <c r="B96">
        <v>3</v>
      </c>
      <c r="C96" t="s">
        <v>101</v>
      </c>
      <c r="D96" t="s">
        <v>85</v>
      </c>
      <c r="E96" t="s">
        <v>181</v>
      </c>
      <c r="F96" s="12">
        <v>45660.083333333299</v>
      </c>
      <c r="G96" s="12">
        <v>45660.292731481502</v>
      </c>
      <c r="H96" t="str">
        <f t="shared" si="2"/>
        <v>RT</v>
      </c>
      <c r="I96" t="str">
        <f t="shared" si="3"/>
        <v>RT</v>
      </c>
      <c r="J96" s="3">
        <f>(F96-VLOOKUP($A96,Runs!$A$2:$E$9,5,FALSE()))*1440</f>
        <v>119.99999995110556</v>
      </c>
      <c r="K96" s="3">
        <f>(G96-VLOOKUP($A96,Runs!$A$2:$E$9,5,FALSE()))*1440</f>
        <v>421.53333336347714</v>
      </c>
    </row>
    <row r="97" spans="1:11" ht="15" customHeight="1" x14ac:dyDescent="0.25">
      <c r="A97" t="s">
        <v>2</v>
      </c>
      <c r="B97">
        <v>4</v>
      </c>
      <c r="C97" t="s">
        <v>113</v>
      </c>
      <c r="D97" t="s">
        <v>85</v>
      </c>
      <c r="E97" t="s">
        <v>180</v>
      </c>
      <c r="F97" s="12">
        <v>45660.125</v>
      </c>
      <c r="G97" s="12">
        <v>45660.293796296297</v>
      </c>
      <c r="H97" t="str">
        <f t="shared" si="2"/>
        <v>BAT</v>
      </c>
      <c r="I97" t="str">
        <f t="shared" si="3"/>
        <v>BAT</v>
      </c>
      <c r="J97" s="3">
        <f>(F97-VLOOKUP($A97,Runs!$A$2:$E$9,5,FALSE()))*1440</f>
        <v>180</v>
      </c>
      <c r="K97" s="3">
        <f>(G97-VLOOKUP($A97,Runs!$A$2:$E$9,5,FALSE()))*1440</f>
        <v>423.06666666758247</v>
      </c>
    </row>
    <row r="98" spans="1:11" ht="15" customHeight="1" x14ac:dyDescent="0.25">
      <c r="A98" t="s">
        <v>2</v>
      </c>
      <c r="B98">
        <v>1</v>
      </c>
      <c r="C98" t="s">
        <v>186</v>
      </c>
      <c r="D98" t="s">
        <v>85</v>
      </c>
      <c r="E98" t="s">
        <v>185</v>
      </c>
      <c r="F98" s="12">
        <v>45660</v>
      </c>
      <c r="G98" s="12">
        <v>45660.3140277778</v>
      </c>
      <c r="H98" t="str">
        <f t="shared" si="2"/>
        <v>FT</v>
      </c>
      <c r="I98" t="str">
        <f t="shared" si="3"/>
        <v>FT</v>
      </c>
      <c r="J98" s="3">
        <f>(F98-VLOOKUP($A98,Runs!$A$2:$E$9,5,FALSE()))*1440</f>
        <v>0</v>
      </c>
      <c r="K98" s="3">
        <f>(G98-VLOOKUP($A98,Runs!$A$2:$E$9,5,FALSE()))*1440</f>
        <v>452.20000003231689</v>
      </c>
    </row>
    <row r="99" spans="1:11" ht="15" customHeight="1" x14ac:dyDescent="0.25">
      <c r="A99" t="s">
        <v>2</v>
      </c>
      <c r="B99">
        <v>2</v>
      </c>
      <c r="C99" t="s">
        <v>187</v>
      </c>
      <c r="D99" t="s">
        <v>85</v>
      </c>
      <c r="E99" t="s">
        <v>185</v>
      </c>
      <c r="F99" s="12">
        <v>45660.041666666701</v>
      </c>
      <c r="G99" s="12">
        <v>45660.315092592602</v>
      </c>
      <c r="H99" t="str">
        <f t="shared" si="2"/>
        <v>FT</v>
      </c>
      <c r="I99" t="str">
        <f t="shared" si="3"/>
        <v>FT</v>
      </c>
      <c r="J99" s="3">
        <f>(F99-VLOOKUP($A99,Runs!$A$2:$E$9,5,FALSE()))*1440</f>
        <v>60.000000048894435</v>
      </c>
      <c r="K99" s="3">
        <f>(G99-VLOOKUP($A99,Runs!$A$2:$E$9,5,FALSE()))*1440</f>
        <v>453.7333333468996</v>
      </c>
    </row>
    <row r="100" spans="1:11" ht="15" customHeight="1" x14ac:dyDescent="0.25">
      <c r="A100" t="s">
        <v>2</v>
      </c>
      <c r="B100">
        <v>3</v>
      </c>
      <c r="C100" t="s">
        <v>102</v>
      </c>
      <c r="D100" t="s">
        <v>85</v>
      </c>
      <c r="E100" t="s">
        <v>181</v>
      </c>
      <c r="F100" s="12">
        <v>45660.083333333299</v>
      </c>
      <c r="G100" s="12">
        <v>45660.316157407397</v>
      </c>
      <c r="H100" t="str">
        <f t="shared" si="2"/>
        <v>RT</v>
      </c>
      <c r="I100" t="str">
        <f t="shared" si="3"/>
        <v>RT</v>
      </c>
      <c r="J100" s="3">
        <f>(F100-VLOOKUP($A100,Runs!$A$2:$E$9,5,FALSE()))*1440</f>
        <v>119.99999995110556</v>
      </c>
      <c r="K100" s="3">
        <f>(G100-VLOOKUP($A100,Runs!$A$2:$E$9,5,FALSE()))*1440</f>
        <v>455.26666665100493</v>
      </c>
    </row>
    <row r="101" spans="1:11" ht="15" customHeight="1" x14ac:dyDescent="0.25">
      <c r="A101" t="s">
        <v>2</v>
      </c>
      <c r="B101">
        <v>4</v>
      </c>
      <c r="C101" t="s">
        <v>117</v>
      </c>
      <c r="D101" t="s">
        <v>85</v>
      </c>
      <c r="E101" t="s">
        <v>181</v>
      </c>
      <c r="F101" s="12">
        <v>45660.125</v>
      </c>
      <c r="G101" s="12">
        <v>45660.333935185197</v>
      </c>
      <c r="H101" t="str">
        <f t="shared" si="2"/>
        <v>RT</v>
      </c>
      <c r="I101" t="str">
        <f t="shared" si="3"/>
        <v>RT</v>
      </c>
      <c r="J101" s="3">
        <f>(F101-VLOOKUP($A101,Runs!$A$2:$E$9,5,FALSE()))*1440</f>
        <v>180</v>
      </c>
      <c r="K101" s="3">
        <f>(G101-VLOOKUP($A101,Runs!$A$2:$E$9,5,FALSE()))*1440</f>
        <v>480.86666668416001</v>
      </c>
    </row>
    <row r="102" spans="1:11" ht="15" customHeight="1" x14ac:dyDescent="0.25">
      <c r="A102" t="s">
        <v>2</v>
      </c>
      <c r="B102">
        <v>2</v>
      </c>
      <c r="C102" t="s">
        <v>188</v>
      </c>
      <c r="D102" t="s">
        <v>85</v>
      </c>
      <c r="E102" t="s">
        <v>185</v>
      </c>
      <c r="F102" s="12">
        <v>45660.041666666701</v>
      </c>
      <c r="G102" s="12">
        <v>45660.355231481502</v>
      </c>
      <c r="H102" t="str">
        <f t="shared" si="2"/>
        <v>FT</v>
      </c>
      <c r="I102" t="str">
        <f t="shared" si="3"/>
        <v>FT</v>
      </c>
      <c r="J102" s="3">
        <f>(F102-VLOOKUP($A102,Runs!$A$2:$E$9,5,FALSE()))*1440</f>
        <v>60.000000048894435</v>
      </c>
      <c r="K102" s="3">
        <f>(G102-VLOOKUP($A102,Runs!$A$2:$E$9,5,FALSE()))*1440</f>
        <v>511.53333336347714</v>
      </c>
    </row>
    <row r="103" spans="1:11" ht="15" customHeight="1" x14ac:dyDescent="0.25">
      <c r="A103" t="s">
        <v>2</v>
      </c>
      <c r="B103">
        <v>3</v>
      </c>
      <c r="C103" t="s">
        <v>189</v>
      </c>
      <c r="D103" t="s">
        <v>85</v>
      </c>
      <c r="E103" t="s">
        <v>185</v>
      </c>
      <c r="F103" s="12">
        <v>45660.083333333299</v>
      </c>
      <c r="G103" s="12">
        <v>45660.356296296297</v>
      </c>
      <c r="H103" t="str">
        <f t="shared" si="2"/>
        <v>FT</v>
      </c>
      <c r="I103" t="str">
        <f t="shared" si="3"/>
        <v>FT</v>
      </c>
      <c r="J103" s="3">
        <f>(F103-VLOOKUP($A103,Runs!$A$2:$E$9,5,FALSE()))*1440</f>
        <v>119.99999995110556</v>
      </c>
      <c r="K103" s="3">
        <f>(G103-VLOOKUP($A103,Runs!$A$2:$E$9,5,FALSE()))*1440</f>
        <v>513.06666666758247</v>
      </c>
    </row>
    <row r="104" spans="1:11" ht="15" customHeight="1" x14ac:dyDescent="0.25">
      <c r="A104" t="s">
        <v>2</v>
      </c>
      <c r="B104">
        <v>4</v>
      </c>
      <c r="C104" t="s">
        <v>119</v>
      </c>
      <c r="D104" t="s">
        <v>85</v>
      </c>
      <c r="E104" t="s">
        <v>181</v>
      </c>
      <c r="F104" s="12">
        <v>45660.125</v>
      </c>
      <c r="G104" s="12">
        <v>45660.357361111099</v>
      </c>
      <c r="H104" t="str">
        <f t="shared" si="2"/>
        <v>RT</v>
      </c>
      <c r="I104" t="str">
        <f t="shared" si="3"/>
        <v>RT</v>
      </c>
      <c r="J104" s="3">
        <f>(F104-VLOOKUP($A104,Runs!$A$2:$E$9,5,FALSE()))*1440</f>
        <v>180</v>
      </c>
      <c r="K104" s="3">
        <f>(G104-VLOOKUP($A104,Runs!$A$2:$E$9,5,FALSE()))*1440</f>
        <v>514.59999998216517</v>
      </c>
    </row>
    <row r="105" spans="1:11" ht="15" customHeight="1" x14ac:dyDescent="0.25">
      <c r="A105" t="s">
        <v>2</v>
      </c>
      <c r="B105">
        <v>3</v>
      </c>
      <c r="C105" t="s">
        <v>190</v>
      </c>
      <c r="D105" t="s">
        <v>85</v>
      </c>
      <c r="E105" t="s">
        <v>185</v>
      </c>
      <c r="F105" s="12">
        <v>45660.083333333299</v>
      </c>
      <c r="G105" s="12">
        <v>45660.3973611111</v>
      </c>
      <c r="H105" t="str">
        <f t="shared" si="2"/>
        <v>FT</v>
      </c>
      <c r="I105" t="str">
        <f t="shared" si="3"/>
        <v>FT</v>
      </c>
      <c r="J105" s="3">
        <f>(F105-VLOOKUP($A105,Runs!$A$2:$E$9,5,FALSE()))*1440</f>
        <v>119.99999995110556</v>
      </c>
      <c r="K105" s="3">
        <f>(G105-VLOOKUP($A105,Runs!$A$2:$E$9,5,FALSE()))*1440</f>
        <v>572.19999998342246</v>
      </c>
    </row>
    <row r="106" spans="1:11" ht="15" customHeight="1" x14ac:dyDescent="0.25">
      <c r="A106" t="s">
        <v>2</v>
      </c>
      <c r="B106">
        <v>4</v>
      </c>
      <c r="C106" t="s">
        <v>120</v>
      </c>
      <c r="D106" t="s">
        <v>85</v>
      </c>
      <c r="E106" t="s">
        <v>185</v>
      </c>
      <c r="F106" s="12">
        <v>45660.125</v>
      </c>
      <c r="G106" s="12">
        <v>45660.398425925901</v>
      </c>
      <c r="H106" t="str">
        <f t="shared" si="2"/>
        <v>FT</v>
      </c>
      <c r="I106" t="str">
        <f t="shared" si="3"/>
        <v>FT</v>
      </c>
      <c r="J106" s="3">
        <f>(F106-VLOOKUP($A106,Runs!$A$2:$E$9,5,FALSE()))*1440</f>
        <v>180</v>
      </c>
      <c r="K106" s="3">
        <f>(G106-VLOOKUP($A106,Runs!$A$2:$E$9,5,FALSE()))*1440</f>
        <v>573.73333329800516</v>
      </c>
    </row>
    <row r="107" spans="1:11" ht="15" customHeight="1" x14ac:dyDescent="0.25">
      <c r="A107" t="s">
        <v>2</v>
      </c>
      <c r="B107">
        <v>4</v>
      </c>
      <c r="C107" t="s">
        <v>124</v>
      </c>
      <c r="D107" t="s">
        <v>85</v>
      </c>
      <c r="E107" t="s">
        <v>185</v>
      </c>
      <c r="F107" s="12">
        <v>45660.125</v>
      </c>
      <c r="G107" s="12">
        <v>45660.4390277778</v>
      </c>
      <c r="H107" t="str">
        <f t="shared" si="2"/>
        <v>FT</v>
      </c>
      <c r="I107" t="str">
        <f t="shared" si="3"/>
        <v>FT</v>
      </c>
      <c r="J107" s="3">
        <f>(F107-VLOOKUP($A107,Runs!$A$2:$E$9,5,FALSE()))*1440</f>
        <v>180</v>
      </c>
      <c r="K107" s="3">
        <f>(G107-VLOOKUP($A107,Runs!$A$2:$E$9,5,FALSE()))*1440</f>
        <v>632.20000003231689</v>
      </c>
    </row>
    <row r="108" spans="1:11" ht="15" customHeight="1" x14ac:dyDescent="0.25">
      <c r="A108" t="s">
        <v>2</v>
      </c>
      <c r="B108">
        <v>1</v>
      </c>
      <c r="C108" t="s">
        <v>191</v>
      </c>
      <c r="D108" t="s">
        <v>85</v>
      </c>
      <c r="E108" t="s">
        <v>192</v>
      </c>
      <c r="F108" s="12">
        <v>45660</v>
      </c>
      <c r="G108" s="12">
        <v>45660.501064814802</v>
      </c>
      <c r="H108" t="str">
        <f t="shared" si="2"/>
        <v>SSA</v>
      </c>
      <c r="I108" t="str">
        <f t="shared" si="3"/>
        <v>SSA</v>
      </c>
      <c r="J108" s="3">
        <f>(F108-VLOOKUP($A108,Runs!$A$2:$E$9,5,FALSE()))*1440</f>
        <v>0</v>
      </c>
      <c r="K108" s="3">
        <f>(G108-VLOOKUP($A108,Runs!$A$2:$E$9,5,FALSE()))*1440</f>
        <v>721.53333331458271</v>
      </c>
    </row>
    <row r="109" spans="1:11" ht="15" customHeight="1" x14ac:dyDescent="0.25">
      <c r="A109" t="s">
        <v>2</v>
      </c>
      <c r="B109">
        <v>2</v>
      </c>
      <c r="C109" t="s">
        <v>193</v>
      </c>
      <c r="D109" t="s">
        <v>85</v>
      </c>
      <c r="E109" t="s">
        <v>192</v>
      </c>
      <c r="F109" s="12">
        <v>45660.041666666701</v>
      </c>
      <c r="G109" s="12">
        <v>45660.542731481502</v>
      </c>
      <c r="H109" t="str">
        <f t="shared" si="2"/>
        <v>SSA</v>
      </c>
      <c r="I109" t="str">
        <f t="shared" si="3"/>
        <v>SSA</v>
      </c>
      <c r="J109" s="3">
        <f>(F109-VLOOKUP($A109,Runs!$A$2:$E$9,5,FALSE()))*1440</f>
        <v>60.000000048894435</v>
      </c>
      <c r="K109" s="3">
        <f>(G109-VLOOKUP($A109,Runs!$A$2:$E$9,5,FALSE()))*1440</f>
        <v>781.53333336347714</v>
      </c>
    </row>
    <row r="110" spans="1:11" ht="15" customHeight="1" x14ac:dyDescent="0.25">
      <c r="A110" t="s">
        <v>2</v>
      </c>
      <c r="B110">
        <v>1</v>
      </c>
      <c r="C110" t="s">
        <v>194</v>
      </c>
      <c r="D110" t="s">
        <v>85</v>
      </c>
      <c r="E110" t="s">
        <v>192</v>
      </c>
      <c r="F110" s="12">
        <v>45660</v>
      </c>
      <c r="G110" s="12">
        <v>45660.584398148101</v>
      </c>
      <c r="H110" t="str">
        <f t="shared" si="2"/>
        <v>SSA</v>
      </c>
      <c r="I110" t="str">
        <f t="shared" si="3"/>
        <v>SSA</v>
      </c>
      <c r="J110" s="3">
        <f>(F110-VLOOKUP($A110,Runs!$A$2:$E$9,5,FALSE()))*1440</f>
        <v>0</v>
      </c>
      <c r="K110" s="3">
        <f>(G110-VLOOKUP($A110,Runs!$A$2:$E$9,5,FALSE()))*1440</f>
        <v>841.53333326568827</v>
      </c>
    </row>
    <row r="111" spans="1:11" ht="15" customHeight="1" x14ac:dyDescent="0.25">
      <c r="A111" t="s">
        <v>2</v>
      </c>
      <c r="B111">
        <v>3</v>
      </c>
      <c r="C111" t="s">
        <v>195</v>
      </c>
      <c r="D111" t="s">
        <v>85</v>
      </c>
      <c r="E111" t="s">
        <v>192</v>
      </c>
      <c r="F111" s="12">
        <v>45660.083333333299</v>
      </c>
      <c r="G111" s="12">
        <v>45660.585462962998</v>
      </c>
      <c r="H111" t="str">
        <f t="shared" si="2"/>
        <v>SSA</v>
      </c>
      <c r="I111" t="str">
        <f t="shared" si="3"/>
        <v>SSA</v>
      </c>
      <c r="J111" s="3">
        <f>(F111-VLOOKUP($A111,Runs!$A$2:$E$9,5,FALSE()))*1440</f>
        <v>119.99999995110556</v>
      </c>
      <c r="K111" s="3">
        <f>(G111-VLOOKUP($A111,Runs!$A$2:$E$9,5,FALSE()))*1440</f>
        <v>843.0666667164769</v>
      </c>
    </row>
    <row r="112" spans="1:11" ht="15" customHeight="1" x14ac:dyDescent="0.25">
      <c r="A112" t="s">
        <v>2</v>
      </c>
      <c r="B112">
        <v>1</v>
      </c>
      <c r="C112" t="s">
        <v>196</v>
      </c>
      <c r="D112" t="s">
        <v>85</v>
      </c>
      <c r="E112" t="s">
        <v>197</v>
      </c>
      <c r="F112" s="12">
        <v>45660</v>
      </c>
      <c r="G112" s="12">
        <v>45660.605231481502</v>
      </c>
      <c r="H112" t="str">
        <f t="shared" si="2"/>
        <v>FAX</v>
      </c>
      <c r="I112" t="str">
        <f t="shared" si="3"/>
        <v>FAX</v>
      </c>
      <c r="J112" s="3">
        <f>(F112-VLOOKUP($A112,Runs!$A$2:$E$9,5,FALSE()))*1440</f>
        <v>0</v>
      </c>
      <c r="K112" s="3">
        <f>(G112-VLOOKUP($A112,Runs!$A$2:$E$9,5,FALSE()))*1440</f>
        <v>871.53333336347714</v>
      </c>
    </row>
    <row r="113" spans="1:11" ht="15" customHeight="1" x14ac:dyDescent="0.25">
      <c r="A113" t="s">
        <v>2</v>
      </c>
      <c r="B113">
        <v>2</v>
      </c>
      <c r="C113" t="s">
        <v>198</v>
      </c>
      <c r="D113" t="s">
        <v>85</v>
      </c>
      <c r="E113" t="s">
        <v>192</v>
      </c>
      <c r="F113" s="12">
        <v>45660.041666666701</v>
      </c>
      <c r="G113" s="12">
        <v>45660.626064814802</v>
      </c>
      <c r="H113" t="str">
        <f t="shared" si="2"/>
        <v>SSA</v>
      </c>
      <c r="I113" t="str">
        <f t="shared" si="3"/>
        <v>SSA</v>
      </c>
      <c r="J113" s="3">
        <f>(F113-VLOOKUP($A113,Runs!$A$2:$E$9,5,FALSE()))*1440</f>
        <v>60.000000048894435</v>
      </c>
      <c r="K113" s="3">
        <f>(G113-VLOOKUP($A113,Runs!$A$2:$E$9,5,FALSE()))*1440</f>
        <v>901.53333331458271</v>
      </c>
    </row>
    <row r="114" spans="1:11" ht="15" customHeight="1" x14ac:dyDescent="0.25">
      <c r="A114" t="s">
        <v>2</v>
      </c>
      <c r="B114">
        <v>4</v>
      </c>
      <c r="C114" t="s">
        <v>199</v>
      </c>
      <c r="D114" t="s">
        <v>85</v>
      </c>
      <c r="E114" t="s">
        <v>192</v>
      </c>
      <c r="F114" s="12">
        <v>45660.125</v>
      </c>
      <c r="G114" s="12">
        <v>45660.627129629604</v>
      </c>
      <c r="H114" t="str">
        <f t="shared" si="2"/>
        <v>SSA</v>
      </c>
      <c r="I114" t="str">
        <f t="shared" si="3"/>
        <v>SSA</v>
      </c>
      <c r="J114" s="3">
        <f>(F114-VLOOKUP($A114,Runs!$A$2:$E$9,5,FALSE()))*1440</f>
        <v>180</v>
      </c>
      <c r="K114" s="3">
        <f>(G114-VLOOKUP($A114,Runs!$A$2:$E$9,5,FALSE()))*1440</f>
        <v>903.06666662916541</v>
      </c>
    </row>
    <row r="115" spans="1:11" ht="15" customHeight="1" x14ac:dyDescent="0.25">
      <c r="A115" t="s">
        <v>2</v>
      </c>
      <c r="B115">
        <v>2</v>
      </c>
      <c r="C115" t="s">
        <v>200</v>
      </c>
      <c r="D115" t="s">
        <v>85</v>
      </c>
      <c r="E115" t="s">
        <v>197</v>
      </c>
      <c r="F115" s="12">
        <v>45660.041666666701</v>
      </c>
      <c r="G115" s="12">
        <v>45660.646898148101</v>
      </c>
      <c r="H115" t="str">
        <f t="shared" si="2"/>
        <v>FAX</v>
      </c>
      <c r="I115" t="str">
        <f t="shared" si="3"/>
        <v>FAX</v>
      </c>
      <c r="J115" s="3">
        <f>(F115-VLOOKUP($A115,Runs!$A$2:$E$9,5,FALSE()))*1440</f>
        <v>60.000000048894435</v>
      </c>
      <c r="K115" s="3">
        <f>(G115-VLOOKUP($A115,Runs!$A$2:$E$9,5,FALSE()))*1440</f>
        <v>931.53333326568827</v>
      </c>
    </row>
    <row r="116" spans="1:11" ht="15" customHeight="1" x14ac:dyDescent="0.25">
      <c r="A116" t="s">
        <v>2</v>
      </c>
      <c r="B116">
        <v>3</v>
      </c>
      <c r="C116" t="s">
        <v>201</v>
      </c>
      <c r="D116" t="s">
        <v>85</v>
      </c>
      <c r="E116" t="s">
        <v>192</v>
      </c>
      <c r="F116" s="12">
        <v>45660.083333333299</v>
      </c>
      <c r="G116" s="12">
        <v>45660.667731481502</v>
      </c>
      <c r="H116" t="str">
        <f t="shared" si="2"/>
        <v>SSA</v>
      </c>
      <c r="I116" t="str">
        <f t="shared" si="3"/>
        <v>SSA</v>
      </c>
      <c r="J116" s="3">
        <f>(F116-VLOOKUP($A116,Runs!$A$2:$E$9,5,FALSE()))*1440</f>
        <v>119.99999995110556</v>
      </c>
      <c r="K116" s="3">
        <f>(G116-VLOOKUP($A116,Runs!$A$2:$E$9,5,FALSE()))*1440</f>
        <v>961.53333336347714</v>
      </c>
    </row>
    <row r="117" spans="1:11" ht="15" customHeight="1" x14ac:dyDescent="0.25">
      <c r="A117" t="s">
        <v>2</v>
      </c>
      <c r="B117">
        <v>1</v>
      </c>
      <c r="C117" t="s">
        <v>202</v>
      </c>
      <c r="D117" t="s">
        <v>85</v>
      </c>
      <c r="E117" t="s">
        <v>203</v>
      </c>
      <c r="F117" s="12">
        <v>45660</v>
      </c>
      <c r="G117" s="12">
        <v>45660.688564814802</v>
      </c>
      <c r="H117" t="str">
        <f t="shared" si="2"/>
        <v>CHS</v>
      </c>
      <c r="I117" t="str">
        <f t="shared" si="3"/>
        <v>CHS</v>
      </c>
      <c r="J117" s="3">
        <f>(F117-VLOOKUP($A117,Runs!$A$2:$E$9,5,FALSE()))*1440</f>
        <v>0</v>
      </c>
      <c r="K117" s="3">
        <f>(G117-VLOOKUP($A117,Runs!$A$2:$E$9,5,FALSE()))*1440</f>
        <v>991.53333331458271</v>
      </c>
    </row>
    <row r="118" spans="1:11" ht="15" customHeight="1" x14ac:dyDescent="0.25">
      <c r="A118" t="s">
        <v>2</v>
      </c>
      <c r="B118">
        <v>3</v>
      </c>
      <c r="C118" t="s">
        <v>204</v>
      </c>
      <c r="D118" t="s">
        <v>85</v>
      </c>
      <c r="E118" t="s">
        <v>197</v>
      </c>
      <c r="F118" s="12">
        <v>45660.083333333299</v>
      </c>
      <c r="G118" s="12">
        <v>45660.689629629604</v>
      </c>
      <c r="H118" t="str">
        <f t="shared" si="2"/>
        <v>FAX</v>
      </c>
      <c r="I118" t="str">
        <f t="shared" si="3"/>
        <v>FAX</v>
      </c>
      <c r="J118" s="3">
        <f>(F118-VLOOKUP($A118,Runs!$A$2:$E$9,5,FALSE()))*1440</f>
        <v>119.99999995110556</v>
      </c>
      <c r="K118" s="3">
        <f>(G118-VLOOKUP($A118,Runs!$A$2:$E$9,5,FALSE()))*1440</f>
        <v>993.06666662916541</v>
      </c>
    </row>
    <row r="119" spans="1:11" ht="15" customHeight="1" x14ac:dyDescent="0.25">
      <c r="A119" t="s">
        <v>2</v>
      </c>
      <c r="B119">
        <v>4</v>
      </c>
      <c r="C119" t="s">
        <v>205</v>
      </c>
      <c r="D119" t="s">
        <v>85</v>
      </c>
      <c r="E119" t="s">
        <v>192</v>
      </c>
      <c r="F119" s="12">
        <v>45660.125</v>
      </c>
      <c r="G119" s="12">
        <v>45660.709398148101</v>
      </c>
      <c r="H119" t="str">
        <f t="shared" si="2"/>
        <v>SSA</v>
      </c>
      <c r="I119" t="str">
        <f t="shared" si="3"/>
        <v>SSA</v>
      </c>
      <c r="J119" s="3">
        <f>(F119-VLOOKUP($A119,Runs!$A$2:$E$9,5,FALSE()))*1440</f>
        <v>180</v>
      </c>
      <c r="K119" s="3">
        <f>(G119-VLOOKUP($A119,Runs!$A$2:$E$9,5,FALSE()))*1440</f>
        <v>1021.5333332656883</v>
      </c>
    </row>
    <row r="120" spans="1:11" ht="15" customHeight="1" x14ac:dyDescent="0.25">
      <c r="A120" t="s">
        <v>2</v>
      </c>
      <c r="B120">
        <v>1</v>
      </c>
      <c r="C120" t="s">
        <v>99</v>
      </c>
      <c r="D120" t="s">
        <v>85</v>
      </c>
      <c r="E120" t="s">
        <v>206</v>
      </c>
      <c r="F120" s="12">
        <v>45660</v>
      </c>
      <c r="G120" s="12">
        <v>45660.730231481502</v>
      </c>
      <c r="H120" t="str">
        <f t="shared" si="2"/>
        <v>BSA</v>
      </c>
      <c r="I120" t="str">
        <f t="shared" si="3"/>
        <v>BSA</v>
      </c>
      <c r="J120" s="3">
        <f>(F120-VLOOKUP($A120,Runs!$A$2:$E$9,5,FALSE()))*1440</f>
        <v>0</v>
      </c>
      <c r="K120" s="3">
        <f>(G120-VLOOKUP($A120,Runs!$A$2:$E$9,5,FALSE()))*1440</f>
        <v>1051.5333333634771</v>
      </c>
    </row>
    <row r="121" spans="1:11" ht="15" customHeight="1" x14ac:dyDescent="0.25">
      <c r="A121" t="s">
        <v>2</v>
      </c>
      <c r="B121">
        <v>2</v>
      </c>
      <c r="C121" t="s">
        <v>207</v>
      </c>
      <c r="D121" t="s">
        <v>85</v>
      </c>
      <c r="E121" t="s">
        <v>203</v>
      </c>
      <c r="F121" s="12">
        <v>45660.041666666701</v>
      </c>
      <c r="G121" s="12">
        <v>45660.731296296297</v>
      </c>
      <c r="H121" t="str">
        <f t="shared" si="2"/>
        <v>CHS</v>
      </c>
      <c r="I121" t="str">
        <f t="shared" si="3"/>
        <v>CHS</v>
      </c>
      <c r="J121" s="3">
        <f>(F121-VLOOKUP($A121,Runs!$A$2:$E$9,5,FALSE()))*1440</f>
        <v>60.000000048894435</v>
      </c>
      <c r="K121" s="3">
        <f>(G121-VLOOKUP($A121,Runs!$A$2:$E$9,5,FALSE()))*1440</f>
        <v>1053.0666666675825</v>
      </c>
    </row>
    <row r="122" spans="1:11" ht="15" customHeight="1" x14ac:dyDescent="0.25">
      <c r="A122" t="s">
        <v>2</v>
      </c>
      <c r="B122">
        <v>4</v>
      </c>
      <c r="C122" t="s">
        <v>208</v>
      </c>
      <c r="D122" t="s">
        <v>85</v>
      </c>
      <c r="E122" t="s">
        <v>197</v>
      </c>
      <c r="F122" s="12">
        <v>45660.125</v>
      </c>
      <c r="G122" s="12">
        <v>45660.732361111099</v>
      </c>
      <c r="H122" t="str">
        <f t="shared" si="2"/>
        <v>FAX</v>
      </c>
      <c r="I122" t="str">
        <f t="shared" si="3"/>
        <v>FAX</v>
      </c>
      <c r="J122" s="3">
        <f>(F122-VLOOKUP($A122,Runs!$A$2:$E$9,5,FALSE()))*1440</f>
        <v>180</v>
      </c>
      <c r="K122" s="3">
        <f>(G122-VLOOKUP($A122,Runs!$A$2:$E$9,5,FALSE()))*1440</f>
        <v>1054.5999999821652</v>
      </c>
    </row>
    <row r="123" spans="1:11" ht="15" customHeight="1" x14ac:dyDescent="0.25">
      <c r="A123" t="s">
        <v>2</v>
      </c>
      <c r="B123">
        <v>2</v>
      </c>
      <c r="C123" t="s">
        <v>110</v>
      </c>
      <c r="D123" t="s">
        <v>85</v>
      </c>
      <c r="E123" t="s">
        <v>206</v>
      </c>
      <c r="F123" s="12">
        <v>45660.041666666701</v>
      </c>
      <c r="G123" s="12">
        <v>45660.771898148101</v>
      </c>
      <c r="H123" t="str">
        <f t="shared" si="2"/>
        <v>BSA</v>
      </c>
      <c r="I123" t="str">
        <f t="shared" si="3"/>
        <v>BSA</v>
      </c>
      <c r="J123" s="3">
        <f>(F123-VLOOKUP($A123,Runs!$A$2:$E$9,5,FALSE()))*1440</f>
        <v>60.000000048894435</v>
      </c>
      <c r="K123" s="3">
        <f>(G123-VLOOKUP($A123,Runs!$A$2:$E$9,5,FALSE()))*1440</f>
        <v>1111.5333332656883</v>
      </c>
    </row>
    <row r="124" spans="1:11" ht="15" customHeight="1" x14ac:dyDescent="0.25">
      <c r="A124" t="s">
        <v>2</v>
      </c>
      <c r="B124">
        <v>3</v>
      </c>
      <c r="C124" t="s">
        <v>209</v>
      </c>
      <c r="D124" t="s">
        <v>85</v>
      </c>
      <c r="E124" t="s">
        <v>203</v>
      </c>
      <c r="F124" s="12">
        <v>45660.083333333299</v>
      </c>
      <c r="G124" s="12">
        <v>45660.772962962998</v>
      </c>
      <c r="H124" t="str">
        <f t="shared" si="2"/>
        <v>CHS</v>
      </c>
      <c r="I124" t="str">
        <f t="shared" si="3"/>
        <v>CHS</v>
      </c>
      <c r="J124" s="3">
        <f>(F124-VLOOKUP($A124,Runs!$A$2:$E$9,5,FALSE()))*1440</f>
        <v>119.99999995110556</v>
      </c>
      <c r="K124" s="3">
        <f>(G124-VLOOKUP($A124,Runs!$A$2:$E$9,5,FALSE()))*1440</f>
        <v>1113.0666667164769</v>
      </c>
    </row>
    <row r="125" spans="1:11" ht="15" customHeight="1" x14ac:dyDescent="0.25">
      <c r="A125" t="s">
        <v>2</v>
      </c>
      <c r="B125">
        <v>1</v>
      </c>
      <c r="C125" t="s">
        <v>104</v>
      </c>
      <c r="D125" t="s">
        <v>85</v>
      </c>
      <c r="E125" t="s">
        <v>206</v>
      </c>
      <c r="F125" s="12">
        <v>45660</v>
      </c>
      <c r="G125" s="12">
        <v>45660.792731481502</v>
      </c>
      <c r="H125" t="str">
        <f t="shared" si="2"/>
        <v>BSA</v>
      </c>
      <c r="I125" t="str">
        <f t="shared" si="3"/>
        <v>BSA</v>
      </c>
      <c r="J125" s="3">
        <f>(F125-VLOOKUP($A125,Runs!$A$2:$E$9,5,FALSE()))*1440</f>
        <v>0</v>
      </c>
      <c r="K125" s="3">
        <f>(G125-VLOOKUP($A125,Runs!$A$2:$E$9,5,FALSE()))*1440</f>
        <v>1141.5333333634771</v>
      </c>
    </row>
    <row r="126" spans="1:11" ht="15" customHeight="1" x14ac:dyDescent="0.25">
      <c r="A126" t="s">
        <v>2</v>
      </c>
      <c r="B126">
        <v>1</v>
      </c>
      <c r="C126" t="s">
        <v>210</v>
      </c>
      <c r="D126" t="s">
        <v>85</v>
      </c>
      <c r="E126" t="s">
        <v>211</v>
      </c>
      <c r="F126" s="12">
        <v>45660</v>
      </c>
      <c r="G126" s="12">
        <v>45660.813564814802</v>
      </c>
      <c r="H126" t="str">
        <f t="shared" si="2"/>
        <v>RAX_HD</v>
      </c>
      <c r="I126" t="str">
        <f t="shared" si="3"/>
        <v>RAX_HD</v>
      </c>
      <c r="J126" s="3">
        <f>(F126-VLOOKUP($A126,Runs!$A$2:$E$9,5,FALSE()))*1440</f>
        <v>0</v>
      </c>
      <c r="K126" s="3">
        <f>(G126-VLOOKUP($A126,Runs!$A$2:$E$9,5,FALSE()))*1440</f>
        <v>1171.5333333145827</v>
      </c>
    </row>
    <row r="127" spans="1:11" ht="15" customHeight="1" x14ac:dyDescent="0.25">
      <c r="A127" t="s">
        <v>2</v>
      </c>
      <c r="B127">
        <v>3</v>
      </c>
      <c r="C127" t="s">
        <v>116</v>
      </c>
      <c r="D127" t="s">
        <v>85</v>
      </c>
      <c r="E127" t="s">
        <v>206</v>
      </c>
      <c r="F127" s="12">
        <v>45660.083333333299</v>
      </c>
      <c r="G127" s="12">
        <v>45660.814629629604</v>
      </c>
      <c r="H127" t="str">
        <f t="shared" si="2"/>
        <v>BSA</v>
      </c>
      <c r="I127" t="str">
        <f t="shared" si="3"/>
        <v>BSA</v>
      </c>
      <c r="J127" s="3">
        <f>(F127-VLOOKUP($A127,Runs!$A$2:$E$9,5,FALSE()))*1440</f>
        <v>119.99999995110556</v>
      </c>
      <c r="K127" s="3">
        <f>(G127-VLOOKUP($A127,Runs!$A$2:$E$9,5,FALSE()))*1440</f>
        <v>1173.0666666291654</v>
      </c>
    </row>
    <row r="128" spans="1:11" ht="15" customHeight="1" x14ac:dyDescent="0.25">
      <c r="A128" t="s">
        <v>2</v>
      </c>
      <c r="B128">
        <v>4</v>
      </c>
      <c r="C128" t="s">
        <v>212</v>
      </c>
      <c r="D128" t="s">
        <v>85</v>
      </c>
      <c r="E128" t="s">
        <v>203</v>
      </c>
      <c r="F128" s="12">
        <v>45660.125</v>
      </c>
      <c r="G128" s="12">
        <v>45660.815694444398</v>
      </c>
      <c r="H128" t="str">
        <f t="shared" si="2"/>
        <v>CHS</v>
      </c>
      <c r="I128" t="str">
        <f t="shared" si="3"/>
        <v>CHS</v>
      </c>
      <c r="J128" s="3">
        <f>(F128-VLOOKUP($A128,Runs!$A$2:$E$9,5,FALSE()))*1440</f>
        <v>180</v>
      </c>
      <c r="K128" s="3">
        <f>(G128-VLOOKUP($A128,Runs!$A$2:$E$9,5,FALSE()))*1440</f>
        <v>1174.5999999332707</v>
      </c>
    </row>
    <row r="129" spans="1:11" ht="15" customHeight="1" x14ac:dyDescent="0.25">
      <c r="A129" t="s">
        <v>2</v>
      </c>
      <c r="B129">
        <v>5</v>
      </c>
      <c r="C129" t="s">
        <v>213</v>
      </c>
      <c r="D129" t="s">
        <v>85</v>
      </c>
      <c r="E129" t="s">
        <v>178</v>
      </c>
      <c r="F129" s="12">
        <v>45660.166666666701</v>
      </c>
      <c r="G129" s="12">
        <v>45660.834398148101</v>
      </c>
      <c r="H129" t="str">
        <f t="shared" si="2"/>
        <v>BOSP</v>
      </c>
      <c r="I129" t="str">
        <f t="shared" si="3"/>
        <v>BOSP</v>
      </c>
      <c r="J129" s="3">
        <f>(F129-VLOOKUP($A129,Runs!$A$2:$E$9,5,FALSE()))*1440</f>
        <v>240.00000004889444</v>
      </c>
      <c r="K129" s="3">
        <f>(G129-VLOOKUP($A129,Runs!$A$2:$E$9,5,FALSE()))*1440</f>
        <v>1201.5333332656883</v>
      </c>
    </row>
    <row r="130" spans="1:11" ht="15" customHeight="1" x14ac:dyDescent="0.25">
      <c r="A130" t="s">
        <v>2</v>
      </c>
      <c r="B130">
        <v>2</v>
      </c>
      <c r="C130" t="s">
        <v>112</v>
      </c>
      <c r="D130" t="s">
        <v>85</v>
      </c>
      <c r="E130" t="s">
        <v>206</v>
      </c>
      <c r="F130" s="12">
        <v>45660.041666666701</v>
      </c>
      <c r="G130" s="12">
        <v>45660.835462962998</v>
      </c>
      <c r="H130" t="str">
        <f t="shared" ref="H130:H193" si="4">MID(E130,8,100)</f>
        <v>BSA</v>
      </c>
      <c r="I130" t="str">
        <f t="shared" ref="I130:I193" si="5">IF(H130="CORE","CHS",H130)</f>
        <v>BSA</v>
      </c>
      <c r="J130" s="3">
        <f>(F130-VLOOKUP($A130,Runs!$A$2:$E$9,5,FALSE()))*1440</f>
        <v>60.000000048894435</v>
      </c>
      <c r="K130" s="3">
        <f>(G130-VLOOKUP($A130,Runs!$A$2:$E$9,5,FALSE()))*1440</f>
        <v>1203.0666667164769</v>
      </c>
    </row>
    <row r="131" spans="1:11" ht="15" customHeight="1" x14ac:dyDescent="0.25">
      <c r="A131" t="s">
        <v>2</v>
      </c>
      <c r="B131">
        <v>5</v>
      </c>
      <c r="C131" t="s">
        <v>214</v>
      </c>
      <c r="D131" t="s">
        <v>85</v>
      </c>
      <c r="E131" t="s">
        <v>178</v>
      </c>
      <c r="F131" s="12">
        <v>45660.166666666701</v>
      </c>
      <c r="G131" s="12">
        <v>45660.855231481502</v>
      </c>
      <c r="H131" t="str">
        <f t="shared" si="4"/>
        <v>BOSP</v>
      </c>
      <c r="I131" t="str">
        <f t="shared" si="5"/>
        <v>BOSP</v>
      </c>
      <c r="J131" s="3">
        <f>(F131-VLOOKUP($A131,Runs!$A$2:$E$9,5,FALSE()))*1440</f>
        <v>240.00000004889444</v>
      </c>
      <c r="K131" s="3">
        <f>(G131-VLOOKUP($A131,Runs!$A$2:$E$9,5,FALSE()))*1440</f>
        <v>1231.5333333634771</v>
      </c>
    </row>
    <row r="132" spans="1:11" ht="15" customHeight="1" x14ac:dyDescent="0.25">
      <c r="A132" t="s">
        <v>2</v>
      </c>
      <c r="B132">
        <v>2</v>
      </c>
      <c r="C132" t="s">
        <v>215</v>
      </c>
      <c r="D132" t="s">
        <v>85</v>
      </c>
      <c r="E132" t="s">
        <v>211</v>
      </c>
      <c r="F132" s="12">
        <v>45660.041666666701</v>
      </c>
      <c r="G132" s="12">
        <v>45660.856296296297</v>
      </c>
      <c r="H132" t="str">
        <f t="shared" si="4"/>
        <v>RAX_HD</v>
      </c>
      <c r="I132" t="str">
        <f t="shared" si="5"/>
        <v>RAX_HD</v>
      </c>
      <c r="J132" s="3">
        <f>(F132-VLOOKUP($A132,Runs!$A$2:$E$9,5,FALSE()))*1440</f>
        <v>60.000000048894435</v>
      </c>
      <c r="K132" s="3">
        <f>(G132-VLOOKUP($A132,Runs!$A$2:$E$9,5,FALSE()))*1440</f>
        <v>1233.0666666675825</v>
      </c>
    </row>
    <row r="133" spans="1:11" ht="15" customHeight="1" x14ac:dyDescent="0.25">
      <c r="A133" t="s">
        <v>2</v>
      </c>
      <c r="B133">
        <v>4</v>
      </c>
      <c r="C133" t="s">
        <v>216</v>
      </c>
      <c r="D133" t="s">
        <v>85</v>
      </c>
      <c r="E133" t="s">
        <v>206</v>
      </c>
      <c r="F133" s="12">
        <v>45660.125</v>
      </c>
      <c r="G133" s="12">
        <v>45660.857361111099</v>
      </c>
      <c r="H133" t="str">
        <f t="shared" si="4"/>
        <v>BSA</v>
      </c>
      <c r="I133" t="str">
        <f t="shared" si="5"/>
        <v>BSA</v>
      </c>
      <c r="J133" s="3">
        <f>(F133-VLOOKUP($A133,Runs!$A$2:$E$9,5,FALSE()))*1440</f>
        <v>180</v>
      </c>
      <c r="K133" s="3">
        <f>(G133-VLOOKUP($A133,Runs!$A$2:$E$9,5,FALSE()))*1440</f>
        <v>1234.5999999821652</v>
      </c>
    </row>
    <row r="134" spans="1:11" ht="15" customHeight="1" x14ac:dyDescent="0.25">
      <c r="A134" t="s">
        <v>2</v>
      </c>
      <c r="B134">
        <v>6</v>
      </c>
      <c r="C134" t="s">
        <v>133</v>
      </c>
      <c r="D134" t="s">
        <v>85</v>
      </c>
      <c r="E134" t="s">
        <v>178</v>
      </c>
      <c r="F134" s="12">
        <v>45660.208333333299</v>
      </c>
      <c r="G134" s="12">
        <v>45660.876064814802</v>
      </c>
      <c r="H134" t="str">
        <f t="shared" si="4"/>
        <v>BOSP</v>
      </c>
      <c r="I134" t="str">
        <f t="shared" si="5"/>
        <v>BOSP</v>
      </c>
      <c r="J134" s="3">
        <f>(F134-VLOOKUP($A134,Runs!$A$2:$E$9,5,FALSE()))*1440</f>
        <v>299.99999995110556</v>
      </c>
      <c r="K134" s="3">
        <f>(G134-VLOOKUP($A134,Runs!$A$2:$E$9,5,FALSE()))*1440</f>
        <v>1261.5333333145827</v>
      </c>
    </row>
    <row r="135" spans="1:11" ht="15" customHeight="1" x14ac:dyDescent="0.25">
      <c r="A135" t="s">
        <v>2</v>
      </c>
      <c r="B135">
        <v>3</v>
      </c>
      <c r="C135" t="s">
        <v>122</v>
      </c>
      <c r="D135" t="s">
        <v>85</v>
      </c>
      <c r="E135" t="s">
        <v>206</v>
      </c>
      <c r="F135" s="12">
        <v>45660.083333333299</v>
      </c>
      <c r="G135" s="12">
        <v>45660.877129629604</v>
      </c>
      <c r="H135" t="str">
        <f t="shared" si="4"/>
        <v>BSA</v>
      </c>
      <c r="I135" t="str">
        <f t="shared" si="5"/>
        <v>BSA</v>
      </c>
      <c r="J135" s="3">
        <f>(F135-VLOOKUP($A135,Runs!$A$2:$E$9,5,FALSE()))*1440</f>
        <v>119.99999995110556</v>
      </c>
      <c r="K135" s="3">
        <f>(G135-VLOOKUP($A135,Runs!$A$2:$E$9,5,FALSE()))*1440</f>
        <v>1263.0666666291654</v>
      </c>
    </row>
    <row r="136" spans="1:11" ht="15" customHeight="1" x14ac:dyDescent="0.25">
      <c r="A136" t="s">
        <v>2</v>
      </c>
      <c r="B136">
        <v>6</v>
      </c>
      <c r="C136" t="s">
        <v>134</v>
      </c>
      <c r="D136" t="s">
        <v>85</v>
      </c>
      <c r="E136" t="s">
        <v>178</v>
      </c>
      <c r="F136" s="12">
        <v>45660.208333333299</v>
      </c>
      <c r="G136" s="12">
        <v>45660.896898148101</v>
      </c>
      <c r="H136" t="str">
        <f t="shared" si="4"/>
        <v>BOSP</v>
      </c>
      <c r="I136" t="str">
        <f t="shared" si="5"/>
        <v>BOSP</v>
      </c>
      <c r="J136" s="3">
        <f>(F136-VLOOKUP($A136,Runs!$A$2:$E$9,5,FALSE()))*1440</f>
        <v>299.99999995110556</v>
      </c>
      <c r="K136" s="3">
        <f>(G136-VLOOKUP($A136,Runs!$A$2:$E$9,5,FALSE()))*1440</f>
        <v>1291.5333332656883</v>
      </c>
    </row>
    <row r="137" spans="1:11" ht="15" customHeight="1" x14ac:dyDescent="0.25">
      <c r="A137" t="s">
        <v>2</v>
      </c>
      <c r="B137">
        <v>3</v>
      </c>
      <c r="C137" t="s">
        <v>217</v>
      </c>
      <c r="D137" t="s">
        <v>85</v>
      </c>
      <c r="E137" t="s">
        <v>211</v>
      </c>
      <c r="F137" s="12">
        <v>45660.083333333299</v>
      </c>
      <c r="G137" s="12">
        <v>45660.897962962998</v>
      </c>
      <c r="H137" t="str">
        <f t="shared" si="4"/>
        <v>RAX_HD</v>
      </c>
      <c r="I137" t="str">
        <f t="shared" si="5"/>
        <v>RAX_HD</v>
      </c>
      <c r="J137" s="3">
        <f>(F137-VLOOKUP($A137,Runs!$A$2:$E$9,5,FALSE()))*1440</f>
        <v>119.99999995110556</v>
      </c>
      <c r="K137" s="3">
        <f>(G137-VLOOKUP($A137,Runs!$A$2:$E$9,5,FALSE()))*1440</f>
        <v>1293.0666667164769</v>
      </c>
    </row>
    <row r="138" spans="1:11" ht="15" customHeight="1" x14ac:dyDescent="0.25">
      <c r="A138" t="s">
        <v>2</v>
      </c>
      <c r="B138">
        <v>5</v>
      </c>
      <c r="C138" t="s">
        <v>218</v>
      </c>
      <c r="D138" t="s">
        <v>85</v>
      </c>
      <c r="E138" t="s">
        <v>180</v>
      </c>
      <c r="F138" s="12">
        <v>45660.166666666701</v>
      </c>
      <c r="G138" s="12">
        <v>45660.917731481502</v>
      </c>
      <c r="H138" t="str">
        <f t="shared" si="4"/>
        <v>BAT</v>
      </c>
      <c r="I138" t="str">
        <f t="shared" si="5"/>
        <v>BAT</v>
      </c>
      <c r="J138" s="3">
        <f>(F138-VLOOKUP($A138,Runs!$A$2:$E$9,5,FALSE()))*1440</f>
        <v>240.00000004889444</v>
      </c>
      <c r="K138" s="3">
        <f>(G138-VLOOKUP($A138,Runs!$A$2:$E$9,5,FALSE()))*1440</f>
        <v>1321.5333333634771</v>
      </c>
    </row>
    <row r="139" spans="1:11" ht="15" customHeight="1" x14ac:dyDescent="0.25">
      <c r="A139" t="s">
        <v>2</v>
      </c>
      <c r="B139">
        <v>7</v>
      </c>
      <c r="C139" t="s">
        <v>140</v>
      </c>
      <c r="D139" t="s">
        <v>85</v>
      </c>
      <c r="E139" t="s">
        <v>178</v>
      </c>
      <c r="F139" s="12">
        <v>45660.270833333299</v>
      </c>
      <c r="G139" s="12">
        <v>45660.918796296297</v>
      </c>
      <c r="H139" t="str">
        <f t="shared" si="4"/>
        <v>BOSP</v>
      </c>
      <c r="I139" t="str">
        <f t="shared" si="5"/>
        <v>BOSP</v>
      </c>
      <c r="J139" s="3">
        <f>(F139-VLOOKUP($A139,Runs!$A$2:$E$9,5,FALSE()))*1440</f>
        <v>389.99999995110556</v>
      </c>
      <c r="K139" s="3">
        <f>(G139-VLOOKUP($A139,Runs!$A$2:$E$9,5,FALSE()))*1440</f>
        <v>1323.0666666675825</v>
      </c>
    </row>
    <row r="140" spans="1:11" ht="15" customHeight="1" x14ac:dyDescent="0.25">
      <c r="A140" t="s">
        <v>2</v>
      </c>
      <c r="B140">
        <v>4</v>
      </c>
      <c r="C140" t="s">
        <v>219</v>
      </c>
      <c r="D140" t="s">
        <v>85</v>
      </c>
      <c r="E140" t="s">
        <v>206</v>
      </c>
      <c r="F140" s="12">
        <v>45660.125</v>
      </c>
      <c r="G140" s="12">
        <v>45660.919861111099</v>
      </c>
      <c r="H140" t="str">
        <f t="shared" si="4"/>
        <v>BSA</v>
      </c>
      <c r="I140" t="str">
        <f t="shared" si="5"/>
        <v>BSA</v>
      </c>
      <c r="J140" s="3">
        <f>(F140-VLOOKUP($A140,Runs!$A$2:$E$9,5,FALSE()))*1440</f>
        <v>180</v>
      </c>
      <c r="K140" s="3">
        <f>(G140-VLOOKUP($A140,Runs!$A$2:$E$9,5,FALSE()))*1440</f>
        <v>1324.5999999821652</v>
      </c>
    </row>
    <row r="141" spans="1:11" ht="15" customHeight="1" x14ac:dyDescent="0.25">
      <c r="A141" t="s">
        <v>2</v>
      </c>
      <c r="B141">
        <v>7</v>
      </c>
      <c r="C141" t="s">
        <v>143</v>
      </c>
      <c r="D141" t="s">
        <v>85</v>
      </c>
      <c r="E141" t="s">
        <v>178</v>
      </c>
      <c r="F141" s="12">
        <v>45660.270833333299</v>
      </c>
      <c r="G141" s="12">
        <v>45660.938564814802</v>
      </c>
      <c r="H141" t="str">
        <f t="shared" si="4"/>
        <v>BOSP</v>
      </c>
      <c r="I141" t="str">
        <f t="shared" si="5"/>
        <v>BOSP</v>
      </c>
      <c r="J141" s="3">
        <f>(F141-VLOOKUP($A141,Runs!$A$2:$E$9,5,FALSE()))*1440</f>
        <v>389.99999995110556</v>
      </c>
      <c r="K141" s="3">
        <f>(G141-VLOOKUP($A141,Runs!$A$2:$E$9,5,FALSE()))*1440</f>
        <v>1351.5333333145827</v>
      </c>
    </row>
    <row r="142" spans="1:11" ht="15" customHeight="1" x14ac:dyDescent="0.25">
      <c r="A142" t="s">
        <v>2</v>
      </c>
      <c r="B142">
        <v>4</v>
      </c>
      <c r="C142" t="s">
        <v>220</v>
      </c>
      <c r="D142" t="s">
        <v>85</v>
      </c>
      <c r="E142" t="s">
        <v>211</v>
      </c>
      <c r="F142" s="12">
        <v>45660.125</v>
      </c>
      <c r="G142" s="12">
        <v>45660.939629629604</v>
      </c>
      <c r="H142" t="str">
        <f t="shared" si="4"/>
        <v>RAX_HD</v>
      </c>
      <c r="I142" t="str">
        <f t="shared" si="5"/>
        <v>RAX_HD</v>
      </c>
      <c r="J142" s="3">
        <f>(F142-VLOOKUP($A142,Runs!$A$2:$E$9,5,FALSE()))*1440</f>
        <v>180</v>
      </c>
      <c r="K142" s="3">
        <f>(G142-VLOOKUP($A142,Runs!$A$2:$E$9,5,FALSE()))*1440</f>
        <v>1353.0666666291654</v>
      </c>
    </row>
    <row r="143" spans="1:11" ht="15" customHeight="1" x14ac:dyDescent="0.25">
      <c r="A143" t="s">
        <v>2</v>
      </c>
      <c r="B143">
        <v>5</v>
      </c>
      <c r="C143" t="s">
        <v>127</v>
      </c>
      <c r="D143" t="s">
        <v>85</v>
      </c>
      <c r="E143" t="s">
        <v>181</v>
      </c>
      <c r="F143" s="12">
        <v>45660.166666666701</v>
      </c>
      <c r="G143" s="12">
        <v>45660.959398148101</v>
      </c>
      <c r="H143" t="str">
        <f t="shared" si="4"/>
        <v>RT</v>
      </c>
      <c r="I143" t="str">
        <f t="shared" si="5"/>
        <v>RT</v>
      </c>
      <c r="J143" s="3">
        <f>(F143-VLOOKUP($A143,Runs!$A$2:$E$9,5,FALSE()))*1440</f>
        <v>240.00000004889444</v>
      </c>
      <c r="K143" s="3">
        <f>(G143-VLOOKUP($A143,Runs!$A$2:$E$9,5,FALSE()))*1440</f>
        <v>1381.5333332656883</v>
      </c>
    </row>
    <row r="144" spans="1:11" ht="15" customHeight="1" x14ac:dyDescent="0.25">
      <c r="A144" t="s">
        <v>2</v>
      </c>
      <c r="B144">
        <v>6</v>
      </c>
      <c r="C144" t="s">
        <v>221</v>
      </c>
      <c r="D144" t="s">
        <v>85</v>
      </c>
      <c r="E144" t="s">
        <v>180</v>
      </c>
      <c r="F144" s="12">
        <v>45660.208333333299</v>
      </c>
      <c r="G144" s="12">
        <v>45660.960462962998</v>
      </c>
      <c r="H144" t="str">
        <f t="shared" si="4"/>
        <v>BAT</v>
      </c>
      <c r="I144" t="str">
        <f t="shared" si="5"/>
        <v>BAT</v>
      </c>
      <c r="J144" s="3">
        <f>(F144-VLOOKUP($A144,Runs!$A$2:$E$9,5,FALSE()))*1440</f>
        <v>299.99999995110556</v>
      </c>
      <c r="K144" s="3">
        <f>(G144-VLOOKUP($A144,Runs!$A$2:$E$9,5,FALSE()))*1440</f>
        <v>1383.0666667164769</v>
      </c>
    </row>
    <row r="145" spans="1:11" ht="15" customHeight="1" x14ac:dyDescent="0.25">
      <c r="A145" t="s">
        <v>2</v>
      </c>
      <c r="B145">
        <v>8</v>
      </c>
      <c r="C145" t="s">
        <v>150</v>
      </c>
      <c r="D145" t="s">
        <v>85</v>
      </c>
      <c r="E145" t="s">
        <v>178</v>
      </c>
      <c r="F145" s="12">
        <v>45660.302083333299</v>
      </c>
      <c r="G145" s="12">
        <v>45660.961527777799</v>
      </c>
      <c r="H145" t="str">
        <f t="shared" si="4"/>
        <v>BOSP</v>
      </c>
      <c r="I145" t="str">
        <f t="shared" si="5"/>
        <v>BOSP</v>
      </c>
      <c r="J145" s="3">
        <f>(F145-VLOOKUP($A145,Runs!$A$2:$E$9,5,FALSE()))*1440</f>
        <v>434.99999995110556</v>
      </c>
      <c r="K145" s="3">
        <f>(G145-VLOOKUP($A145,Runs!$A$2:$E$9,5,FALSE()))*1440</f>
        <v>1384.6000000310596</v>
      </c>
    </row>
    <row r="146" spans="1:11" ht="15" customHeight="1" x14ac:dyDescent="0.25">
      <c r="A146" t="s">
        <v>2</v>
      </c>
      <c r="B146">
        <v>8</v>
      </c>
      <c r="C146" t="s">
        <v>152</v>
      </c>
      <c r="D146" t="s">
        <v>85</v>
      </c>
      <c r="E146" t="s">
        <v>178</v>
      </c>
      <c r="F146" s="12">
        <v>45660.302083333299</v>
      </c>
      <c r="G146" s="12">
        <v>45660.980231481502</v>
      </c>
      <c r="H146" t="str">
        <f t="shared" si="4"/>
        <v>BOSP</v>
      </c>
      <c r="I146" t="str">
        <f t="shared" si="5"/>
        <v>BOSP</v>
      </c>
      <c r="J146" s="3">
        <f>(F146-VLOOKUP($A146,Runs!$A$2:$E$9,5,FALSE()))*1440</f>
        <v>434.99999995110556</v>
      </c>
      <c r="K146" s="3">
        <f>(G146-VLOOKUP($A146,Runs!$A$2:$E$9,5,FALSE()))*1440</f>
        <v>1411.5333333634771</v>
      </c>
    </row>
    <row r="147" spans="1:11" ht="15" customHeight="1" x14ac:dyDescent="0.25">
      <c r="A147" t="s">
        <v>2</v>
      </c>
      <c r="B147">
        <v>5</v>
      </c>
      <c r="C147" t="s">
        <v>129</v>
      </c>
      <c r="D147" t="s">
        <v>85</v>
      </c>
      <c r="E147" t="s">
        <v>181</v>
      </c>
      <c r="F147" s="12">
        <v>45660.166666666701</v>
      </c>
      <c r="G147" s="12">
        <v>45661.001064814802</v>
      </c>
      <c r="H147" t="str">
        <f t="shared" si="4"/>
        <v>RT</v>
      </c>
      <c r="I147" t="str">
        <f t="shared" si="5"/>
        <v>RT</v>
      </c>
      <c r="J147" s="3">
        <f>(F147-VLOOKUP($A147,Runs!$A$2:$E$9,5,FALSE()))*1440</f>
        <v>240.00000004889444</v>
      </c>
      <c r="K147" s="3">
        <f>(G147-VLOOKUP($A147,Runs!$A$2:$E$9,5,FALSE()))*1440</f>
        <v>1441.5333333145827</v>
      </c>
    </row>
    <row r="148" spans="1:11" ht="15" customHeight="1" x14ac:dyDescent="0.25">
      <c r="A148" t="s">
        <v>2</v>
      </c>
      <c r="B148">
        <v>6</v>
      </c>
      <c r="C148" t="s">
        <v>137</v>
      </c>
      <c r="D148" t="s">
        <v>85</v>
      </c>
      <c r="E148" t="s">
        <v>181</v>
      </c>
      <c r="F148" s="12">
        <v>45660.208333333299</v>
      </c>
      <c r="G148" s="12">
        <v>45661.002129629604</v>
      </c>
      <c r="H148" t="str">
        <f t="shared" si="4"/>
        <v>RT</v>
      </c>
      <c r="I148" t="str">
        <f t="shared" si="5"/>
        <v>RT</v>
      </c>
      <c r="J148" s="3">
        <f>(F148-VLOOKUP($A148,Runs!$A$2:$E$9,5,FALSE()))*1440</f>
        <v>299.99999995110556</v>
      </c>
      <c r="K148" s="3">
        <f>(G148-VLOOKUP($A148,Runs!$A$2:$E$9,5,FALSE()))*1440</f>
        <v>1443.0666666291654</v>
      </c>
    </row>
    <row r="149" spans="1:11" ht="15" customHeight="1" x14ac:dyDescent="0.25">
      <c r="A149" t="s">
        <v>2</v>
      </c>
      <c r="B149">
        <v>5</v>
      </c>
      <c r="C149" t="s">
        <v>130</v>
      </c>
      <c r="D149" t="s">
        <v>85</v>
      </c>
      <c r="E149" t="s">
        <v>185</v>
      </c>
      <c r="F149" s="12">
        <v>45660.166666666701</v>
      </c>
      <c r="G149" s="12">
        <v>45661.021898148101</v>
      </c>
      <c r="H149" t="str">
        <f t="shared" si="4"/>
        <v>FT</v>
      </c>
      <c r="I149" t="str">
        <f t="shared" si="5"/>
        <v>FT</v>
      </c>
      <c r="J149" s="3">
        <f>(F149-VLOOKUP($A149,Runs!$A$2:$E$9,5,FALSE()))*1440</f>
        <v>240.00000004889444</v>
      </c>
      <c r="K149" s="3">
        <f>(G149-VLOOKUP($A149,Runs!$A$2:$E$9,5,FALSE()))*1440</f>
        <v>1471.5333332656883</v>
      </c>
    </row>
    <row r="150" spans="1:11" ht="15" customHeight="1" x14ac:dyDescent="0.25">
      <c r="A150" t="s">
        <v>2</v>
      </c>
      <c r="B150">
        <v>7</v>
      </c>
      <c r="C150" t="s">
        <v>222</v>
      </c>
      <c r="D150" t="s">
        <v>85</v>
      </c>
      <c r="E150" t="s">
        <v>180</v>
      </c>
      <c r="F150" s="12">
        <v>45660.270833333299</v>
      </c>
      <c r="G150" s="12">
        <v>45661.022962962998</v>
      </c>
      <c r="H150" t="str">
        <f t="shared" si="4"/>
        <v>BAT</v>
      </c>
      <c r="I150" t="str">
        <f t="shared" si="5"/>
        <v>BAT</v>
      </c>
      <c r="J150" s="3">
        <f>(F150-VLOOKUP($A150,Runs!$A$2:$E$9,5,FALSE()))*1440</f>
        <v>389.99999995110556</v>
      </c>
      <c r="K150" s="3">
        <f>(G150-VLOOKUP($A150,Runs!$A$2:$E$9,5,FALSE()))*1440</f>
        <v>1473.0666667164769</v>
      </c>
    </row>
    <row r="151" spans="1:11" ht="15" customHeight="1" x14ac:dyDescent="0.25">
      <c r="A151" t="s">
        <v>2</v>
      </c>
      <c r="B151">
        <v>6</v>
      </c>
      <c r="C151" t="s">
        <v>138</v>
      </c>
      <c r="D151" t="s">
        <v>85</v>
      </c>
      <c r="E151" t="s">
        <v>181</v>
      </c>
      <c r="F151" s="12">
        <v>45660.208333333299</v>
      </c>
      <c r="G151" s="12">
        <v>45661.042731481502</v>
      </c>
      <c r="H151" t="str">
        <f t="shared" si="4"/>
        <v>RT</v>
      </c>
      <c r="I151" t="str">
        <f t="shared" si="5"/>
        <v>RT</v>
      </c>
      <c r="J151" s="3">
        <f>(F151-VLOOKUP($A151,Runs!$A$2:$E$9,5,FALSE()))*1440</f>
        <v>299.99999995110556</v>
      </c>
      <c r="K151" s="3">
        <f>(G151-VLOOKUP($A151,Runs!$A$2:$E$9,5,FALSE()))*1440</f>
        <v>1501.5333333634771</v>
      </c>
    </row>
    <row r="152" spans="1:11" ht="15" customHeight="1" x14ac:dyDescent="0.25">
      <c r="A152" t="s">
        <v>2</v>
      </c>
      <c r="B152">
        <v>7</v>
      </c>
      <c r="C152" t="s">
        <v>144</v>
      </c>
      <c r="D152" t="s">
        <v>85</v>
      </c>
      <c r="E152" t="s">
        <v>181</v>
      </c>
      <c r="F152" s="12">
        <v>45660.270833333299</v>
      </c>
      <c r="G152" s="12">
        <v>45661.043796296297</v>
      </c>
      <c r="H152" t="str">
        <f t="shared" si="4"/>
        <v>RT</v>
      </c>
      <c r="I152" t="str">
        <f t="shared" si="5"/>
        <v>RT</v>
      </c>
      <c r="J152" s="3">
        <f>(F152-VLOOKUP($A152,Runs!$A$2:$E$9,5,FALSE()))*1440</f>
        <v>389.99999995110556</v>
      </c>
      <c r="K152" s="3">
        <f>(G152-VLOOKUP($A152,Runs!$A$2:$E$9,5,FALSE()))*1440</f>
        <v>1503.0666666675825</v>
      </c>
    </row>
    <row r="153" spans="1:11" ht="15" customHeight="1" x14ac:dyDescent="0.25">
      <c r="A153" t="s">
        <v>2</v>
      </c>
      <c r="B153">
        <v>5</v>
      </c>
      <c r="C153" t="s">
        <v>132</v>
      </c>
      <c r="D153" t="s">
        <v>85</v>
      </c>
      <c r="E153" t="s">
        <v>185</v>
      </c>
      <c r="F153" s="12">
        <v>45660.166666666701</v>
      </c>
      <c r="G153" s="12">
        <v>45661.063564814802</v>
      </c>
      <c r="H153" t="str">
        <f t="shared" si="4"/>
        <v>FT</v>
      </c>
      <c r="I153" t="str">
        <f t="shared" si="5"/>
        <v>FT</v>
      </c>
      <c r="J153" s="3">
        <f>(F153-VLOOKUP($A153,Runs!$A$2:$E$9,5,FALSE()))*1440</f>
        <v>240.00000004889444</v>
      </c>
      <c r="K153" s="3">
        <f>(G153-VLOOKUP($A153,Runs!$A$2:$E$9,5,FALSE()))*1440</f>
        <v>1531.5333333145827</v>
      </c>
    </row>
    <row r="154" spans="1:11" ht="15" customHeight="1" x14ac:dyDescent="0.25">
      <c r="A154" t="s">
        <v>2</v>
      </c>
      <c r="B154">
        <v>6</v>
      </c>
      <c r="C154" t="s">
        <v>223</v>
      </c>
      <c r="D154" t="s">
        <v>85</v>
      </c>
      <c r="E154" t="s">
        <v>185</v>
      </c>
      <c r="F154" s="12">
        <v>45660.208333333299</v>
      </c>
      <c r="G154" s="12">
        <v>45661.064629629604</v>
      </c>
      <c r="H154" t="str">
        <f t="shared" si="4"/>
        <v>FT</v>
      </c>
      <c r="I154" t="str">
        <f t="shared" si="5"/>
        <v>FT</v>
      </c>
      <c r="J154" s="3">
        <f>(F154-VLOOKUP($A154,Runs!$A$2:$E$9,5,FALSE()))*1440</f>
        <v>299.99999995110556</v>
      </c>
      <c r="K154" s="3">
        <f>(G154-VLOOKUP($A154,Runs!$A$2:$E$9,5,FALSE()))*1440</f>
        <v>1533.0666666291654</v>
      </c>
    </row>
    <row r="155" spans="1:11" ht="15" customHeight="1" x14ac:dyDescent="0.25">
      <c r="A155" t="s">
        <v>2</v>
      </c>
      <c r="B155">
        <v>8</v>
      </c>
      <c r="C155" t="s">
        <v>156</v>
      </c>
      <c r="D155" t="s">
        <v>85</v>
      </c>
      <c r="E155" t="s">
        <v>180</v>
      </c>
      <c r="F155" s="12">
        <v>45660.302083333299</v>
      </c>
      <c r="G155" s="12">
        <v>45661.065694444398</v>
      </c>
      <c r="H155" t="str">
        <f t="shared" si="4"/>
        <v>BAT</v>
      </c>
      <c r="I155" t="str">
        <f t="shared" si="5"/>
        <v>BAT</v>
      </c>
      <c r="J155" s="3">
        <f>(F155-VLOOKUP($A155,Runs!$A$2:$E$9,5,FALSE()))*1440</f>
        <v>434.99999995110556</v>
      </c>
      <c r="K155" s="3">
        <f>(G155-VLOOKUP($A155,Runs!$A$2:$E$9,5,FALSE()))*1440</f>
        <v>1534.5999999332707</v>
      </c>
    </row>
    <row r="156" spans="1:11" ht="15" customHeight="1" x14ac:dyDescent="0.25">
      <c r="A156" t="s">
        <v>2</v>
      </c>
      <c r="B156">
        <v>7</v>
      </c>
      <c r="C156" t="s">
        <v>147</v>
      </c>
      <c r="D156" t="s">
        <v>85</v>
      </c>
      <c r="E156" t="s">
        <v>181</v>
      </c>
      <c r="F156" s="12">
        <v>45660.270833333299</v>
      </c>
      <c r="G156" s="12">
        <v>45661.084398148101</v>
      </c>
      <c r="H156" t="str">
        <f t="shared" si="4"/>
        <v>RT</v>
      </c>
      <c r="I156" t="str">
        <f t="shared" si="5"/>
        <v>RT</v>
      </c>
      <c r="J156" s="3">
        <f>(F156-VLOOKUP($A156,Runs!$A$2:$E$9,5,FALSE()))*1440</f>
        <v>389.99999995110556</v>
      </c>
      <c r="K156" s="3">
        <f>(G156-VLOOKUP($A156,Runs!$A$2:$E$9,5,FALSE()))*1440</f>
        <v>1561.5333332656883</v>
      </c>
    </row>
    <row r="157" spans="1:11" ht="15" customHeight="1" x14ac:dyDescent="0.25">
      <c r="A157" t="s">
        <v>2</v>
      </c>
      <c r="B157">
        <v>8</v>
      </c>
      <c r="C157" t="s">
        <v>157</v>
      </c>
      <c r="D157" t="s">
        <v>85</v>
      </c>
      <c r="E157" t="s">
        <v>181</v>
      </c>
      <c r="F157" s="12">
        <v>45660.302083333299</v>
      </c>
      <c r="G157" s="12">
        <v>45661.085462962998</v>
      </c>
      <c r="H157" t="str">
        <f t="shared" si="4"/>
        <v>RT</v>
      </c>
      <c r="I157" t="str">
        <f t="shared" si="5"/>
        <v>RT</v>
      </c>
      <c r="J157" s="3">
        <f>(F157-VLOOKUP($A157,Runs!$A$2:$E$9,5,FALSE()))*1440</f>
        <v>434.99999995110556</v>
      </c>
      <c r="K157" s="3">
        <f>(G157-VLOOKUP($A157,Runs!$A$2:$E$9,5,FALSE()))*1440</f>
        <v>1563.0666667164769</v>
      </c>
    </row>
    <row r="158" spans="1:11" ht="15" customHeight="1" x14ac:dyDescent="0.25">
      <c r="A158" t="s">
        <v>2</v>
      </c>
      <c r="B158">
        <v>6</v>
      </c>
      <c r="C158" t="s">
        <v>224</v>
      </c>
      <c r="D158" t="s">
        <v>85</v>
      </c>
      <c r="E158" t="s">
        <v>185</v>
      </c>
      <c r="F158" s="12">
        <v>45660.208333333299</v>
      </c>
      <c r="G158" s="12">
        <v>45661.105231481502</v>
      </c>
      <c r="H158" t="str">
        <f t="shared" si="4"/>
        <v>FT</v>
      </c>
      <c r="I158" t="str">
        <f t="shared" si="5"/>
        <v>FT</v>
      </c>
      <c r="J158" s="3">
        <f>(F158-VLOOKUP($A158,Runs!$A$2:$E$9,5,FALSE()))*1440</f>
        <v>299.99999995110556</v>
      </c>
      <c r="K158" s="3">
        <f>(G158-VLOOKUP($A158,Runs!$A$2:$E$9,5,FALSE()))*1440</f>
        <v>1591.5333333634771</v>
      </c>
    </row>
    <row r="159" spans="1:11" ht="15" customHeight="1" x14ac:dyDescent="0.25">
      <c r="A159" t="s">
        <v>2</v>
      </c>
      <c r="B159">
        <v>7</v>
      </c>
      <c r="C159" t="s">
        <v>225</v>
      </c>
      <c r="D159" t="s">
        <v>85</v>
      </c>
      <c r="E159" t="s">
        <v>185</v>
      </c>
      <c r="F159" s="12">
        <v>45660.270833333299</v>
      </c>
      <c r="G159" s="12">
        <v>45661.106296296297</v>
      </c>
      <c r="H159" t="str">
        <f t="shared" si="4"/>
        <v>FT</v>
      </c>
      <c r="I159" t="str">
        <f t="shared" si="5"/>
        <v>FT</v>
      </c>
      <c r="J159" s="3">
        <f>(F159-VLOOKUP($A159,Runs!$A$2:$E$9,5,FALSE()))*1440</f>
        <v>389.99999995110556</v>
      </c>
      <c r="K159" s="3">
        <f>(G159-VLOOKUP($A159,Runs!$A$2:$E$9,5,FALSE()))*1440</f>
        <v>1593.0666666675825</v>
      </c>
    </row>
    <row r="160" spans="1:11" ht="15" customHeight="1" x14ac:dyDescent="0.25">
      <c r="A160" t="s">
        <v>2</v>
      </c>
      <c r="B160">
        <v>8</v>
      </c>
      <c r="C160" t="s">
        <v>159</v>
      </c>
      <c r="D160" t="s">
        <v>85</v>
      </c>
      <c r="E160" t="s">
        <v>181</v>
      </c>
      <c r="F160" s="12">
        <v>45660.302083333299</v>
      </c>
      <c r="G160" s="12">
        <v>45661.126064814802</v>
      </c>
      <c r="H160" t="str">
        <f t="shared" si="4"/>
        <v>RT</v>
      </c>
      <c r="I160" t="str">
        <f t="shared" si="5"/>
        <v>RT</v>
      </c>
      <c r="J160" s="3">
        <f>(F160-VLOOKUP($A160,Runs!$A$2:$E$9,5,FALSE()))*1440</f>
        <v>434.99999995110556</v>
      </c>
      <c r="K160" s="3">
        <f>(G160-VLOOKUP($A160,Runs!$A$2:$E$9,5,FALSE()))*1440</f>
        <v>1621.5333333145827</v>
      </c>
    </row>
    <row r="161" spans="1:11" ht="15" customHeight="1" x14ac:dyDescent="0.25">
      <c r="A161" t="s">
        <v>2</v>
      </c>
      <c r="B161">
        <v>7</v>
      </c>
      <c r="C161" t="s">
        <v>226</v>
      </c>
      <c r="D161" t="s">
        <v>85</v>
      </c>
      <c r="E161" t="s">
        <v>185</v>
      </c>
      <c r="F161" s="12">
        <v>45660.270833333299</v>
      </c>
      <c r="G161" s="12">
        <v>45661.146898148101</v>
      </c>
      <c r="H161" t="str">
        <f t="shared" si="4"/>
        <v>FT</v>
      </c>
      <c r="I161" t="str">
        <f t="shared" si="5"/>
        <v>FT</v>
      </c>
      <c r="J161" s="3">
        <f>(F161-VLOOKUP($A161,Runs!$A$2:$E$9,5,FALSE()))*1440</f>
        <v>389.99999995110556</v>
      </c>
      <c r="K161" s="3">
        <f>(G161-VLOOKUP($A161,Runs!$A$2:$E$9,5,FALSE()))*1440</f>
        <v>1651.5333332656883</v>
      </c>
    </row>
    <row r="162" spans="1:11" ht="15" customHeight="1" x14ac:dyDescent="0.25">
      <c r="A162" t="s">
        <v>2</v>
      </c>
      <c r="B162">
        <v>8</v>
      </c>
      <c r="C162" t="s">
        <v>160</v>
      </c>
      <c r="D162" t="s">
        <v>85</v>
      </c>
      <c r="E162" t="s">
        <v>185</v>
      </c>
      <c r="F162" s="12">
        <v>45660.302083333299</v>
      </c>
      <c r="G162" s="12">
        <v>45661.147962962998</v>
      </c>
      <c r="H162" t="str">
        <f t="shared" si="4"/>
        <v>FT</v>
      </c>
      <c r="I162" t="str">
        <f t="shared" si="5"/>
        <v>FT</v>
      </c>
      <c r="J162" s="3">
        <f>(F162-VLOOKUP($A162,Runs!$A$2:$E$9,5,FALSE()))*1440</f>
        <v>434.99999995110556</v>
      </c>
      <c r="K162" s="3">
        <f>(G162-VLOOKUP($A162,Runs!$A$2:$E$9,5,FALSE()))*1440</f>
        <v>1653.0666667164769</v>
      </c>
    </row>
    <row r="163" spans="1:11" ht="15" customHeight="1" x14ac:dyDescent="0.25">
      <c r="A163" t="s">
        <v>2</v>
      </c>
      <c r="B163">
        <v>8</v>
      </c>
      <c r="C163" t="s">
        <v>163</v>
      </c>
      <c r="D163" t="s">
        <v>85</v>
      </c>
      <c r="E163" t="s">
        <v>185</v>
      </c>
      <c r="F163" s="12">
        <v>45660.302083333299</v>
      </c>
      <c r="G163" s="12">
        <v>45661.188564814802</v>
      </c>
      <c r="H163" t="str">
        <f t="shared" si="4"/>
        <v>FT</v>
      </c>
      <c r="I163" t="str">
        <f t="shared" si="5"/>
        <v>FT</v>
      </c>
      <c r="J163" s="3">
        <f>(F163-VLOOKUP($A163,Runs!$A$2:$E$9,5,FALSE()))*1440</f>
        <v>434.99999995110556</v>
      </c>
      <c r="K163" s="3">
        <f>(G163-VLOOKUP($A163,Runs!$A$2:$E$9,5,FALSE()))*1440</f>
        <v>1711.5333333145827</v>
      </c>
    </row>
    <row r="164" spans="1:11" ht="15" customHeight="1" x14ac:dyDescent="0.25">
      <c r="A164" t="s">
        <v>2</v>
      </c>
      <c r="B164">
        <v>5</v>
      </c>
      <c r="C164" t="s">
        <v>135</v>
      </c>
      <c r="D164" t="s">
        <v>85</v>
      </c>
      <c r="E164" t="s">
        <v>192</v>
      </c>
      <c r="F164" s="12">
        <v>45660.166666666701</v>
      </c>
      <c r="G164" s="12">
        <v>45661.271898148101</v>
      </c>
      <c r="H164" t="str">
        <f t="shared" si="4"/>
        <v>SSA</v>
      </c>
      <c r="I164" t="str">
        <f t="shared" si="5"/>
        <v>SSA</v>
      </c>
      <c r="J164" s="3">
        <f>(F164-VLOOKUP($A164,Runs!$A$2:$E$9,5,FALSE()))*1440</f>
        <v>240.00000004889444</v>
      </c>
      <c r="K164" s="3">
        <f>(G164-VLOOKUP($A164,Runs!$A$2:$E$9,5,FALSE()))*1440</f>
        <v>1831.5333332656883</v>
      </c>
    </row>
    <row r="165" spans="1:11" ht="15" customHeight="1" x14ac:dyDescent="0.25">
      <c r="A165" t="s">
        <v>2</v>
      </c>
      <c r="B165">
        <v>6</v>
      </c>
      <c r="C165" t="s">
        <v>227</v>
      </c>
      <c r="D165" t="s">
        <v>85</v>
      </c>
      <c r="E165" t="s">
        <v>192</v>
      </c>
      <c r="F165" s="12">
        <v>45660.208333333299</v>
      </c>
      <c r="G165" s="12">
        <v>45661.313564814802</v>
      </c>
      <c r="H165" t="str">
        <f t="shared" si="4"/>
        <v>SSA</v>
      </c>
      <c r="I165" t="str">
        <f t="shared" si="5"/>
        <v>SSA</v>
      </c>
      <c r="J165" s="3">
        <f>(F165-VLOOKUP($A165,Runs!$A$2:$E$9,5,FALSE()))*1440</f>
        <v>299.99999995110556</v>
      </c>
      <c r="K165" s="3">
        <f>(G165-VLOOKUP($A165,Runs!$A$2:$E$9,5,FALSE()))*1440</f>
        <v>1891.5333333145827</v>
      </c>
    </row>
    <row r="166" spans="1:11" ht="15" customHeight="1" x14ac:dyDescent="0.25">
      <c r="A166" t="s">
        <v>2</v>
      </c>
      <c r="B166">
        <v>5</v>
      </c>
      <c r="C166" t="s">
        <v>139</v>
      </c>
      <c r="D166" t="s">
        <v>85</v>
      </c>
      <c r="E166" t="s">
        <v>192</v>
      </c>
      <c r="F166" s="12">
        <v>45660.166666666701</v>
      </c>
      <c r="G166" s="12">
        <v>45661.334398148101</v>
      </c>
      <c r="H166" t="str">
        <f t="shared" si="4"/>
        <v>SSA</v>
      </c>
      <c r="I166" t="str">
        <f t="shared" si="5"/>
        <v>SSA</v>
      </c>
      <c r="J166" s="3">
        <f>(F166-VLOOKUP($A166,Runs!$A$2:$E$9,5,FALSE()))*1440</f>
        <v>240.00000004889444</v>
      </c>
      <c r="K166" s="3">
        <f>(G166-VLOOKUP($A166,Runs!$A$2:$E$9,5,FALSE()))*1440</f>
        <v>1921.5333332656883</v>
      </c>
    </row>
    <row r="167" spans="1:11" ht="15" customHeight="1" x14ac:dyDescent="0.25">
      <c r="A167" t="s">
        <v>2</v>
      </c>
      <c r="B167">
        <v>5</v>
      </c>
      <c r="C167" t="s">
        <v>228</v>
      </c>
      <c r="D167" t="s">
        <v>85</v>
      </c>
      <c r="E167" t="s">
        <v>197</v>
      </c>
      <c r="F167" s="12">
        <v>45660.166666666701</v>
      </c>
      <c r="G167" s="12">
        <v>45661.355231481502</v>
      </c>
      <c r="H167" t="str">
        <f t="shared" si="4"/>
        <v>FAX</v>
      </c>
      <c r="I167" t="str">
        <f t="shared" si="5"/>
        <v>FAX</v>
      </c>
      <c r="J167" s="3">
        <f>(F167-VLOOKUP($A167,Runs!$A$2:$E$9,5,FALSE()))*1440</f>
        <v>240.00000004889444</v>
      </c>
      <c r="K167" s="3">
        <f>(G167-VLOOKUP($A167,Runs!$A$2:$E$9,5,FALSE()))*1440</f>
        <v>1951.5333333634771</v>
      </c>
    </row>
    <row r="168" spans="1:11" ht="15" customHeight="1" x14ac:dyDescent="0.25">
      <c r="A168" t="s">
        <v>2</v>
      </c>
      <c r="B168">
        <v>7</v>
      </c>
      <c r="C168" t="s">
        <v>229</v>
      </c>
      <c r="D168" t="s">
        <v>85</v>
      </c>
      <c r="E168" t="s">
        <v>192</v>
      </c>
      <c r="F168" s="12">
        <v>45660.270833333299</v>
      </c>
      <c r="G168" s="12">
        <v>45661.356296296297</v>
      </c>
      <c r="H168" t="str">
        <f t="shared" si="4"/>
        <v>SSA</v>
      </c>
      <c r="I168" t="str">
        <f t="shared" si="5"/>
        <v>SSA</v>
      </c>
      <c r="J168" s="3">
        <f>(F168-VLOOKUP($A168,Runs!$A$2:$E$9,5,FALSE()))*1440</f>
        <v>389.99999995110556</v>
      </c>
      <c r="K168" s="3">
        <f>(G168-VLOOKUP($A168,Runs!$A$2:$E$9,5,FALSE()))*1440</f>
        <v>1953.0666666675825</v>
      </c>
    </row>
    <row r="169" spans="1:11" ht="15" customHeight="1" x14ac:dyDescent="0.25">
      <c r="A169" t="s">
        <v>2</v>
      </c>
      <c r="B169">
        <v>6</v>
      </c>
      <c r="C169" t="s">
        <v>230</v>
      </c>
      <c r="D169" t="s">
        <v>85</v>
      </c>
      <c r="E169" t="s">
        <v>192</v>
      </c>
      <c r="F169" s="12">
        <v>45660.208333333299</v>
      </c>
      <c r="G169" s="12">
        <v>45661.376064814802</v>
      </c>
      <c r="H169" t="str">
        <f t="shared" si="4"/>
        <v>SSA</v>
      </c>
      <c r="I169" t="str">
        <f t="shared" si="5"/>
        <v>SSA</v>
      </c>
      <c r="J169" s="3">
        <f>(F169-VLOOKUP($A169,Runs!$A$2:$E$9,5,FALSE()))*1440</f>
        <v>299.99999995110556</v>
      </c>
      <c r="K169" s="3">
        <f>(G169-VLOOKUP($A169,Runs!$A$2:$E$9,5,FALSE()))*1440</f>
        <v>1981.5333333145827</v>
      </c>
    </row>
    <row r="170" spans="1:11" ht="15" customHeight="1" x14ac:dyDescent="0.25">
      <c r="A170" t="s">
        <v>2</v>
      </c>
      <c r="B170">
        <v>6</v>
      </c>
      <c r="C170" t="s">
        <v>231</v>
      </c>
      <c r="D170" t="s">
        <v>85</v>
      </c>
      <c r="E170" t="s">
        <v>197</v>
      </c>
      <c r="F170" s="12">
        <v>45660.208333333299</v>
      </c>
      <c r="G170" s="12">
        <v>45661.396898148101</v>
      </c>
      <c r="H170" t="str">
        <f t="shared" si="4"/>
        <v>FAX</v>
      </c>
      <c r="I170" t="str">
        <f t="shared" si="5"/>
        <v>FAX</v>
      </c>
      <c r="J170" s="3">
        <f>(F170-VLOOKUP($A170,Runs!$A$2:$E$9,5,FALSE()))*1440</f>
        <v>299.99999995110556</v>
      </c>
      <c r="K170" s="3">
        <f>(G170-VLOOKUP($A170,Runs!$A$2:$E$9,5,FALSE()))*1440</f>
        <v>2011.5333332656883</v>
      </c>
    </row>
    <row r="171" spans="1:11" ht="15" customHeight="1" x14ac:dyDescent="0.25">
      <c r="A171" t="s">
        <v>2</v>
      </c>
      <c r="B171">
        <v>8</v>
      </c>
      <c r="C171" t="s">
        <v>232</v>
      </c>
      <c r="D171" t="s">
        <v>85</v>
      </c>
      <c r="E171" t="s">
        <v>192</v>
      </c>
      <c r="F171" s="12">
        <v>45660.302083333299</v>
      </c>
      <c r="G171" s="12">
        <v>45661.397962962998</v>
      </c>
      <c r="H171" t="str">
        <f t="shared" si="4"/>
        <v>SSA</v>
      </c>
      <c r="I171" t="str">
        <f t="shared" si="5"/>
        <v>SSA</v>
      </c>
      <c r="J171" s="3">
        <f>(F171-VLOOKUP($A171,Runs!$A$2:$E$9,5,FALSE()))*1440</f>
        <v>434.99999995110556</v>
      </c>
      <c r="K171" s="3">
        <f>(G171-VLOOKUP($A171,Runs!$A$2:$E$9,5,FALSE()))*1440</f>
        <v>2013.0666667164769</v>
      </c>
    </row>
    <row r="172" spans="1:11" ht="15" customHeight="1" x14ac:dyDescent="0.25">
      <c r="A172" t="s">
        <v>2</v>
      </c>
      <c r="B172">
        <v>7</v>
      </c>
      <c r="C172" t="s">
        <v>233</v>
      </c>
      <c r="D172" t="s">
        <v>85</v>
      </c>
      <c r="E172" t="s">
        <v>192</v>
      </c>
      <c r="F172" s="12">
        <v>45660.270833333299</v>
      </c>
      <c r="G172" s="12">
        <v>45661.417731481502</v>
      </c>
      <c r="H172" t="str">
        <f t="shared" si="4"/>
        <v>SSA</v>
      </c>
      <c r="I172" t="str">
        <f t="shared" si="5"/>
        <v>SSA</v>
      </c>
      <c r="J172" s="3">
        <f>(F172-VLOOKUP($A172,Runs!$A$2:$E$9,5,FALSE()))*1440</f>
        <v>389.99999995110556</v>
      </c>
      <c r="K172" s="3">
        <f>(G172-VLOOKUP($A172,Runs!$A$2:$E$9,5,FALSE()))*1440</f>
        <v>2041.5333333634771</v>
      </c>
    </row>
    <row r="173" spans="1:11" ht="15" customHeight="1" x14ac:dyDescent="0.25">
      <c r="A173" t="s">
        <v>2</v>
      </c>
      <c r="B173">
        <v>5</v>
      </c>
      <c r="C173" t="s">
        <v>234</v>
      </c>
      <c r="D173" t="s">
        <v>85</v>
      </c>
      <c r="E173" t="s">
        <v>203</v>
      </c>
      <c r="F173" s="12">
        <v>45660.166666666701</v>
      </c>
      <c r="G173" s="12">
        <v>45661.438564814802</v>
      </c>
      <c r="H173" t="str">
        <f t="shared" si="4"/>
        <v>CHS</v>
      </c>
      <c r="I173" t="str">
        <f t="shared" si="5"/>
        <v>CHS</v>
      </c>
      <c r="J173" s="3">
        <f>(F173-VLOOKUP($A173,Runs!$A$2:$E$9,5,FALSE()))*1440</f>
        <v>240.00000004889444</v>
      </c>
      <c r="K173" s="3">
        <f>(G173-VLOOKUP($A173,Runs!$A$2:$E$9,5,FALSE()))*1440</f>
        <v>2071.5333333145827</v>
      </c>
    </row>
    <row r="174" spans="1:11" ht="15" customHeight="1" x14ac:dyDescent="0.25">
      <c r="A174" t="s">
        <v>2</v>
      </c>
      <c r="B174">
        <v>7</v>
      </c>
      <c r="C174" t="s">
        <v>235</v>
      </c>
      <c r="D174" t="s">
        <v>85</v>
      </c>
      <c r="E174" t="s">
        <v>197</v>
      </c>
      <c r="F174" s="12">
        <v>45660.270833333299</v>
      </c>
      <c r="G174" s="12">
        <v>45661.439629629604</v>
      </c>
      <c r="H174" t="str">
        <f t="shared" si="4"/>
        <v>FAX</v>
      </c>
      <c r="I174" t="str">
        <f t="shared" si="5"/>
        <v>FAX</v>
      </c>
      <c r="J174" s="3">
        <f>(F174-VLOOKUP($A174,Runs!$A$2:$E$9,5,FALSE()))*1440</f>
        <v>389.99999995110556</v>
      </c>
      <c r="K174" s="3">
        <f>(G174-VLOOKUP($A174,Runs!$A$2:$E$9,5,FALSE()))*1440</f>
        <v>2073.0666666291654</v>
      </c>
    </row>
    <row r="175" spans="1:11" ht="15" customHeight="1" x14ac:dyDescent="0.25">
      <c r="A175" t="s">
        <v>2</v>
      </c>
      <c r="B175">
        <v>8</v>
      </c>
      <c r="C175" t="s">
        <v>236</v>
      </c>
      <c r="D175" t="s">
        <v>85</v>
      </c>
      <c r="E175" t="s">
        <v>192</v>
      </c>
      <c r="F175" s="12">
        <v>45660.302083333299</v>
      </c>
      <c r="G175" s="12">
        <v>45661.459398148101</v>
      </c>
      <c r="H175" t="str">
        <f t="shared" si="4"/>
        <v>SSA</v>
      </c>
      <c r="I175" t="str">
        <f t="shared" si="5"/>
        <v>SSA</v>
      </c>
      <c r="J175" s="3">
        <f>(F175-VLOOKUP($A175,Runs!$A$2:$E$9,5,FALSE()))*1440</f>
        <v>434.99999995110556</v>
      </c>
      <c r="K175" s="3">
        <f>(G175-VLOOKUP($A175,Runs!$A$2:$E$9,5,FALSE()))*1440</f>
        <v>2101.5333332656883</v>
      </c>
    </row>
    <row r="176" spans="1:11" ht="15" customHeight="1" x14ac:dyDescent="0.25">
      <c r="A176" t="s">
        <v>2</v>
      </c>
      <c r="B176">
        <v>6</v>
      </c>
      <c r="C176" t="s">
        <v>237</v>
      </c>
      <c r="D176" t="s">
        <v>85</v>
      </c>
      <c r="E176" t="s">
        <v>203</v>
      </c>
      <c r="F176" s="12">
        <v>45660.208333333299</v>
      </c>
      <c r="G176" s="12">
        <v>45661.480231481502</v>
      </c>
      <c r="H176" t="str">
        <f t="shared" si="4"/>
        <v>CHS</v>
      </c>
      <c r="I176" t="str">
        <f t="shared" si="5"/>
        <v>CHS</v>
      </c>
      <c r="J176" s="3">
        <f>(F176-VLOOKUP($A176,Runs!$A$2:$E$9,5,FALSE()))*1440</f>
        <v>299.99999995110556</v>
      </c>
      <c r="K176" s="3">
        <f>(G176-VLOOKUP($A176,Runs!$A$2:$E$9,5,FALSE()))*1440</f>
        <v>2131.5333333634771</v>
      </c>
    </row>
    <row r="177" spans="1:11" ht="15" customHeight="1" x14ac:dyDescent="0.25">
      <c r="A177" t="s">
        <v>2</v>
      </c>
      <c r="B177">
        <v>8</v>
      </c>
      <c r="C177" t="s">
        <v>238</v>
      </c>
      <c r="D177" t="s">
        <v>85</v>
      </c>
      <c r="E177" t="s">
        <v>197</v>
      </c>
      <c r="F177" s="12">
        <v>45660.302083333299</v>
      </c>
      <c r="G177" s="12">
        <v>45661.481296296297</v>
      </c>
      <c r="H177" t="str">
        <f t="shared" si="4"/>
        <v>FAX</v>
      </c>
      <c r="I177" t="str">
        <f t="shared" si="5"/>
        <v>FAX</v>
      </c>
      <c r="J177" s="3">
        <f>(F177-VLOOKUP($A177,Runs!$A$2:$E$9,5,FALSE()))*1440</f>
        <v>434.99999995110556</v>
      </c>
      <c r="K177" s="3">
        <f>(G177-VLOOKUP($A177,Runs!$A$2:$E$9,5,FALSE()))*1440</f>
        <v>2133.0666666675825</v>
      </c>
    </row>
    <row r="178" spans="1:11" ht="15" customHeight="1" x14ac:dyDescent="0.25">
      <c r="A178" t="s">
        <v>2</v>
      </c>
      <c r="B178">
        <v>5</v>
      </c>
      <c r="C178" t="s">
        <v>141</v>
      </c>
      <c r="D178" t="s">
        <v>85</v>
      </c>
      <c r="E178" t="s">
        <v>206</v>
      </c>
      <c r="F178" s="12">
        <v>45660.166666666701</v>
      </c>
      <c r="G178" s="12">
        <v>45661.501064814802</v>
      </c>
      <c r="H178" t="str">
        <f t="shared" si="4"/>
        <v>BSA</v>
      </c>
      <c r="I178" t="str">
        <f t="shared" si="5"/>
        <v>BSA</v>
      </c>
      <c r="J178" s="3">
        <f>(F178-VLOOKUP($A178,Runs!$A$2:$E$9,5,FALSE()))*1440</f>
        <v>240.00000004889444</v>
      </c>
      <c r="K178" s="3">
        <f>(G178-VLOOKUP($A178,Runs!$A$2:$E$9,5,FALSE()))*1440</f>
        <v>2161.5333333145827</v>
      </c>
    </row>
    <row r="179" spans="1:11" ht="15" customHeight="1" x14ac:dyDescent="0.25">
      <c r="A179" t="s">
        <v>2</v>
      </c>
      <c r="B179">
        <v>7</v>
      </c>
      <c r="C179" t="s">
        <v>239</v>
      </c>
      <c r="D179" t="s">
        <v>85</v>
      </c>
      <c r="E179" t="s">
        <v>203</v>
      </c>
      <c r="F179" s="12">
        <v>45660.270833333299</v>
      </c>
      <c r="G179" s="12">
        <v>45661.521898148101</v>
      </c>
      <c r="H179" t="str">
        <f t="shared" si="4"/>
        <v>CHS</v>
      </c>
      <c r="I179" t="str">
        <f t="shared" si="5"/>
        <v>CHS</v>
      </c>
      <c r="J179" s="3">
        <f>(F179-VLOOKUP($A179,Runs!$A$2:$E$9,5,FALSE()))*1440</f>
        <v>389.99999995110556</v>
      </c>
      <c r="K179" s="3">
        <f>(G179-VLOOKUP($A179,Runs!$A$2:$E$9,5,FALSE()))*1440</f>
        <v>2191.5333332656883</v>
      </c>
    </row>
    <row r="180" spans="1:11" ht="15" customHeight="1" x14ac:dyDescent="0.25">
      <c r="A180" t="s">
        <v>2</v>
      </c>
      <c r="B180">
        <v>5</v>
      </c>
      <c r="C180" t="s">
        <v>146</v>
      </c>
      <c r="D180" t="s">
        <v>85</v>
      </c>
      <c r="E180" t="s">
        <v>206</v>
      </c>
      <c r="F180" s="12">
        <v>45660.166666666701</v>
      </c>
      <c r="G180" s="12">
        <v>45661.542731481502</v>
      </c>
      <c r="H180" t="str">
        <f t="shared" si="4"/>
        <v>BSA</v>
      </c>
      <c r="I180" t="str">
        <f t="shared" si="5"/>
        <v>BSA</v>
      </c>
      <c r="J180" s="3">
        <f>(F180-VLOOKUP($A180,Runs!$A$2:$E$9,5,FALSE()))*1440</f>
        <v>240.00000004889444</v>
      </c>
      <c r="K180" s="3">
        <f>(G180-VLOOKUP($A180,Runs!$A$2:$E$9,5,FALSE()))*1440</f>
        <v>2221.5333333634771</v>
      </c>
    </row>
    <row r="181" spans="1:11" ht="15" customHeight="1" x14ac:dyDescent="0.25">
      <c r="A181" t="s">
        <v>2</v>
      </c>
      <c r="B181">
        <v>6</v>
      </c>
      <c r="C181" t="s">
        <v>151</v>
      </c>
      <c r="D181" t="s">
        <v>85</v>
      </c>
      <c r="E181" t="s">
        <v>206</v>
      </c>
      <c r="F181" s="12">
        <v>45660.208333333299</v>
      </c>
      <c r="G181" s="12">
        <v>45661.543796296297</v>
      </c>
      <c r="H181" t="str">
        <f t="shared" si="4"/>
        <v>BSA</v>
      </c>
      <c r="I181" t="str">
        <f t="shared" si="5"/>
        <v>BSA</v>
      </c>
      <c r="J181" s="3">
        <f>(F181-VLOOKUP($A181,Runs!$A$2:$E$9,5,FALSE()))*1440</f>
        <v>299.99999995110556</v>
      </c>
      <c r="K181" s="3">
        <f>(G181-VLOOKUP($A181,Runs!$A$2:$E$9,5,FALSE()))*1440</f>
        <v>2223.0666666675825</v>
      </c>
    </row>
    <row r="182" spans="1:11" ht="15" customHeight="1" x14ac:dyDescent="0.25">
      <c r="A182" t="s">
        <v>2</v>
      </c>
      <c r="B182">
        <v>5</v>
      </c>
      <c r="C182" t="s">
        <v>240</v>
      </c>
      <c r="D182" t="s">
        <v>85</v>
      </c>
      <c r="E182" t="s">
        <v>211</v>
      </c>
      <c r="F182" s="12">
        <v>45660.166666666701</v>
      </c>
      <c r="G182" s="12">
        <v>45661.563564814802</v>
      </c>
      <c r="H182" t="str">
        <f t="shared" si="4"/>
        <v>RAX_HD</v>
      </c>
      <c r="I182" t="str">
        <f t="shared" si="5"/>
        <v>RAX_HD</v>
      </c>
      <c r="J182" s="3">
        <f>(F182-VLOOKUP($A182,Runs!$A$2:$E$9,5,FALSE()))*1440</f>
        <v>240.00000004889444</v>
      </c>
      <c r="K182" s="3">
        <f>(G182-VLOOKUP($A182,Runs!$A$2:$E$9,5,FALSE()))*1440</f>
        <v>2251.5333333145827</v>
      </c>
    </row>
    <row r="183" spans="1:11" ht="15" customHeight="1" x14ac:dyDescent="0.25">
      <c r="A183" t="s">
        <v>2</v>
      </c>
      <c r="B183">
        <v>8</v>
      </c>
      <c r="C183" t="s">
        <v>241</v>
      </c>
      <c r="D183" t="s">
        <v>85</v>
      </c>
      <c r="E183" t="s">
        <v>203</v>
      </c>
      <c r="F183" s="12">
        <v>45660.302083333299</v>
      </c>
      <c r="G183" s="12">
        <v>45661.564629629604</v>
      </c>
      <c r="H183" t="str">
        <f t="shared" si="4"/>
        <v>CHS</v>
      </c>
      <c r="I183" t="str">
        <f t="shared" si="5"/>
        <v>CHS</v>
      </c>
      <c r="J183" s="3">
        <f>(F183-VLOOKUP($A183,Runs!$A$2:$E$9,5,FALSE()))*1440</f>
        <v>434.99999995110556</v>
      </c>
      <c r="K183" s="3">
        <f>(G183-VLOOKUP($A183,Runs!$A$2:$E$9,5,FALSE()))*1440</f>
        <v>2253.0666666291654</v>
      </c>
    </row>
    <row r="184" spans="1:11" ht="15" customHeight="1" x14ac:dyDescent="0.25">
      <c r="A184" t="s">
        <v>2</v>
      </c>
      <c r="B184">
        <v>9</v>
      </c>
      <c r="C184" t="s">
        <v>165</v>
      </c>
      <c r="D184" t="s">
        <v>85</v>
      </c>
      <c r="E184" t="s">
        <v>178</v>
      </c>
      <c r="F184" s="12">
        <v>45660.333333333299</v>
      </c>
      <c r="G184" s="12">
        <v>45661.584398148101</v>
      </c>
      <c r="H184" t="str">
        <f t="shared" si="4"/>
        <v>BOSP</v>
      </c>
      <c r="I184" t="str">
        <f t="shared" si="5"/>
        <v>BOSP</v>
      </c>
      <c r="J184" s="3">
        <f>(F184-VLOOKUP($A184,Runs!$A$2:$E$9,5,FALSE()))*1440</f>
        <v>479.99999995110556</v>
      </c>
      <c r="K184" s="3">
        <f>(G184-VLOOKUP($A184,Runs!$A$2:$E$9,5,FALSE()))*1440</f>
        <v>2281.5333332656883</v>
      </c>
    </row>
    <row r="185" spans="1:11" ht="15" customHeight="1" x14ac:dyDescent="0.25">
      <c r="A185" t="s">
        <v>2</v>
      </c>
      <c r="B185">
        <v>6</v>
      </c>
      <c r="C185" t="s">
        <v>154</v>
      </c>
      <c r="D185" t="s">
        <v>85</v>
      </c>
      <c r="E185" t="s">
        <v>206</v>
      </c>
      <c r="F185" s="12">
        <v>45660.208333333299</v>
      </c>
      <c r="G185" s="12">
        <v>45661.585462962998</v>
      </c>
      <c r="H185" t="str">
        <f t="shared" si="4"/>
        <v>BSA</v>
      </c>
      <c r="I185" t="str">
        <f t="shared" si="5"/>
        <v>BSA</v>
      </c>
      <c r="J185" s="3">
        <f>(F185-VLOOKUP($A185,Runs!$A$2:$E$9,5,FALSE()))*1440</f>
        <v>299.99999995110556</v>
      </c>
      <c r="K185" s="3">
        <f>(G185-VLOOKUP($A185,Runs!$A$2:$E$9,5,FALSE()))*1440</f>
        <v>2283.0666667164769</v>
      </c>
    </row>
    <row r="186" spans="1:11" ht="15" customHeight="1" x14ac:dyDescent="0.25">
      <c r="A186" t="s">
        <v>2</v>
      </c>
      <c r="B186">
        <v>7</v>
      </c>
      <c r="C186" t="s">
        <v>158</v>
      </c>
      <c r="D186" t="s">
        <v>85</v>
      </c>
      <c r="E186" t="s">
        <v>206</v>
      </c>
      <c r="F186" s="12">
        <v>45660.270833333299</v>
      </c>
      <c r="G186" s="12">
        <v>45661.586527777799</v>
      </c>
      <c r="H186" t="str">
        <f t="shared" si="4"/>
        <v>BSA</v>
      </c>
      <c r="I186" t="str">
        <f t="shared" si="5"/>
        <v>BSA</v>
      </c>
      <c r="J186" s="3">
        <f>(F186-VLOOKUP($A186,Runs!$A$2:$E$9,5,FALSE()))*1440</f>
        <v>389.99999995110556</v>
      </c>
      <c r="K186" s="3">
        <f>(G186-VLOOKUP($A186,Runs!$A$2:$E$9,5,FALSE()))*1440</f>
        <v>2284.6000000310596</v>
      </c>
    </row>
    <row r="187" spans="1:11" ht="15" customHeight="1" x14ac:dyDescent="0.25">
      <c r="A187" t="s">
        <v>2</v>
      </c>
      <c r="B187">
        <v>6</v>
      </c>
      <c r="C187" t="s">
        <v>242</v>
      </c>
      <c r="D187" t="s">
        <v>85</v>
      </c>
      <c r="E187" t="s">
        <v>211</v>
      </c>
      <c r="F187" s="12">
        <v>45660.208333333299</v>
      </c>
      <c r="G187" s="12">
        <v>45661.605231481502</v>
      </c>
      <c r="H187" t="str">
        <f t="shared" si="4"/>
        <v>RAX_HD</v>
      </c>
      <c r="I187" t="str">
        <f t="shared" si="5"/>
        <v>RAX_HD</v>
      </c>
      <c r="J187" s="3">
        <f>(F187-VLOOKUP($A187,Runs!$A$2:$E$9,5,FALSE()))*1440</f>
        <v>299.99999995110556</v>
      </c>
      <c r="K187" s="3">
        <f>(G187-VLOOKUP($A187,Runs!$A$2:$E$9,5,FALSE()))*1440</f>
        <v>2311.5333333634771</v>
      </c>
    </row>
    <row r="188" spans="1:11" ht="15" customHeight="1" x14ac:dyDescent="0.25">
      <c r="A188" t="s">
        <v>2</v>
      </c>
      <c r="B188">
        <v>9</v>
      </c>
      <c r="C188" t="s">
        <v>166</v>
      </c>
      <c r="D188" t="s">
        <v>85</v>
      </c>
      <c r="E188" t="s">
        <v>178</v>
      </c>
      <c r="F188" s="12">
        <v>45660.333333333299</v>
      </c>
      <c r="G188" s="12">
        <v>45661.626064814802</v>
      </c>
      <c r="H188" t="str">
        <f t="shared" si="4"/>
        <v>BOSP</v>
      </c>
      <c r="I188" t="str">
        <f t="shared" si="5"/>
        <v>BOSP</v>
      </c>
      <c r="J188" s="3">
        <f>(F188-VLOOKUP($A188,Runs!$A$2:$E$9,5,FALSE()))*1440</f>
        <v>479.99999995110556</v>
      </c>
      <c r="K188" s="3">
        <f>(G188-VLOOKUP($A188,Runs!$A$2:$E$9,5,FALSE()))*1440</f>
        <v>2341.5333333145827</v>
      </c>
    </row>
    <row r="189" spans="1:11" ht="15" customHeight="1" x14ac:dyDescent="0.25">
      <c r="A189" t="s">
        <v>2</v>
      </c>
      <c r="B189">
        <v>10</v>
      </c>
      <c r="C189" t="s">
        <v>243</v>
      </c>
      <c r="D189" t="s">
        <v>85</v>
      </c>
      <c r="E189" t="s">
        <v>178</v>
      </c>
      <c r="F189" s="12">
        <v>45660.375</v>
      </c>
      <c r="G189" s="12">
        <v>45661.627129629604</v>
      </c>
      <c r="H189" t="str">
        <f t="shared" si="4"/>
        <v>BOSP</v>
      </c>
      <c r="I189" t="str">
        <f t="shared" si="5"/>
        <v>BOSP</v>
      </c>
      <c r="J189" s="3">
        <f>(F189-VLOOKUP($A189,Runs!$A$2:$E$9,5,FALSE()))*1440</f>
        <v>540</v>
      </c>
      <c r="K189" s="3">
        <f>(G189-VLOOKUP($A189,Runs!$A$2:$E$9,5,FALSE()))*1440</f>
        <v>2343.0666666291654</v>
      </c>
    </row>
    <row r="190" spans="1:11" ht="15" customHeight="1" x14ac:dyDescent="0.25">
      <c r="A190" t="s">
        <v>2</v>
      </c>
      <c r="B190">
        <v>7</v>
      </c>
      <c r="C190" t="s">
        <v>161</v>
      </c>
      <c r="D190" t="s">
        <v>85</v>
      </c>
      <c r="E190" t="s">
        <v>206</v>
      </c>
      <c r="F190" s="12">
        <v>45660.270833333299</v>
      </c>
      <c r="G190" s="12">
        <v>45661.628194444398</v>
      </c>
      <c r="H190" t="str">
        <f t="shared" si="4"/>
        <v>BSA</v>
      </c>
      <c r="I190" t="str">
        <f t="shared" si="5"/>
        <v>BSA</v>
      </c>
      <c r="J190" s="3">
        <f>(F190-VLOOKUP($A190,Runs!$A$2:$E$9,5,FALSE()))*1440</f>
        <v>389.99999995110556</v>
      </c>
      <c r="K190" s="3">
        <f>(G190-VLOOKUP($A190,Runs!$A$2:$E$9,5,FALSE()))*1440</f>
        <v>2344.5999999332707</v>
      </c>
    </row>
    <row r="191" spans="1:11" ht="15" customHeight="1" x14ac:dyDescent="0.25">
      <c r="A191" t="s">
        <v>2</v>
      </c>
      <c r="B191">
        <v>8</v>
      </c>
      <c r="C191" t="s">
        <v>244</v>
      </c>
      <c r="D191" t="s">
        <v>85</v>
      </c>
      <c r="E191" t="s">
        <v>206</v>
      </c>
      <c r="F191" s="12">
        <v>45660.302083333299</v>
      </c>
      <c r="G191" s="12">
        <v>45661.629259259302</v>
      </c>
      <c r="H191" t="str">
        <f t="shared" si="4"/>
        <v>BSA</v>
      </c>
      <c r="I191" t="str">
        <f t="shared" si="5"/>
        <v>BSA</v>
      </c>
      <c r="J191" s="3">
        <f>(F191-VLOOKUP($A191,Runs!$A$2:$E$9,5,FALSE()))*1440</f>
        <v>434.99999995110556</v>
      </c>
      <c r="K191" s="3">
        <f>(G191-VLOOKUP($A191,Runs!$A$2:$E$9,5,FALSE()))*1440</f>
        <v>2346.1333333945367</v>
      </c>
    </row>
    <row r="192" spans="1:11" ht="15" customHeight="1" x14ac:dyDescent="0.25">
      <c r="A192" t="s">
        <v>2</v>
      </c>
      <c r="B192">
        <v>7</v>
      </c>
      <c r="C192" t="s">
        <v>245</v>
      </c>
      <c r="D192" t="s">
        <v>85</v>
      </c>
      <c r="E192" t="s">
        <v>211</v>
      </c>
      <c r="F192" s="12">
        <v>45660.270833333299</v>
      </c>
      <c r="G192" s="12">
        <v>45661.646898148101</v>
      </c>
      <c r="H192" t="str">
        <f t="shared" si="4"/>
        <v>RAX_HD</v>
      </c>
      <c r="I192" t="str">
        <f t="shared" si="5"/>
        <v>RAX_HD</v>
      </c>
      <c r="J192" s="3">
        <f>(F192-VLOOKUP($A192,Runs!$A$2:$E$9,5,FALSE()))*1440</f>
        <v>389.99999995110556</v>
      </c>
      <c r="K192" s="3">
        <f>(G192-VLOOKUP($A192,Runs!$A$2:$E$9,5,FALSE()))*1440</f>
        <v>2371.5333332656883</v>
      </c>
    </row>
    <row r="193" spans="1:11" ht="15" customHeight="1" x14ac:dyDescent="0.25">
      <c r="A193" t="s">
        <v>3</v>
      </c>
      <c r="B193">
        <v>1</v>
      </c>
      <c r="C193" t="s">
        <v>84</v>
      </c>
      <c r="D193" t="s">
        <v>85</v>
      </c>
      <c r="E193" t="s">
        <v>178</v>
      </c>
      <c r="F193" s="12">
        <v>45670</v>
      </c>
      <c r="G193" s="12">
        <v>45670.042268518497</v>
      </c>
      <c r="H193" t="str">
        <f t="shared" si="4"/>
        <v>BOSP</v>
      </c>
      <c r="I193" t="str">
        <f t="shared" si="5"/>
        <v>BOSP</v>
      </c>
      <c r="J193" s="3">
        <f>(F193-VLOOKUP($A193,Runs!$A$2:$E$9,5,FALSE()))*1440</f>
        <v>0</v>
      </c>
      <c r="K193" s="3">
        <f>(G193-VLOOKUP($A193,Runs!$A$2:$E$9,5,FALSE()))*1440</f>
        <v>60.866666635265574</v>
      </c>
    </row>
    <row r="194" spans="1:11" ht="15" customHeight="1" x14ac:dyDescent="0.25">
      <c r="A194" t="s">
        <v>3</v>
      </c>
      <c r="B194">
        <v>1</v>
      </c>
      <c r="C194" t="s">
        <v>87</v>
      </c>
      <c r="D194" t="s">
        <v>85</v>
      </c>
      <c r="E194" t="s">
        <v>178</v>
      </c>
      <c r="F194" s="12">
        <v>45670</v>
      </c>
      <c r="G194" s="12">
        <v>45670.063564814802</v>
      </c>
      <c r="H194" t="str">
        <f t="shared" ref="H194:H257" si="6">MID(E194,8,100)</f>
        <v>BOSP</v>
      </c>
      <c r="I194" t="str">
        <f t="shared" ref="I194:I257" si="7">IF(H194="CORE","CHS",H194)</f>
        <v>BOSP</v>
      </c>
      <c r="J194" s="3">
        <f>(F194-VLOOKUP($A194,Runs!$A$2:$E$9,5,FALSE()))*1440</f>
        <v>0</v>
      </c>
      <c r="K194" s="3">
        <f>(G194-VLOOKUP($A194,Runs!$A$2:$E$9,5,FALSE()))*1440</f>
        <v>91.533333314582705</v>
      </c>
    </row>
    <row r="195" spans="1:11" ht="15" customHeight="1" x14ac:dyDescent="0.25">
      <c r="A195" t="s">
        <v>3</v>
      </c>
      <c r="B195">
        <v>1</v>
      </c>
      <c r="C195" t="s">
        <v>179</v>
      </c>
      <c r="D195" t="s">
        <v>85</v>
      </c>
      <c r="E195" t="s">
        <v>180</v>
      </c>
      <c r="F195" s="12">
        <v>45670</v>
      </c>
      <c r="G195" s="12">
        <v>45670.106064814798</v>
      </c>
      <c r="H195" t="str">
        <f t="shared" si="6"/>
        <v>BAT</v>
      </c>
      <c r="I195" t="str">
        <f t="shared" si="7"/>
        <v>BAT</v>
      </c>
      <c r="J195" s="3">
        <f>(F195-VLOOKUP($A195,Runs!$A$2:$E$9,5,FALSE()))*1440</f>
        <v>0</v>
      </c>
      <c r="K195" s="3">
        <f>(G195-VLOOKUP($A195,Runs!$A$2:$E$9,5,FALSE()))*1440</f>
        <v>152.73333330871537</v>
      </c>
    </row>
    <row r="196" spans="1:11" ht="15" customHeight="1" x14ac:dyDescent="0.25">
      <c r="A196" t="s">
        <v>3</v>
      </c>
      <c r="B196">
        <v>2</v>
      </c>
      <c r="C196" t="s">
        <v>91</v>
      </c>
      <c r="D196" t="s">
        <v>85</v>
      </c>
      <c r="E196" t="s">
        <v>178</v>
      </c>
      <c r="F196" s="12">
        <v>45670.0625</v>
      </c>
      <c r="G196" s="12">
        <v>45670.126064814802</v>
      </c>
      <c r="H196" t="str">
        <f t="shared" si="6"/>
        <v>BOSP</v>
      </c>
      <c r="I196" t="str">
        <f t="shared" si="7"/>
        <v>BOSP</v>
      </c>
      <c r="J196" s="3">
        <f>(F196-VLOOKUP($A196,Runs!$A$2:$E$9,5,FALSE()))*1440</f>
        <v>90</v>
      </c>
      <c r="K196" s="3">
        <f>(G196-VLOOKUP($A196,Runs!$A$2:$E$9,5,FALSE()))*1440</f>
        <v>181.53333331458271</v>
      </c>
    </row>
    <row r="197" spans="1:11" ht="15" customHeight="1" x14ac:dyDescent="0.25">
      <c r="A197" t="s">
        <v>3</v>
      </c>
      <c r="B197">
        <v>2</v>
      </c>
      <c r="C197" t="s">
        <v>92</v>
      </c>
      <c r="D197" t="s">
        <v>85</v>
      </c>
      <c r="E197" t="s">
        <v>178</v>
      </c>
      <c r="F197" s="12">
        <v>45670.0625</v>
      </c>
      <c r="G197" s="12">
        <v>45670.146898148101</v>
      </c>
      <c r="H197" t="str">
        <f t="shared" si="6"/>
        <v>BOSP</v>
      </c>
      <c r="I197" t="str">
        <f t="shared" si="7"/>
        <v>BOSP</v>
      </c>
      <c r="J197" s="3">
        <f>(F197-VLOOKUP($A197,Runs!$A$2:$E$9,5,FALSE()))*1440</f>
        <v>90</v>
      </c>
      <c r="K197" s="3">
        <f>(G197-VLOOKUP($A197,Runs!$A$2:$E$9,5,FALSE()))*1440</f>
        <v>211.53333326568827</v>
      </c>
    </row>
    <row r="198" spans="1:11" ht="15" customHeight="1" x14ac:dyDescent="0.25">
      <c r="A198" t="s">
        <v>3</v>
      </c>
      <c r="B198">
        <v>1</v>
      </c>
      <c r="C198" t="s">
        <v>88</v>
      </c>
      <c r="D198" t="s">
        <v>85</v>
      </c>
      <c r="E198" t="s">
        <v>181</v>
      </c>
      <c r="F198" s="12">
        <v>45670</v>
      </c>
      <c r="G198" s="12">
        <v>45670.147962962998</v>
      </c>
      <c r="H198" t="str">
        <f t="shared" si="6"/>
        <v>RT</v>
      </c>
      <c r="I198" t="str">
        <f t="shared" si="7"/>
        <v>RT</v>
      </c>
      <c r="J198" s="3">
        <f>(F198-VLOOKUP($A198,Runs!$A$2:$E$9,5,FALSE()))*1440</f>
        <v>0</v>
      </c>
      <c r="K198" s="3">
        <f>(G198-VLOOKUP($A198,Runs!$A$2:$E$9,5,FALSE()))*1440</f>
        <v>213.0666667164769</v>
      </c>
    </row>
    <row r="199" spans="1:11" ht="15" customHeight="1" x14ac:dyDescent="0.25">
      <c r="A199" t="s">
        <v>3</v>
      </c>
      <c r="B199">
        <v>2</v>
      </c>
      <c r="C199" t="s">
        <v>182</v>
      </c>
      <c r="D199" t="s">
        <v>85</v>
      </c>
      <c r="E199" t="s">
        <v>180</v>
      </c>
      <c r="F199" s="12">
        <v>45670.0625</v>
      </c>
      <c r="G199" s="12">
        <v>45670.189398148199</v>
      </c>
      <c r="H199" t="str">
        <f t="shared" si="6"/>
        <v>BAT</v>
      </c>
      <c r="I199" t="str">
        <f t="shared" si="7"/>
        <v>BAT</v>
      </c>
      <c r="J199" s="3">
        <f>(F199-VLOOKUP($A199,Runs!$A$2:$E$9,5,FALSE()))*1440</f>
        <v>90</v>
      </c>
      <c r="K199" s="3">
        <f>(G199-VLOOKUP($A199,Runs!$A$2:$E$9,5,FALSE()))*1440</f>
        <v>272.73333340650424</v>
      </c>
    </row>
    <row r="200" spans="1:11" ht="15" customHeight="1" x14ac:dyDescent="0.25">
      <c r="A200" t="s">
        <v>3</v>
      </c>
      <c r="B200">
        <v>1</v>
      </c>
      <c r="C200" t="s">
        <v>90</v>
      </c>
      <c r="D200" t="s">
        <v>85</v>
      </c>
      <c r="E200" t="s">
        <v>181</v>
      </c>
      <c r="F200" s="12">
        <v>45670</v>
      </c>
      <c r="G200" s="12">
        <v>45670.190462963001</v>
      </c>
      <c r="H200" t="str">
        <f t="shared" si="6"/>
        <v>RT</v>
      </c>
      <c r="I200" t="str">
        <f t="shared" si="7"/>
        <v>RT</v>
      </c>
      <c r="J200" s="3">
        <f>(F200-VLOOKUP($A200,Runs!$A$2:$E$9,5,FALSE()))*1440</f>
        <v>0</v>
      </c>
      <c r="K200" s="3">
        <f>(G200-VLOOKUP($A200,Runs!$A$2:$E$9,5,FALSE()))*1440</f>
        <v>274.26666672108695</v>
      </c>
    </row>
    <row r="201" spans="1:11" ht="15" customHeight="1" x14ac:dyDescent="0.25">
      <c r="A201" t="s">
        <v>3</v>
      </c>
      <c r="B201">
        <v>3</v>
      </c>
      <c r="C201" t="s">
        <v>97</v>
      </c>
      <c r="D201" t="s">
        <v>85</v>
      </c>
      <c r="E201" t="s">
        <v>178</v>
      </c>
      <c r="F201" s="12">
        <v>45670.125</v>
      </c>
      <c r="G201" s="12">
        <v>45670.209398148101</v>
      </c>
      <c r="H201" t="str">
        <f t="shared" si="6"/>
        <v>BOSP</v>
      </c>
      <c r="I201" t="str">
        <f t="shared" si="7"/>
        <v>BOSP</v>
      </c>
      <c r="J201" s="3">
        <f>(F201-VLOOKUP($A201,Runs!$A$2:$E$9,5,FALSE()))*1440</f>
        <v>180</v>
      </c>
      <c r="K201" s="3">
        <f>(G201-VLOOKUP($A201,Runs!$A$2:$E$9,5,FALSE()))*1440</f>
        <v>301.53333326568827</v>
      </c>
    </row>
    <row r="202" spans="1:11" ht="15" customHeight="1" x14ac:dyDescent="0.25">
      <c r="A202" t="s">
        <v>3</v>
      </c>
      <c r="B202">
        <v>3</v>
      </c>
      <c r="C202" t="s">
        <v>98</v>
      </c>
      <c r="D202" t="s">
        <v>85</v>
      </c>
      <c r="E202" t="s">
        <v>178</v>
      </c>
      <c r="F202" s="12">
        <v>45670.125</v>
      </c>
      <c r="G202" s="12">
        <v>45670.229768518497</v>
      </c>
      <c r="H202" t="str">
        <f t="shared" si="6"/>
        <v>BOSP</v>
      </c>
      <c r="I202" t="str">
        <f t="shared" si="7"/>
        <v>BOSP</v>
      </c>
      <c r="J202" s="3">
        <f>(F202-VLOOKUP($A202,Runs!$A$2:$E$9,5,FALSE()))*1440</f>
        <v>180</v>
      </c>
      <c r="K202" s="3">
        <f>(G202-VLOOKUP($A202,Runs!$A$2:$E$9,5,FALSE()))*1440</f>
        <v>330.86666663526557</v>
      </c>
    </row>
    <row r="203" spans="1:11" ht="15" customHeight="1" x14ac:dyDescent="0.25">
      <c r="A203" t="s">
        <v>3</v>
      </c>
      <c r="B203">
        <v>1</v>
      </c>
      <c r="C203" t="s">
        <v>184</v>
      </c>
      <c r="D203" t="s">
        <v>85</v>
      </c>
      <c r="E203" t="s">
        <v>185</v>
      </c>
      <c r="F203" s="12">
        <v>45670</v>
      </c>
      <c r="G203" s="12">
        <v>45670.230833333299</v>
      </c>
      <c r="H203" t="str">
        <f t="shared" si="6"/>
        <v>FT</v>
      </c>
      <c r="I203" t="str">
        <f t="shared" si="7"/>
        <v>FT</v>
      </c>
      <c r="J203" s="3">
        <f>(F203-VLOOKUP($A203,Runs!$A$2:$E$9,5,FALSE()))*1440</f>
        <v>0</v>
      </c>
      <c r="K203" s="3">
        <f>(G203-VLOOKUP($A203,Runs!$A$2:$E$9,5,FALSE()))*1440</f>
        <v>332.39999994984828</v>
      </c>
    </row>
    <row r="204" spans="1:11" ht="15" customHeight="1" x14ac:dyDescent="0.25">
      <c r="A204" t="s">
        <v>3</v>
      </c>
      <c r="B204">
        <v>3</v>
      </c>
      <c r="C204" t="s">
        <v>183</v>
      </c>
      <c r="D204" t="s">
        <v>85</v>
      </c>
      <c r="E204" t="s">
        <v>180</v>
      </c>
      <c r="F204" s="12">
        <v>45670.125</v>
      </c>
      <c r="G204" s="12">
        <v>45670.251064814802</v>
      </c>
      <c r="H204" t="str">
        <f t="shared" si="6"/>
        <v>BAT</v>
      </c>
      <c r="I204" t="str">
        <f t="shared" si="7"/>
        <v>BAT</v>
      </c>
      <c r="J204" s="3">
        <f>(F204-VLOOKUP($A204,Runs!$A$2:$E$9,5,FALSE()))*1440</f>
        <v>180</v>
      </c>
      <c r="K204" s="3">
        <f>(G204-VLOOKUP($A204,Runs!$A$2:$E$9,5,FALSE()))*1440</f>
        <v>361.53333331458271</v>
      </c>
    </row>
    <row r="205" spans="1:11" ht="15" customHeight="1" x14ac:dyDescent="0.25">
      <c r="A205" t="s">
        <v>3</v>
      </c>
      <c r="B205">
        <v>1</v>
      </c>
      <c r="C205" t="s">
        <v>186</v>
      </c>
      <c r="D205" t="s">
        <v>85</v>
      </c>
      <c r="E205" t="s">
        <v>185</v>
      </c>
      <c r="F205" s="12">
        <v>45670</v>
      </c>
      <c r="G205" s="12">
        <v>45670.254444444399</v>
      </c>
      <c r="H205" t="str">
        <f t="shared" si="6"/>
        <v>FT</v>
      </c>
      <c r="I205" t="str">
        <f t="shared" si="7"/>
        <v>FT</v>
      </c>
      <c r="J205" s="3">
        <f>(F205-VLOOKUP($A205,Runs!$A$2:$E$9,5,FALSE()))*1440</f>
        <v>0</v>
      </c>
      <c r="K205" s="3">
        <f>(G205-VLOOKUP($A205,Runs!$A$2:$E$9,5,FALSE()))*1440</f>
        <v>366.39999993494712</v>
      </c>
    </row>
    <row r="206" spans="1:11" ht="15" customHeight="1" x14ac:dyDescent="0.25">
      <c r="A206" t="s">
        <v>3</v>
      </c>
      <c r="B206">
        <v>4</v>
      </c>
      <c r="C206" t="s">
        <v>107</v>
      </c>
      <c r="D206" t="s">
        <v>85</v>
      </c>
      <c r="E206" t="s">
        <v>178</v>
      </c>
      <c r="F206" s="12">
        <v>45670.1875</v>
      </c>
      <c r="G206" s="12">
        <v>45670.273194444497</v>
      </c>
      <c r="H206" t="str">
        <f t="shared" si="6"/>
        <v>BOSP</v>
      </c>
      <c r="I206" t="str">
        <f t="shared" si="7"/>
        <v>BOSP</v>
      </c>
      <c r="J206" s="3">
        <f>(F206-VLOOKUP($A206,Runs!$A$2:$E$9,5,FALSE()))*1440</f>
        <v>270</v>
      </c>
      <c r="K206" s="3">
        <f>(G206-VLOOKUP($A206,Runs!$A$2:$E$9,5,FALSE()))*1440</f>
        <v>393.400000075344</v>
      </c>
    </row>
    <row r="207" spans="1:11" ht="15" customHeight="1" x14ac:dyDescent="0.25">
      <c r="A207" t="s">
        <v>3</v>
      </c>
      <c r="B207">
        <v>4</v>
      </c>
      <c r="C207" t="s">
        <v>109</v>
      </c>
      <c r="D207" t="s">
        <v>85</v>
      </c>
      <c r="E207" t="s">
        <v>178</v>
      </c>
      <c r="F207" s="12">
        <v>45670.1875</v>
      </c>
      <c r="G207" s="12">
        <v>45670.292268518497</v>
      </c>
      <c r="H207" t="str">
        <f t="shared" si="6"/>
        <v>BOSP</v>
      </c>
      <c r="I207" t="str">
        <f t="shared" si="7"/>
        <v>BOSP</v>
      </c>
      <c r="J207" s="3">
        <f>(F207-VLOOKUP($A207,Runs!$A$2:$E$9,5,FALSE()))*1440</f>
        <v>270</v>
      </c>
      <c r="K207" s="3">
        <f>(G207-VLOOKUP($A207,Runs!$A$2:$E$9,5,FALSE()))*1440</f>
        <v>420.86666663526557</v>
      </c>
    </row>
    <row r="208" spans="1:11" ht="15" customHeight="1" x14ac:dyDescent="0.25">
      <c r="A208" t="s">
        <v>3</v>
      </c>
      <c r="B208">
        <v>2</v>
      </c>
      <c r="C208" t="s">
        <v>93</v>
      </c>
      <c r="D208" t="s">
        <v>85</v>
      </c>
      <c r="E208" t="s">
        <v>181</v>
      </c>
      <c r="F208" s="12">
        <v>45670.0625</v>
      </c>
      <c r="G208" s="12">
        <v>45670.293333333299</v>
      </c>
      <c r="H208" t="str">
        <f t="shared" si="6"/>
        <v>RT</v>
      </c>
      <c r="I208" t="str">
        <f t="shared" si="7"/>
        <v>RT</v>
      </c>
      <c r="J208" s="3">
        <f>(F208-VLOOKUP($A208,Runs!$A$2:$E$9,5,FALSE()))*1440</f>
        <v>90</v>
      </c>
      <c r="K208" s="3">
        <f>(G208-VLOOKUP($A208,Runs!$A$2:$E$9,5,FALSE()))*1440</f>
        <v>422.39999994984828</v>
      </c>
    </row>
    <row r="209" spans="1:11" ht="15" customHeight="1" x14ac:dyDescent="0.25">
      <c r="A209" t="s">
        <v>3</v>
      </c>
      <c r="B209">
        <v>4</v>
      </c>
      <c r="C209" t="s">
        <v>113</v>
      </c>
      <c r="D209" t="s">
        <v>85</v>
      </c>
      <c r="E209" t="s">
        <v>180</v>
      </c>
      <c r="F209" s="12">
        <v>45670.1875</v>
      </c>
      <c r="G209" s="12">
        <v>45670.335694444497</v>
      </c>
      <c r="H209" t="str">
        <f t="shared" si="6"/>
        <v>BAT</v>
      </c>
      <c r="I209" t="str">
        <f t="shared" si="7"/>
        <v>BAT</v>
      </c>
      <c r="J209" s="3">
        <f>(F209-VLOOKUP($A209,Runs!$A$2:$E$9,5,FALSE()))*1440</f>
        <v>270</v>
      </c>
      <c r="K209" s="3">
        <f>(G209-VLOOKUP($A209,Runs!$A$2:$E$9,5,FALSE()))*1440</f>
        <v>483.400000075344</v>
      </c>
    </row>
    <row r="210" spans="1:11" ht="15" customHeight="1" x14ac:dyDescent="0.25">
      <c r="A210" t="s">
        <v>3</v>
      </c>
      <c r="B210">
        <v>2</v>
      </c>
      <c r="C210" t="s">
        <v>96</v>
      </c>
      <c r="D210" t="s">
        <v>85</v>
      </c>
      <c r="E210" t="s">
        <v>181</v>
      </c>
      <c r="F210" s="12">
        <v>45670.0625</v>
      </c>
      <c r="G210" s="12">
        <v>45670.336759259299</v>
      </c>
      <c r="H210" t="str">
        <f t="shared" si="6"/>
        <v>RT</v>
      </c>
      <c r="I210" t="str">
        <f t="shared" si="7"/>
        <v>RT</v>
      </c>
      <c r="J210" s="3">
        <f>(F210-VLOOKUP($A210,Runs!$A$2:$E$9,5,FALSE()))*1440</f>
        <v>90</v>
      </c>
      <c r="K210" s="3">
        <f>(G210-VLOOKUP($A210,Runs!$A$2:$E$9,5,FALSE()))*1440</f>
        <v>484.9333333899267</v>
      </c>
    </row>
    <row r="211" spans="1:11" ht="15" customHeight="1" x14ac:dyDescent="0.25">
      <c r="A211" t="s">
        <v>3</v>
      </c>
      <c r="B211">
        <v>5</v>
      </c>
      <c r="C211" t="s">
        <v>213</v>
      </c>
      <c r="D211" t="s">
        <v>85</v>
      </c>
      <c r="E211" t="s">
        <v>178</v>
      </c>
      <c r="F211" s="12">
        <v>45670.25</v>
      </c>
      <c r="G211" s="12">
        <v>45670.354768518497</v>
      </c>
      <c r="H211" t="str">
        <f t="shared" si="6"/>
        <v>BOSP</v>
      </c>
      <c r="I211" t="str">
        <f t="shared" si="7"/>
        <v>BOSP</v>
      </c>
      <c r="J211" s="3">
        <f>(F211-VLOOKUP($A211,Runs!$A$2:$E$9,5,FALSE()))*1440</f>
        <v>360</v>
      </c>
      <c r="K211" s="3">
        <f>(G211-VLOOKUP($A211,Runs!$A$2:$E$9,5,FALSE()))*1440</f>
        <v>510.86666663526557</v>
      </c>
    </row>
    <row r="212" spans="1:11" ht="15" customHeight="1" x14ac:dyDescent="0.25">
      <c r="A212" t="s">
        <v>3</v>
      </c>
      <c r="B212">
        <v>2</v>
      </c>
      <c r="C212" t="s">
        <v>187</v>
      </c>
      <c r="D212" t="s">
        <v>85</v>
      </c>
      <c r="E212" t="s">
        <v>185</v>
      </c>
      <c r="F212" s="12">
        <v>45670.0625</v>
      </c>
      <c r="G212" s="12">
        <v>45670.355833333299</v>
      </c>
      <c r="H212" t="str">
        <f t="shared" si="6"/>
        <v>FT</v>
      </c>
      <c r="I212" t="str">
        <f t="shared" si="7"/>
        <v>FT</v>
      </c>
      <c r="J212" s="3">
        <f>(F212-VLOOKUP($A212,Runs!$A$2:$E$9,5,FALSE()))*1440</f>
        <v>90</v>
      </c>
      <c r="K212" s="3">
        <f>(G212-VLOOKUP($A212,Runs!$A$2:$E$9,5,FALSE()))*1440</f>
        <v>512.39999994984828</v>
      </c>
    </row>
    <row r="213" spans="1:11" ht="15" customHeight="1" x14ac:dyDescent="0.25">
      <c r="A213" t="s">
        <v>3</v>
      </c>
      <c r="B213">
        <v>5</v>
      </c>
      <c r="C213" t="s">
        <v>214</v>
      </c>
      <c r="D213" t="s">
        <v>85</v>
      </c>
      <c r="E213" t="s">
        <v>178</v>
      </c>
      <c r="F213" s="12">
        <v>45670.25</v>
      </c>
      <c r="G213" s="12">
        <v>45670.376064814802</v>
      </c>
      <c r="H213" t="str">
        <f t="shared" si="6"/>
        <v>BOSP</v>
      </c>
      <c r="I213" t="str">
        <f t="shared" si="7"/>
        <v>BOSP</v>
      </c>
      <c r="J213" s="3">
        <f>(F213-VLOOKUP($A213,Runs!$A$2:$E$9,5,FALSE()))*1440</f>
        <v>360</v>
      </c>
      <c r="K213" s="3">
        <f>(G213-VLOOKUP($A213,Runs!$A$2:$E$9,5,FALSE()))*1440</f>
        <v>541.53333331458271</v>
      </c>
    </row>
    <row r="214" spans="1:11" ht="15" customHeight="1" x14ac:dyDescent="0.25">
      <c r="A214" t="s">
        <v>3</v>
      </c>
      <c r="B214">
        <v>2</v>
      </c>
      <c r="C214" t="s">
        <v>188</v>
      </c>
      <c r="D214" t="s">
        <v>85</v>
      </c>
      <c r="E214" t="s">
        <v>185</v>
      </c>
      <c r="F214" s="12">
        <v>45670.0625</v>
      </c>
      <c r="G214" s="12">
        <v>45670.379444444399</v>
      </c>
      <c r="H214" t="str">
        <f t="shared" si="6"/>
        <v>FT</v>
      </c>
      <c r="I214" t="str">
        <f t="shared" si="7"/>
        <v>FT</v>
      </c>
      <c r="J214" s="3">
        <f>(F214-VLOOKUP($A214,Runs!$A$2:$E$9,5,FALSE()))*1440</f>
        <v>90</v>
      </c>
      <c r="K214" s="3">
        <f>(G214-VLOOKUP($A214,Runs!$A$2:$E$9,5,FALSE()))*1440</f>
        <v>546.39999993494712</v>
      </c>
    </row>
    <row r="215" spans="1:11" ht="15" customHeight="1" x14ac:dyDescent="0.25">
      <c r="A215" t="s">
        <v>3</v>
      </c>
      <c r="B215">
        <v>5</v>
      </c>
      <c r="C215" t="s">
        <v>218</v>
      </c>
      <c r="D215" t="s">
        <v>85</v>
      </c>
      <c r="E215" t="s">
        <v>180</v>
      </c>
      <c r="F215" s="12">
        <v>45670.25</v>
      </c>
      <c r="G215" s="12">
        <v>45670.419652777797</v>
      </c>
      <c r="H215" t="str">
        <f t="shared" si="6"/>
        <v>BAT</v>
      </c>
      <c r="I215" t="str">
        <f t="shared" si="7"/>
        <v>BAT</v>
      </c>
      <c r="J215" s="3">
        <f>(F215-VLOOKUP($A215,Runs!$A$2:$E$9,5,FALSE()))*1440</f>
        <v>360</v>
      </c>
      <c r="K215" s="3">
        <f>(G215-VLOOKUP($A215,Runs!$A$2:$E$9,5,FALSE()))*1440</f>
        <v>604.30000002728775</v>
      </c>
    </row>
    <row r="216" spans="1:11" ht="15" customHeight="1" x14ac:dyDescent="0.25">
      <c r="A216" t="s">
        <v>3</v>
      </c>
      <c r="B216">
        <v>3</v>
      </c>
      <c r="C216" t="s">
        <v>101</v>
      </c>
      <c r="D216" t="s">
        <v>85</v>
      </c>
      <c r="E216" t="s">
        <v>181</v>
      </c>
      <c r="F216" s="12">
        <v>45670.125</v>
      </c>
      <c r="G216" s="12">
        <v>45670.420717592599</v>
      </c>
      <c r="H216" t="str">
        <f t="shared" si="6"/>
        <v>RT</v>
      </c>
      <c r="I216" t="str">
        <f t="shared" si="7"/>
        <v>RT</v>
      </c>
      <c r="J216" s="3">
        <f>(F216-VLOOKUP($A216,Runs!$A$2:$E$9,5,FALSE()))*1440</f>
        <v>180</v>
      </c>
      <c r="K216" s="3">
        <f>(G216-VLOOKUP($A216,Runs!$A$2:$E$9,5,FALSE()))*1440</f>
        <v>605.83333334187046</v>
      </c>
    </row>
    <row r="217" spans="1:11" ht="15" customHeight="1" x14ac:dyDescent="0.25">
      <c r="A217" t="s">
        <v>3</v>
      </c>
      <c r="B217">
        <v>6</v>
      </c>
      <c r="C217" t="s">
        <v>133</v>
      </c>
      <c r="D217" t="s">
        <v>85</v>
      </c>
      <c r="E217" t="s">
        <v>178</v>
      </c>
      <c r="F217" s="12">
        <v>45670.3125</v>
      </c>
      <c r="G217" s="12">
        <v>45670.438564814802</v>
      </c>
      <c r="H217" t="str">
        <f t="shared" si="6"/>
        <v>BOSP</v>
      </c>
      <c r="I217" t="str">
        <f t="shared" si="7"/>
        <v>BOSP</v>
      </c>
      <c r="J217" s="3">
        <f>(F217-VLOOKUP($A217,Runs!$A$2:$E$9,5,FALSE()))*1440</f>
        <v>450</v>
      </c>
      <c r="K217" s="3">
        <f>(G217-VLOOKUP($A217,Runs!$A$2:$E$9,5,FALSE()))*1440</f>
        <v>631.53333331458271</v>
      </c>
    </row>
    <row r="218" spans="1:11" ht="15" customHeight="1" x14ac:dyDescent="0.25">
      <c r="A218" t="s">
        <v>3</v>
      </c>
      <c r="B218">
        <v>1</v>
      </c>
      <c r="C218" t="s">
        <v>191</v>
      </c>
      <c r="D218" t="s">
        <v>85</v>
      </c>
      <c r="E218" t="s">
        <v>192</v>
      </c>
      <c r="F218" s="12">
        <v>45670</v>
      </c>
      <c r="G218" s="12">
        <v>45670.439629629604</v>
      </c>
      <c r="H218" t="str">
        <f t="shared" si="6"/>
        <v>SSA</v>
      </c>
      <c r="I218" t="str">
        <f t="shared" si="7"/>
        <v>SSA</v>
      </c>
      <c r="J218" s="3">
        <f>(F218-VLOOKUP($A218,Runs!$A$2:$E$9,5,FALSE()))*1440</f>
        <v>0</v>
      </c>
      <c r="K218" s="3">
        <f>(G218-VLOOKUP($A218,Runs!$A$2:$E$9,5,FALSE()))*1440</f>
        <v>633.06666662916541</v>
      </c>
    </row>
    <row r="219" spans="1:11" ht="15" customHeight="1" x14ac:dyDescent="0.25">
      <c r="A219" t="s">
        <v>3</v>
      </c>
      <c r="B219">
        <v>6</v>
      </c>
      <c r="C219" t="s">
        <v>134</v>
      </c>
      <c r="D219" t="s">
        <v>85</v>
      </c>
      <c r="E219" t="s">
        <v>178</v>
      </c>
      <c r="F219" s="12">
        <v>45670.3125</v>
      </c>
      <c r="G219" s="12">
        <v>45670.458935185197</v>
      </c>
      <c r="H219" t="str">
        <f t="shared" si="6"/>
        <v>BOSP</v>
      </c>
      <c r="I219" t="str">
        <f t="shared" si="7"/>
        <v>BOSP</v>
      </c>
      <c r="J219" s="3">
        <f>(F219-VLOOKUP($A219,Runs!$A$2:$E$9,5,FALSE()))*1440</f>
        <v>450</v>
      </c>
      <c r="K219" s="3">
        <f>(G219-VLOOKUP($A219,Runs!$A$2:$E$9,5,FALSE()))*1440</f>
        <v>660.86666668416001</v>
      </c>
    </row>
    <row r="220" spans="1:11" ht="15" customHeight="1" x14ac:dyDescent="0.25">
      <c r="A220" t="s">
        <v>3</v>
      </c>
      <c r="B220">
        <v>3</v>
      </c>
      <c r="C220" t="s">
        <v>102</v>
      </c>
      <c r="D220" t="s">
        <v>85</v>
      </c>
      <c r="E220" t="s">
        <v>181</v>
      </c>
      <c r="F220" s="12">
        <v>45670.125</v>
      </c>
      <c r="G220" s="12">
        <v>45670.46</v>
      </c>
      <c r="H220" t="str">
        <f t="shared" si="6"/>
        <v>RT</v>
      </c>
      <c r="I220" t="str">
        <f t="shared" si="7"/>
        <v>RT</v>
      </c>
      <c r="J220" s="3">
        <f>(F220-VLOOKUP($A220,Runs!$A$2:$E$9,5,FALSE()))*1440</f>
        <v>180</v>
      </c>
      <c r="K220" s="3">
        <f>(G220-VLOOKUP($A220,Runs!$A$2:$E$9,5,FALSE()))*1440</f>
        <v>662.39999999874271</v>
      </c>
    </row>
    <row r="221" spans="1:11" ht="15" customHeight="1" x14ac:dyDescent="0.25">
      <c r="A221" t="s">
        <v>3</v>
      </c>
      <c r="B221">
        <v>6</v>
      </c>
      <c r="C221" t="s">
        <v>221</v>
      </c>
      <c r="D221" t="s">
        <v>85</v>
      </c>
      <c r="E221" t="s">
        <v>180</v>
      </c>
      <c r="F221" s="12">
        <v>45670.3125</v>
      </c>
      <c r="G221" s="12">
        <v>45670.481064814798</v>
      </c>
      <c r="H221" t="str">
        <f t="shared" si="6"/>
        <v>BAT</v>
      </c>
      <c r="I221" t="str">
        <f t="shared" si="7"/>
        <v>BAT</v>
      </c>
      <c r="J221" s="3">
        <f>(F221-VLOOKUP($A221,Runs!$A$2:$E$9,5,FALSE()))*1440</f>
        <v>450</v>
      </c>
      <c r="K221" s="3">
        <f>(G221-VLOOKUP($A221,Runs!$A$2:$E$9,5,FALSE()))*1440</f>
        <v>692.73333330871537</v>
      </c>
    </row>
    <row r="222" spans="1:11" ht="15" customHeight="1" x14ac:dyDescent="0.25">
      <c r="A222" t="s">
        <v>3</v>
      </c>
      <c r="B222">
        <v>3</v>
      </c>
      <c r="C222" t="s">
        <v>189</v>
      </c>
      <c r="D222" t="s">
        <v>85</v>
      </c>
      <c r="E222" t="s">
        <v>185</v>
      </c>
      <c r="F222" s="12">
        <v>45670.125</v>
      </c>
      <c r="G222" s="12">
        <v>45670.4821296296</v>
      </c>
      <c r="H222" t="str">
        <f t="shared" si="6"/>
        <v>FT</v>
      </c>
      <c r="I222" t="str">
        <f t="shared" si="7"/>
        <v>FT</v>
      </c>
      <c r="J222" s="3">
        <f>(F222-VLOOKUP($A222,Runs!$A$2:$E$9,5,FALSE()))*1440</f>
        <v>180</v>
      </c>
      <c r="K222" s="3">
        <f>(G222-VLOOKUP($A222,Runs!$A$2:$E$9,5,FALSE()))*1440</f>
        <v>694.26666662329808</v>
      </c>
    </row>
    <row r="223" spans="1:11" ht="15" customHeight="1" x14ac:dyDescent="0.25">
      <c r="A223" t="s">
        <v>3</v>
      </c>
      <c r="B223">
        <v>1</v>
      </c>
      <c r="C223" t="s">
        <v>202</v>
      </c>
      <c r="D223" t="s">
        <v>85</v>
      </c>
      <c r="E223" t="s">
        <v>203</v>
      </c>
      <c r="F223" s="12">
        <v>45670</v>
      </c>
      <c r="G223" s="12">
        <v>45670.484490740702</v>
      </c>
      <c r="H223" t="str">
        <f t="shared" si="6"/>
        <v>CHS</v>
      </c>
      <c r="I223" t="str">
        <f t="shared" si="7"/>
        <v>CHS</v>
      </c>
      <c r="J223" s="3">
        <f>(F223-VLOOKUP($A223,Runs!$A$2:$E$9,5,FALSE()))*1440</f>
        <v>0</v>
      </c>
      <c r="K223" s="3">
        <f>(G223-VLOOKUP($A223,Runs!$A$2:$E$9,5,FALSE()))*1440</f>
        <v>697.66666661133058</v>
      </c>
    </row>
    <row r="224" spans="1:11" ht="15" customHeight="1" x14ac:dyDescent="0.25">
      <c r="A224" t="s">
        <v>3</v>
      </c>
      <c r="B224">
        <v>1</v>
      </c>
      <c r="C224" t="s">
        <v>194</v>
      </c>
      <c r="D224" t="s">
        <v>85</v>
      </c>
      <c r="E224" t="s">
        <v>192</v>
      </c>
      <c r="F224" s="12">
        <v>45670</v>
      </c>
      <c r="G224" s="12">
        <v>45670.485555555599</v>
      </c>
      <c r="H224" t="str">
        <f t="shared" si="6"/>
        <v>SSA</v>
      </c>
      <c r="I224" t="str">
        <f t="shared" si="7"/>
        <v>SSA</v>
      </c>
      <c r="J224" s="3">
        <f>(F224-VLOOKUP($A224,Runs!$A$2:$E$9,5,FALSE()))*1440</f>
        <v>0</v>
      </c>
      <c r="K224" s="3">
        <f>(G224-VLOOKUP($A224,Runs!$A$2:$E$9,5,FALSE()))*1440</f>
        <v>699.20000006211922</v>
      </c>
    </row>
    <row r="225" spans="1:11" ht="15" customHeight="1" x14ac:dyDescent="0.25">
      <c r="A225" t="s">
        <v>3</v>
      </c>
      <c r="B225">
        <v>7</v>
      </c>
      <c r="C225" t="s">
        <v>140</v>
      </c>
      <c r="D225" t="s">
        <v>85</v>
      </c>
      <c r="E225" t="s">
        <v>178</v>
      </c>
      <c r="F225" s="12">
        <v>45670.416666666701</v>
      </c>
      <c r="G225" s="12">
        <v>45670.501064814802</v>
      </c>
      <c r="H225" t="str">
        <f t="shared" si="6"/>
        <v>BOSP</v>
      </c>
      <c r="I225" t="str">
        <f t="shared" si="7"/>
        <v>BOSP</v>
      </c>
      <c r="J225" s="3">
        <f>(F225-VLOOKUP($A225,Runs!$A$2:$E$9,5,FALSE()))*1440</f>
        <v>600.00000004889444</v>
      </c>
      <c r="K225" s="3">
        <f>(G225-VLOOKUP($A225,Runs!$A$2:$E$9,5,FALSE()))*1440</f>
        <v>721.53333331458271</v>
      </c>
    </row>
    <row r="226" spans="1:11" ht="15" customHeight="1" x14ac:dyDescent="0.25">
      <c r="A226" t="s">
        <v>3</v>
      </c>
      <c r="B226">
        <v>3</v>
      </c>
      <c r="C226" t="s">
        <v>190</v>
      </c>
      <c r="D226" t="s">
        <v>85</v>
      </c>
      <c r="E226" t="s">
        <v>185</v>
      </c>
      <c r="F226" s="12">
        <v>45670.125</v>
      </c>
      <c r="G226" s="12">
        <v>45670.504444444399</v>
      </c>
      <c r="H226" t="str">
        <f t="shared" si="6"/>
        <v>FT</v>
      </c>
      <c r="I226" t="str">
        <f t="shared" si="7"/>
        <v>FT</v>
      </c>
      <c r="J226" s="3">
        <f>(F226-VLOOKUP($A226,Runs!$A$2:$E$9,5,FALSE()))*1440</f>
        <v>180</v>
      </c>
      <c r="K226" s="3">
        <f>(G226-VLOOKUP($A226,Runs!$A$2:$E$9,5,FALSE()))*1440</f>
        <v>726.39999993494712</v>
      </c>
    </row>
    <row r="227" spans="1:11" ht="15" customHeight="1" x14ac:dyDescent="0.25">
      <c r="A227" t="s">
        <v>3</v>
      </c>
      <c r="B227">
        <v>1</v>
      </c>
      <c r="C227" t="s">
        <v>196</v>
      </c>
      <c r="D227" t="s">
        <v>85</v>
      </c>
      <c r="E227" t="s">
        <v>197</v>
      </c>
      <c r="F227" s="12">
        <v>45670</v>
      </c>
      <c r="G227" s="12">
        <v>45670.509259259299</v>
      </c>
      <c r="H227" t="str">
        <f t="shared" si="6"/>
        <v>FAX</v>
      </c>
      <c r="I227" t="str">
        <f t="shared" si="7"/>
        <v>FAX</v>
      </c>
      <c r="J227" s="3">
        <f>(F227-VLOOKUP($A227,Runs!$A$2:$E$9,5,FALSE()))*1440</f>
        <v>0</v>
      </c>
      <c r="K227" s="3">
        <f>(G227-VLOOKUP($A227,Runs!$A$2:$E$9,5,FALSE()))*1440</f>
        <v>733.33333339076489</v>
      </c>
    </row>
    <row r="228" spans="1:11" ht="15" customHeight="1" x14ac:dyDescent="0.25">
      <c r="A228" t="s">
        <v>3</v>
      </c>
      <c r="B228">
        <v>7</v>
      </c>
      <c r="C228" t="s">
        <v>143</v>
      </c>
      <c r="D228" t="s">
        <v>85</v>
      </c>
      <c r="E228" t="s">
        <v>178</v>
      </c>
      <c r="F228" s="12">
        <v>45670.416666666701</v>
      </c>
      <c r="G228" s="12">
        <v>45670.521898148101</v>
      </c>
      <c r="H228" t="str">
        <f t="shared" si="6"/>
        <v>BOSP</v>
      </c>
      <c r="I228" t="str">
        <f t="shared" si="7"/>
        <v>BOSP</v>
      </c>
      <c r="J228" s="3">
        <f>(F228-VLOOKUP($A228,Runs!$A$2:$E$9,5,FALSE()))*1440</f>
        <v>600.00000004889444</v>
      </c>
      <c r="K228" s="3">
        <f>(G228-VLOOKUP($A228,Runs!$A$2:$E$9,5,FALSE()))*1440</f>
        <v>751.53333326568827</v>
      </c>
    </row>
    <row r="229" spans="1:11" ht="15" customHeight="1" x14ac:dyDescent="0.25">
      <c r="A229" t="s">
        <v>3</v>
      </c>
      <c r="B229">
        <v>4</v>
      </c>
      <c r="C229" t="s">
        <v>117</v>
      </c>
      <c r="D229" t="s">
        <v>85</v>
      </c>
      <c r="E229" t="s">
        <v>181</v>
      </c>
      <c r="F229" s="12">
        <v>45670.1875</v>
      </c>
      <c r="G229" s="12">
        <v>45670.542731481502</v>
      </c>
      <c r="H229" t="str">
        <f t="shared" si="6"/>
        <v>RT</v>
      </c>
      <c r="I229" t="str">
        <f t="shared" si="7"/>
        <v>RT</v>
      </c>
      <c r="J229" s="3">
        <f>(F229-VLOOKUP($A229,Runs!$A$2:$E$9,5,FALSE()))*1440</f>
        <v>270</v>
      </c>
      <c r="K229" s="3">
        <f>(G229-VLOOKUP($A229,Runs!$A$2:$E$9,5,FALSE()))*1440</f>
        <v>781.53333336347714</v>
      </c>
    </row>
    <row r="230" spans="1:11" ht="15" customHeight="1" x14ac:dyDescent="0.25">
      <c r="A230" t="s">
        <v>3</v>
      </c>
      <c r="B230">
        <v>1</v>
      </c>
      <c r="C230" t="s">
        <v>99</v>
      </c>
      <c r="D230" t="s">
        <v>85</v>
      </c>
      <c r="E230" t="s">
        <v>206</v>
      </c>
      <c r="F230" s="12">
        <v>45670</v>
      </c>
      <c r="G230" s="12">
        <v>45670.543796296297</v>
      </c>
      <c r="H230" t="str">
        <f t="shared" si="6"/>
        <v>BSA</v>
      </c>
      <c r="I230" t="str">
        <f t="shared" si="7"/>
        <v>BSA</v>
      </c>
      <c r="J230" s="3">
        <f>(F230-VLOOKUP($A230,Runs!$A$2:$E$9,5,FALSE()))*1440</f>
        <v>0</v>
      </c>
      <c r="K230" s="3">
        <f>(G230-VLOOKUP($A230,Runs!$A$2:$E$9,5,FALSE()))*1440</f>
        <v>783.06666666758247</v>
      </c>
    </row>
    <row r="231" spans="1:11" ht="15" customHeight="1" x14ac:dyDescent="0.25">
      <c r="A231" t="s">
        <v>3</v>
      </c>
      <c r="B231">
        <v>7</v>
      </c>
      <c r="C231" t="s">
        <v>222</v>
      </c>
      <c r="D231" t="s">
        <v>85</v>
      </c>
      <c r="E231" t="s">
        <v>180</v>
      </c>
      <c r="F231" s="12">
        <v>45670.416666666701</v>
      </c>
      <c r="G231" s="12">
        <v>45670.564861111103</v>
      </c>
      <c r="H231" t="str">
        <f t="shared" si="6"/>
        <v>BAT</v>
      </c>
      <c r="I231" t="str">
        <f t="shared" si="7"/>
        <v>BAT</v>
      </c>
      <c r="J231" s="3">
        <f>(F231-VLOOKUP($A231,Runs!$A$2:$E$9,5,FALSE()))*1440</f>
        <v>600.00000004889444</v>
      </c>
      <c r="K231" s="3">
        <f>(G231-VLOOKUP($A231,Runs!$A$2:$E$9,5,FALSE()))*1440</f>
        <v>813.3999999880325</v>
      </c>
    </row>
    <row r="232" spans="1:11" ht="15" customHeight="1" x14ac:dyDescent="0.25">
      <c r="A232" t="s">
        <v>3</v>
      </c>
      <c r="B232">
        <v>1</v>
      </c>
      <c r="C232" t="s">
        <v>104</v>
      </c>
      <c r="D232" t="s">
        <v>85</v>
      </c>
      <c r="E232" t="s">
        <v>206</v>
      </c>
      <c r="F232" s="12">
        <v>45670</v>
      </c>
      <c r="G232" s="12">
        <v>45670.565925925897</v>
      </c>
      <c r="H232" t="str">
        <f t="shared" si="6"/>
        <v>BSA</v>
      </c>
      <c r="I232" t="str">
        <f t="shared" si="7"/>
        <v>BSA</v>
      </c>
      <c r="J232" s="3">
        <f>(F232-VLOOKUP($A232,Runs!$A$2:$E$9,5,FALSE()))*1440</f>
        <v>0</v>
      </c>
      <c r="K232" s="3">
        <f>(G232-VLOOKUP($A232,Runs!$A$2:$E$9,5,FALSE()))*1440</f>
        <v>814.93333329213783</v>
      </c>
    </row>
    <row r="233" spans="1:11" ht="15" customHeight="1" x14ac:dyDescent="0.25">
      <c r="A233" t="s">
        <v>3</v>
      </c>
      <c r="B233">
        <v>8</v>
      </c>
      <c r="C233" t="s">
        <v>150</v>
      </c>
      <c r="D233" t="s">
        <v>85</v>
      </c>
      <c r="E233" t="s">
        <v>178</v>
      </c>
      <c r="F233" s="12">
        <v>45670.4375</v>
      </c>
      <c r="G233" s="12">
        <v>45670.583935185197</v>
      </c>
      <c r="H233" t="str">
        <f t="shared" si="6"/>
        <v>BOSP</v>
      </c>
      <c r="I233" t="str">
        <f t="shared" si="7"/>
        <v>BOSP</v>
      </c>
      <c r="J233" s="3">
        <f>(F233-VLOOKUP($A233,Runs!$A$2:$E$9,5,FALSE()))*1440</f>
        <v>630</v>
      </c>
      <c r="K233" s="3">
        <f>(G233-VLOOKUP($A233,Runs!$A$2:$E$9,5,FALSE()))*1440</f>
        <v>840.86666668416001</v>
      </c>
    </row>
    <row r="234" spans="1:11" ht="15" customHeight="1" x14ac:dyDescent="0.25">
      <c r="A234" t="s">
        <v>3</v>
      </c>
      <c r="B234">
        <v>4</v>
      </c>
      <c r="C234" t="s">
        <v>119</v>
      </c>
      <c r="D234" t="s">
        <v>85</v>
      </c>
      <c r="E234" t="s">
        <v>181</v>
      </c>
      <c r="F234" s="12">
        <v>45670.1875</v>
      </c>
      <c r="G234" s="12">
        <v>45670.584999999999</v>
      </c>
      <c r="H234" t="str">
        <f t="shared" si="6"/>
        <v>RT</v>
      </c>
      <c r="I234" t="str">
        <f t="shared" si="7"/>
        <v>RT</v>
      </c>
      <c r="J234" s="3">
        <f>(F234-VLOOKUP($A234,Runs!$A$2:$E$9,5,FALSE()))*1440</f>
        <v>270</v>
      </c>
      <c r="K234" s="3">
        <f>(G234-VLOOKUP($A234,Runs!$A$2:$E$9,5,FALSE()))*1440</f>
        <v>842.39999999874271</v>
      </c>
    </row>
    <row r="235" spans="1:11" ht="15" customHeight="1" x14ac:dyDescent="0.25">
      <c r="A235" t="s">
        <v>3</v>
      </c>
      <c r="B235">
        <v>1</v>
      </c>
      <c r="C235" t="s">
        <v>210</v>
      </c>
      <c r="D235" t="s">
        <v>85</v>
      </c>
      <c r="E235" t="s">
        <v>211</v>
      </c>
      <c r="F235" s="12">
        <v>45670</v>
      </c>
      <c r="G235" s="12">
        <v>45670.586064814801</v>
      </c>
      <c r="H235" t="str">
        <f t="shared" si="6"/>
        <v>RAX_HD</v>
      </c>
      <c r="I235" t="str">
        <f t="shared" si="7"/>
        <v>RAX_HD</v>
      </c>
      <c r="J235" s="3">
        <f>(F235-VLOOKUP($A235,Runs!$A$2:$E$9,5,FALSE()))*1440</f>
        <v>0</v>
      </c>
      <c r="K235" s="3">
        <f>(G235-VLOOKUP($A235,Runs!$A$2:$E$9,5,FALSE()))*1440</f>
        <v>843.93333331332542</v>
      </c>
    </row>
    <row r="236" spans="1:11" ht="15" customHeight="1" x14ac:dyDescent="0.25">
      <c r="A236" t="s">
        <v>3</v>
      </c>
      <c r="B236">
        <v>8</v>
      </c>
      <c r="C236" t="s">
        <v>152</v>
      </c>
      <c r="D236" t="s">
        <v>85</v>
      </c>
      <c r="E236" t="s">
        <v>178</v>
      </c>
      <c r="F236" s="12">
        <v>45670.4375</v>
      </c>
      <c r="G236" s="12">
        <v>45670.605231481502</v>
      </c>
      <c r="H236" t="str">
        <f t="shared" si="6"/>
        <v>BOSP</v>
      </c>
      <c r="I236" t="str">
        <f t="shared" si="7"/>
        <v>BOSP</v>
      </c>
      <c r="J236" s="3">
        <f>(F236-VLOOKUP($A236,Runs!$A$2:$E$9,5,FALSE()))*1440</f>
        <v>630</v>
      </c>
      <c r="K236" s="3">
        <f>(G236-VLOOKUP($A236,Runs!$A$2:$E$9,5,FALSE()))*1440</f>
        <v>871.53333336347714</v>
      </c>
    </row>
    <row r="237" spans="1:11" ht="15" customHeight="1" x14ac:dyDescent="0.25">
      <c r="A237" t="s">
        <v>3</v>
      </c>
      <c r="B237">
        <v>2</v>
      </c>
      <c r="C237" t="s">
        <v>207</v>
      </c>
      <c r="D237" t="s">
        <v>85</v>
      </c>
      <c r="E237" t="s">
        <v>203</v>
      </c>
      <c r="F237" s="12">
        <v>45670.0625</v>
      </c>
      <c r="G237" s="12">
        <v>45670.607592592598</v>
      </c>
      <c r="H237" t="str">
        <f t="shared" si="6"/>
        <v>CHS</v>
      </c>
      <c r="I237" t="str">
        <f t="shared" si="7"/>
        <v>CHS</v>
      </c>
      <c r="J237" s="3">
        <f>(F237-VLOOKUP($A237,Runs!$A$2:$E$9,5,FALSE()))*1440</f>
        <v>90</v>
      </c>
      <c r="K237" s="3">
        <f>(G237-VLOOKUP($A237,Runs!$A$2:$E$9,5,FALSE()))*1440</f>
        <v>874.93333334103227</v>
      </c>
    </row>
    <row r="238" spans="1:11" ht="15" customHeight="1" x14ac:dyDescent="0.25">
      <c r="A238" t="s">
        <v>3</v>
      </c>
      <c r="B238">
        <v>2</v>
      </c>
      <c r="C238" t="s">
        <v>193</v>
      </c>
      <c r="D238" t="s">
        <v>85</v>
      </c>
      <c r="E238" t="s">
        <v>192</v>
      </c>
      <c r="F238" s="12">
        <v>45670.0625</v>
      </c>
      <c r="G238" s="12">
        <v>45670.6086574074</v>
      </c>
      <c r="H238" t="str">
        <f t="shared" si="6"/>
        <v>SSA</v>
      </c>
      <c r="I238" t="str">
        <f t="shared" si="7"/>
        <v>SSA</v>
      </c>
      <c r="J238" s="3">
        <f>(F238-VLOOKUP($A238,Runs!$A$2:$E$9,5,FALSE()))*1440</f>
        <v>90</v>
      </c>
      <c r="K238" s="3">
        <f>(G238-VLOOKUP($A238,Runs!$A$2:$E$9,5,FALSE()))*1440</f>
        <v>876.46666665561497</v>
      </c>
    </row>
    <row r="239" spans="1:11" ht="15" customHeight="1" x14ac:dyDescent="0.25">
      <c r="A239" t="s">
        <v>3</v>
      </c>
      <c r="B239">
        <v>4</v>
      </c>
      <c r="C239" t="s">
        <v>120</v>
      </c>
      <c r="D239" t="s">
        <v>85</v>
      </c>
      <c r="E239" t="s">
        <v>185</v>
      </c>
      <c r="F239" s="12">
        <v>45670.1875</v>
      </c>
      <c r="G239" s="12">
        <v>45670.626180555599</v>
      </c>
      <c r="H239" t="str">
        <f t="shared" si="6"/>
        <v>FT</v>
      </c>
      <c r="I239" t="str">
        <f t="shared" si="7"/>
        <v>FT</v>
      </c>
      <c r="J239" s="3">
        <f>(F239-VLOOKUP($A239,Runs!$A$2:$E$9,5,FALSE()))*1440</f>
        <v>270</v>
      </c>
      <c r="K239" s="3">
        <f>(G239-VLOOKUP($A239,Runs!$A$2:$E$9,5,FALSE()))*1440</f>
        <v>901.70000006211922</v>
      </c>
    </row>
    <row r="240" spans="1:11" ht="15" customHeight="1" x14ac:dyDescent="0.25">
      <c r="A240" t="s">
        <v>3</v>
      </c>
      <c r="B240">
        <v>8</v>
      </c>
      <c r="C240" t="s">
        <v>156</v>
      </c>
      <c r="D240" t="s">
        <v>85</v>
      </c>
      <c r="E240" t="s">
        <v>180</v>
      </c>
      <c r="F240" s="12">
        <v>45670.4375</v>
      </c>
      <c r="G240" s="12">
        <v>45670.648819444497</v>
      </c>
      <c r="H240" t="str">
        <f t="shared" si="6"/>
        <v>BAT</v>
      </c>
      <c r="I240" t="str">
        <f t="shared" si="7"/>
        <v>BAT</v>
      </c>
      <c r="J240" s="3">
        <f>(F240-VLOOKUP($A240,Runs!$A$2:$E$9,5,FALSE()))*1440</f>
        <v>630</v>
      </c>
      <c r="K240" s="3">
        <f>(G240-VLOOKUP($A240,Runs!$A$2:$E$9,5,FALSE()))*1440</f>
        <v>934.30000007618219</v>
      </c>
    </row>
    <row r="241" spans="1:11" ht="15" customHeight="1" x14ac:dyDescent="0.25">
      <c r="A241" t="s">
        <v>3</v>
      </c>
      <c r="B241">
        <v>4</v>
      </c>
      <c r="C241" t="s">
        <v>124</v>
      </c>
      <c r="D241" t="s">
        <v>85</v>
      </c>
      <c r="E241" t="s">
        <v>185</v>
      </c>
      <c r="F241" s="12">
        <v>45670.1875</v>
      </c>
      <c r="G241" s="12">
        <v>45670.652199074102</v>
      </c>
      <c r="H241" t="str">
        <f t="shared" si="6"/>
        <v>FT</v>
      </c>
      <c r="I241" t="str">
        <f t="shared" si="7"/>
        <v>FT</v>
      </c>
      <c r="J241" s="3">
        <f>(F241-VLOOKUP($A241,Runs!$A$2:$E$9,5,FALSE()))*1440</f>
        <v>270</v>
      </c>
      <c r="K241" s="3">
        <f>(G241-VLOOKUP($A241,Runs!$A$2:$E$9,5,FALSE()))*1440</f>
        <v>939.16666670702398</v>
      </c>
    </row>
    <row r="242" spans="1:11" ht="15" customHeight="1" x14ac:dyDescent="0.25">
      <c r="A242" t="s">
        <v>3</v>
      </c>
      <c r="B242">
        <v>2</v>
      </c>
      <c r="C242" t="s">
        <v>198</v>
      </c>
      <c r="D242" t="s">
        <v>85</v>
      </c>
      <c r="E242" t="s">
        <v>192</v>
      </c>
      <c r="F242" s="12">
        <v>45670.0625</v>
      </c>
      <c r="G242" s="12">
        <v>45670.653263888897</v>
      </c>
      <c r="H242" t="str">
        <f t="shared" si="6"/>
        <v>SSA</v>
      </c>
      <c r="I242" t="str">
        <f t="shared" si="7"/>
        <v>SSA</v>
      </c>
      <c r="J242" s="3">
        <f>(F242-VLOOKUP($A242,Runs!$A$2:$E$9,5,FALSE()))*1440</f>
        <v>90</v>
      </c>
      <c r="K242" s="3">
        <f>(G242-VLOOKUP($A242,Runs!$A$2:$E$9,5,FALSE()))*1440</f>
        <v>940.7000000111293</v>
      </c>
    </row>
    <row r="243" spans="1:11" ht="15" customHeight="1" x14ac:dyDescent="0.25">
      <c r="A243" t="s">
        <v>3</v>
      </c>
      <c r="B243">
        <v>9</v>
      </c>
      <c r="C243" t="s">
        <v>165</v>
      </c>
      <c r="D243" t="s">
        <v>85</v>
      </c>
      <c r="E243" t="s">
        <v>178</v>
      </c>
      <c r="F243" s="12">
        <v>45670.541666666701</v>
      </c>
      <c r="G243" s="12">
        <v>45670.667731481502</v>
      </c>
      <c r="H243" t="str">
        <f t="shared" si="6"/>
        <v>BOSP</v>
      </c>
      <c r="I243" t="str">
        <f t="shared" si="7"/>
        <v>BOSP</v>
      </c>
      <c r="J243" s="3">
        <f>(F243-VLOOKUP($A243,Runs!$A$2:$E$9,5,FALSE()))*1440</f>
        <v>780.00000004889444</v>
      </c>
      <c r="K243" s="3">
        <f>(G243-VLOOKUP($A243,Runs!$A$2:$E$9,5,FALSE()))*1440</f>
        <v>961.53333336347714</v>
      </c>
    </row>
    <row r="244" spans="1:11" ht="15" customHeight="1" x14ac:dyDescent="0.25">
      <c r="A244" t="s">
        <v>3</v>
      </c>
      <c r="B244">
        <v>2</v>
      </c>
      <c r="C244" t="s">
        <v>200</v>
      </c>
      <c r="D244" t="s">
        <v>85</v>
      </c>
      <c r="E244" t="s">
        <v>197</v>
      </c>
      <c r="F244" s="12">
        <v>45670.0625</v>
      </c>
      <c r="G244" s="12">
        <v>45670.668796296297</v>
      </c>
      <c r="H244" t="str">
        <f t="shared" si="6"/>
        <v>FAX</v>
      </c>
      <c r="I244" t="str">
        <f t="shared" si="7"/>
        <v>FAX</v>
      </c>
      <c r="J244" s="3">
        <f>(F244-VLOOKUP($A244,Runs!$A$2:$E$9,5,FALSE()))*1440</f>
        <v>90</v>
      </c>
      <c r="K244" s="3">
        <f>(G244-VLOOKUP($A244,Runs!$A$2:$E$9,5,FALSE()))*1440</f>
        <v>963.06666666758247</v>
      </c>
    </row>
    <row r="245" spans="1:11" ht="15" customHeight="1" x14ac:dyDescent="0.25">
      <c r="A245" t="s">
        <v>3</v>
      </c>
      <c r="B245">
        <v>9</v>
      </c>
      <c r="C245" t="s">
        <v>166</v>
      </c>
      <c r="D245" t="s">
        <v>85</v>
      </c>
      <c r="E245" t="s">
        <v>178</v>
      </c>
      <c r="F245" s="12">
        <v>45670.541666666701</v>
      </c>
      <c r="G245" s="12">
        <v>45670.688564814802</v>
      </c>
      <c r="H245" t="str">
        <f t="shared" si="6"/>
        <v>BOSP</v>
      </c>
      <c r="I245" t="str">
        <f t="shared" si="7"/>
        <v>BOSP</v>
      </c>
      <c r="J245" s="3">
        <f>(F245-VLOOKUP($A245,Runs!$A$2:$E$9,5,FALSE()))*1440</f>
        <v>780.00000004889444</v>
      </c>
      <c r="K245" s="3">
        <f>(G245-VLOOKUP($A245,Runs!$A$2:$E$9,5,FALSE()))*1440</f>
        <v>991.53333331458271</v>
      </c>
    </row>
    <row r="246" spans="1:11" ht="15" customHeight="1" x14ac:dyDescent="0.25">
      <c r="A246" t="s">
        <v>3</v>
      </c>
      <c r="B246">
        <v>5</v>
      </c>
      <c r="C246" t="s">
        <v>127</v>
      </c>
      <c r="D246" t="s">
        <v>85</v>
      </c>
      <c r="E246" t="s">
        <v>181</v>
      </c>
      <c r="F246" s="12">
        <v>45670.25</v>
      </c>
      <c r="G246" s="12">
        <v>45670.689629629604</v>
      </c>
      <c r="H246" t="str">
        <f t="shared" si="6"/>
        <v>RT</v>
      </c>
      <c r="I246" t="str">
        <f t="shared" si="7"/>
        <v>RT</v>
      </c>
      <c r="J246" s="3">
        <f>(F246-VLOOKUP($A246,Runs!$A$2:$E$9,5,FALSE()))*1440</f>
        <v>360</v>
      </c>
      <c r="K246" s="3">
        <f>(G246-VLOOKUP($A246,Runs!$A$2:$E$9,5,FALSE()))*1440</f>
        <v>993.06666662916541</v>
      </c>
    </row>
    <row r="247" spans="1:11" ht="15" customHeight="1" x14ac:dyDescent="0.25">
      <c r="A247" t="s">
        <v>3</v>
      </c>
      <c r="B247">
        <v>2</v>
      </c>
      <c r="C247" t="s">
        <v>110</v>
      </c>
      <c r="D247" t="s">
        <v>85</v>
      </c>
      <c r="E247" t="s">
        <v>206</v>
      </c>
      <c r="F247" s="12">
        <v>45670.0625</v>
      </c>
      <c r="G247" s="12">
        <v>45670.690694444398</v>
      </c>
      <c r="H247" t="str">
        <f t="shared" si="6"/>
        <v>BSA</v>
      </c>
      <c r="I247" t="str">
        <f t="shared" si="7"/>
        <v>BSA</v>
      </c>
      <c r="J247" s="3">
        <f>(F247-VLOOKUP($A247,Runs!$A$2:$E$9,5,FALSE()))*1440</f>
        <v>90</v>
      </c>
      <c r="K247" s="3">
        <f>(G247-VLOOKUP($A247,Runs!$A$2:$E$9,5,FALSE()))*1440</f>
        <v>994.59999993327074</v>
      </c>
    </row>
    <row r="248" spans="1:11" ht="15" customHeight="1" x14ac:dyDescent="0.25">
      <c r="A248" t="s">
        <v>3</v>
      </c>
      <c r="B248">
        <v>9</v>
      </c>
      <c r="C248" t="s">
        <v>246</v>
      </c>
      <c r="D248" t="s">
        <v>85</v>
      </c>
      <c r="E248" t="s">
        <v>180</v>
      </c>
      <c r="F248" s="12">
        <v>45670.541666666701</v>
      </c>
      <c r="G248" s="12">
        <v>45670.710694444497</v>
      </c>
      <c r="H248" t="str">
        <f t="shared" si="6"/>
        <v>BAT</v>
      </c>
      <c r="I248" t="str">
        <f t="shared" si="7"/>
        <v>BAT</v>
      </c>
      <c r="J248" s="3">
        <f>(F248-VLOOKUP($A248,Runs!$A$2:$E$9,5,FALSE()))*1440</f>
        <v>780.00000004889444</v>
      </c>
      <c r="K248" s="3">
        <f>(G248-VLOOKUP($A248,Runs!$A$2:$E$9,5,FALSE()))*1440</f>
        <v>1023.400000075344</v>
      </c>
    </row>
    <row r="249" spans="1:11" ht="15" customHeight="1" x14ac:dyDescent="0.25">
      <c r="A249" t="s">
        <v>3</v>
      </c>
      <c r="B249">
        <v>10</v>
      </c>
      <c r="C249" t="s">
        <v>243</v>
      </c>
      <c r="D249" t="s">
        <v>85</v>
      </c>
      <c r="E249" t="s">
        <v>178</v>
      </c>
      <c r="F249" s="12">
        <v>45670.583333333299</v>
      </c>
      <c r="G249" s="12">
        <v>45670.730231481502</v>
      </c>
      <c r="H249" t="str">
        <f t="shared" si="6"/>
        <v>BOSP</v>
      </c>
      <c r="I249" t="str">
        <f t="shared" si="7"/>
        <v>BOSP</v>
      </c>
      <c r="J249" s="3">
        <f>(F249-VLOOKUP($A249,Runs!$A$2:$E$9,5,FALSE()))*1440</f>
        <v>839.99999995110556</v>
      </c>
      <c r="K249" s="3">
        <f>(G249-VLOOKUP($A249,Runs!$A$2:$E$9,5,FALSE()))*1440</f>
        <v>1051.5333333634771</v>
      </c>
    </row>
    <row r="250" spans="1:11" ht="15" customHeight="1" x14ac:dyDescent="0.25">
      <c r="A250" t="s">
        <v>3</v>
      </c>
      <c r="B250">
        <v>5</v>
      </c>
      <c r="C250" t="s">
        <v>129</v>
      </c>
      <c r="D250" t="s">
        <v>85</v>
      </c>
      <c r="E250" t="s">
        <v>181</v>
      </c>
      <c r="F250" s="12">
        <v>45670.25</v>
      </c>
      <c r="G250" s="12">
        <v>45670.731296296297</v>
      </c>
      <c r="H250" t="str">
        <f t="shared" si="6"/>
        <v>RT</v>
      </c>
      <c r="I250" t="str">
        <f t="shared" si="7"/>
        <v>RT</v>
      </c>
      <c r="J250" s="3">
        <f>(F250-VLOOKUP($A250,Runs!$A$2:$E$9,5,FALSE()))*1440</f>
        <v>360</v>
      </c>
      <c r="K250" s="3">
        <f>(G250-VLOOKUP($A250,Runs!$A$2:$E$9,5,FALSE()))*1440</f>
        <v>1053.0666666675825</v>
      </c>
    </row>
    <row r="251" spans="1:11" ht="15" customHeight="1" x14ac:dyDescent="0.25">
      <c r="A251" t="s">
        <v>3</v>
      </c>
      <c r="B251">
        <v>3</v>
      </c>
      <c r="C251" t="s">
        <v>209</v>
      </c>
      <c r="D251" t="s">
        <v>85</v>
      </c>
      <c r="E251" t="s">
        <v>203</v>
      </c>
      <c r="F251" s="12">
        <v>45670.125</v>
      </c>
      <c r="G251" s="12">
        <v>45670.7336574074</v>
      </c>
      <c r="H251" t="str">
        <f t="shared" si="6"/>
        <v>CHS</v>
      </c>
      <c r="I251" t="str">
        <f t="shared" si="7"/>
        <v>CHS</v>
      </c>
      <c r="J251" s="3">
        <f>(F251-VLOOKUP($A251,Runs!$A$2:$E$9,5,FALSE()))*1440</f>
        <v>180</v>
      </c>
      <c r="K251" s="3">
        <f>(G251-VLOOKUP($A251,Runs!$A$2:$E$9,5,FALSE()))*1440</f>
        <v>1056.466666655615</v>
      </c>
    </row>
    <row r="252" spans="1:11" ht="15" customHeight="1" x14ac:dyDescent="0.25">
      <c r="A252" t="s">
        <v>3</v>
      </c>
      <c r="B252">
        <v>2</v>
      </c>
      <c r="C252" t="s">
        <v>112</v>
      </c>
      <c r="D252" t="s">
        <v>85</v>
      </c>
      <c r="E252" t="s">
        <v>206</v>
      </c>
      <c r="F252" s="12">
        <v>45670.0625</v>
      </c>
      <c r="G252" s="12">
        <v>45670.734722222202</v>
      </c>
      <c r="H252" t="str">
        <f t="shared" si="6"/>
        <v>BSA</v>
      </c>
      <c r="I252" t="str">
        <f t="shared" si="7"/>
        <v>BSA</v>
      </c>
      <c r="J252" s="3">
        <f>(F252-VLOOKUP($A252,Runs!$A$2:$E$9,5,FALSE()))*1440</f>
        <v>90</v>
      </c>
      <c r="K252" s="3">
        <f>(G252-VLOOKUP($A252,Runs!$A$2:$E$9,5,FALSE()))*1440</f>
        <v>1057.9999999701977</v>
      </c>
    </row>
    <row r="253" spans="1:11" ht="15" customHeight="1" x14ac:dyDescent="0.25">
      <c r="A253" t="s">
        <v>3</v>
      </c>
      <c r="B253">
        <v>10</v>
      </c>
      <c r="C253" t="s">
        <v>247</v>
      </c>
      <c r="D253" t="s">
        <v>85</v>
      </c>
      <c r="E253" t="s">
        <v>178</v>
      </c>
      <c r="F253" s="12">
        <v>45670.583333333299</v>
      </c>
      <c r="G253" s="12">
        <v>45670.751064814802</v>
      </c>
      <c r="H253" t="str">
        <f t="shared" si="6"/>
        <v>BOSP</v>
      </c>
      <c r="I253" t="str">
        <f t="shared" si="7"/>
        <v>BOSP</v>
      </c>
      <c r="J253" s="3">
        <f>(F253-VLOOKUP($A253,Runs!$A$2:$E$9,5,FALSE()))*1440</f>
        <v>839.99999995110556</v>
      </c>
      <c r="K253" s="3">
        <f>(G253-VLOOKUP($A253,Runs!$A$2:$E$9,5,FALSE()))*1440</f>
        <v>1081.5333333145827</v>
      </c>
    </row>
    <row r="254" spans="1:11" ht="15" customHeight="1" x14ac:dyDescent="0.25">
      <c r="A254" t="s">
        <v>3</v>
      </c>
      <c r="B254">
        <v>5</v>
      </c>
      <c r="C254" t="s">
        <v>130</v>
      </c>
      <c r="D254" t="s">
        <v>85</v>
      </c>
      <c r="E254" t="s">
        <v>185</v>
      </c>
      <c r="F254" s="12">
        <v>45670.25</v>
      </c>
      <c r="G254" s="12">
        <v>45670.752129629604</v>
      </c>
      <c r="H254" t="str">
        <f t="shared" si="6"/>
        <v>FT</v>
      </c>
      <c r="I254" t="str">
        <f t="shared" si="7"/>
        <v>FT</v>
      </c>
      <c r="J254" s="3">
        <f>(F254-VLOOKUP($A254,Runs!$A$2:$E$9,5,FALSE()))*1440</f>
        <v>360</v>
      </c>
      <c r="K254" s="3">
        <f>(G254-VLOOKUP($A254,Runs!$A$2:$E$9,5,FALSE()))*1440</f>
        <v>1083.0666666291654</v>
      </c>
    </row>
    <row r="255" spans="1:11" ht="15" customHeight="1" x14ac:dyDescent="0.25">
      <c r="A255" t="s">
        <v>3</v>
      </c>
      <c r="B255">
        <v>2</v>
      </c>
      <c r="C255" t="s">
        <v>215</v>
      </c>
      <c r="D255" t="s">
        <v>85</v>
      </c>
      <c r="E255" t="s">
        <v>211</v>
      </c>
      <c r="F255" s="12">
        <v>45670.0625</v>
      </c>
      <c r="G255" s="12">
        <v>45670.753194444398</v>
      </c>
      <c r="H255" t="str">
        <f t="shared" si="6"/>
        <v>RAX_HD</v>
      </c>
      <c r="I255" t="str">
        <f t="shared" si="7"/>
        <v>RAX_HD</v>
      </c>
      <c r="J255" s="3">
        <f>(F255-VLOOKUP($A255,Runs!$A$2:$E$9,5,FALSE()))*1440</f>
        <v>90</v>
      </c>
      <c r="K255" s="3">
        <f>(G255-VLOOKUP($A255,Runs!$A$2:$E$9,5,FALSE()))*1440</f>
        <v>1084.5999999332707</v>
      </c>
    </row>
    <row r="256" spans="1:11" ht="15" customHeight="1" x14ac:dyDescent="0.25">
      <c r="A256" t="s">
        <v>3</v>
      </c>
      <c r="B256">
        <v>5</v>
      </c>
      <c r="C256" t="s">
        <v>132</v>
      </c>
      <c r="D256" t="s">
        <v>85</v>
      </c>
      <c r="E256" t="s">
        <v>185</v>
      </c>
      <c r="F256" s="12">
        <v>45670.25</v>
      </c>
      <c r="G256" s="12">
        <v>45670.774212962999</v>
      </c>
      <c r="H256" t="str">
        <f t="shared" si="6"/>
        <v>FT</v>
      </c>
      <c r="I256" t="str">
        <f t="shared" si="7"/>
        <v>FT</v>
      </c>
      <c r="J256" s="3">
        <f>(F256-VLOOKUP($A256,Runs!$A$2:$E$9,5,FALSE()))*1440</f>
        <v>360</v>
      </c>
      <c r="K256" s="3">
        <f>(G256-VLOOKUP($A256,Runs!$A$2:$E$9,5,FALSE()))*1440</f>
        <v>1114.8666667181533</v>
      </c>
    </row>
    <row r="257" spans="1:11" ht="15" customHeight="1" x14ac:dyDescent="0.25">
      <c r="A257" t="s">
        <v>3</v>
      </c>
      <c r="B257">
        <v>3</v>
      </c>
      <c r="C257" t="s">
        <v>195</v>
      </c>
      <c r="D257" t="s">
        <v>85</v>
      </c>
      <c r="E257" t="s">
        <v>192</v>
      </c>
      <c r="F257" s="12">
        <v>45670.125</v>
      </c>
      <c r="G257" s="12">
        <v>45670.779027777797</v>
      </c>
      <c r="H257" t="str">
        <f t="shared" si="6"/>
        <v>SSA</v>
      </c>
      <c r="I257" t="str">
        <f t="shared" si="7"/>
        <v>SSA</v>
      </c>
      <c r="J257" s="3">
        <f>(F257-VLOOKUP($A257,Runs!$A$2:$E$9,5,FALSE()))*1440</f>
        <v>180</v>
      </c>
      <c r="K257" s="3">
        <f>(G257-VLOOKUP($A257,Runs!$A$2:$E$9,5,FALSE()))*1440</f>
        <v>1121.8000000272878</v>
      </c>
    </row>
    <row r="258" spans="1:11" ht="15" customHeight="1" x14ac:dyDescent="0.25">
      <c r="A258" t="s">
        <v>3</v>
      </c>
      <c r="B258">
        <v>10</v>
      </c>
      <c r="C258" t="s">
        <v>248</v>
      </c>
      <c r="D258" t="s">
        <v>85</v>
      </c>
      <c r="E258" t="s">
        <v>180</v>
      </c>
      <c r="F258" s="12">
        <v>45670.583333333299</v>
      </c>
      <c r="G258" s="12">
        <v>45670.794027777803</v>
      </c>
      <c r="H258" t="str">
        <f t="shared" ref="H258:H321" si="8">MID(E258,8,100)</f>
        <v>BAT</v>
      </c>
      <c r="I258" t="str">
        <f t="shared" ref="I258:I321" si="9">IF(H258="CORE","CHS",H258)</f>
        <v>BAT</v>
      </c>
      <c r="J258" s="3">
        <f>(F258-VLOOKUP($A258,Runs!$A$2:$E$9,5,FALSE()))*1440</f>
        <v>839.99999995110556</v>
      </c>
      <c r="K258" s="3">
        <f>(G258-VLOOKUP($A258,Runs!$A$2:$E$9,5,FALSE()))*1440</f>
        <v>1143.4000000369269</v>
      </c>
    </row>
    <row r="259" spans="1:11" ht="15" customHeight="1" x14ac:dyDescent="0.25">
      <c r="A259" t="s">
        <v>3</v>
      </c>
      <c r="B259">
        <v>6</v>
      </c>
      <c r="C259" t="s">
        <v>137</v>
      </c>
      <c r="D259" t="s">
        <v>85</v>
      </c>
      <c r="E259" t="s">
        <v>181</v>
      </c>
      <c r="F259" s="12">
        <v>45670.3125</v>
      </c>
      <c r="G259" s="12">
        <v>45670.813564814802</v>
      </c>
      <c r="H259" t="str">
        <f t="shared" si="8"/>
        <v>RT</v>
      </c>
      <c r="I259" t="str">
        <f t="shared" si="9"/>
        <v>RT</v>
      </c>
      <c r="J259" s="3">
        <f>(F259-VLOOKUP($A259,Runs!$A$2:$E$9,5,FALSE()))*1440</f>
        <v>450</v>
      </c>
      <c r="K259" s="3">
        <f>(G259-VLOOKUP($A259,Runs!$A$2:$E$9,5,FALSE()))*1440</f>
        <v>1171.5333333145827</v>
      </c>
    </row>
    <row r="260" spans="1:11" ht="15" customHeight="1" x14ac:dyDescent="0.25">
      <c r="A260" t="s">
        <v>3</v>
      </c>
      <c r="B260">
        <v>3</v>
      </c>
      <c r="C260" t="s">
        <v>201</v>
      </c>
      <c r="D260" t="s">
        <v>85</v>
      </c>
      <c r="E260" t="s">
        <v>192</v>
      </c>
      <c r="F260" s="12">
        <v>45670.125</v>
      </c>
      <c r="G260" s="12">
        <v>45670.814629629604</v>
      </c>
      <c r="H260" t="str">
        <f t="shared" si="8"/>
        <v>SSA</v>
      </c>
      <c r="I260" t="str">
        <f t="shared" si="9"/>
        <v>SSA</v>
      </c>
      <c r="J260" s="3">
        <f>(F260-VLOOKUP($A260,Runs!$A$2:$E$9,5,FALSE()))*1440</f>
        <v>180</v>
      </c>
      <c r="K260" s="3">
        <f>(G260-VLOOKUP($A260,Runs!$A$2:$E$9,5,FALSE()))*1440</f>
        <v>1173.0666666291654</v>
      </c>
    </row>
    <row r="261" spans="1:11" ht="15" customHeight="1" x14ac:dyDescent="0.25">
      <c r="A261" t="s">
        <v>3</v>
      </c>
      <c r="B261">
        <v>3</v>
      </c>
      <c r="C261" t="s">
        <v>204</v>
      </c>
      <c r="D261" t="s">
        <v>85</v>
      </c>
      <c r="E261" t="s">
        <v>197</v>
      </c>
      <c r="F261" s="12">
        <v>45670.125</v>
      </c>
      <c r="G261" s="12">
        <v>45670.834398148101</v>
      </c>
      <c r="H261" t="str">
        <f t="shared" si="8"/>
        <v>FAX</v>
      </c>
      <c r="I261" t="str">
        <f t="shared" si="9"/>
        <v>FAX</v>
      </c>
      <c r="J261" s="3">
        <f>(F261-VLOOKUP($A261,Runs!$A$2:$E$9,5,FALSE()))*1440</f>
        <v>180</v>
      </c>
      <c r="K261" s="3">
        <f>(G261-VLOOKUP($A261,Runs!$A$2:$E$9,5,FALSE()))*1440</f>
        <v>1201.5333332656883</v>
      </c>
    </row>
    <row r="262" spans="1:11" ht="15" customHeight="1" x14ac:dyDescent="0.25">
      <c r="A262" t="s">
        <v>3</v>
      </c>
      <c r="B262">
        <v>6</v>
      </c>
      <c r="C262" t="s">
        <v>138</v>
      </c>
      <c r="D262" t="s">
        <v>85</v>
      </c>
      <c r="E262" t="s">
        <v>181</v>
      </c>
      <c r="F262" s="12">
        <v>45670.3125</v>
      </c>
      <c r="G262" s="12">
        <v>45670.855231481502</v>
      </c>
      <c r="H262" t="str">
        <f t="shared" si="8"/>
        <v>RT</v>
      </c>
      <c r="I262" t="str">
        <f t="shared" si="9"/>
        <v>RT</v>
      </c>
      <c r="J262" s="3">
        <f>(F262-VLOOKUP($A262,Runs!$A$2:$E$9,5,FALSE()))*1440</f>
        <v>450</v>
      </c>
      <c r="K262" s="3">
        <f>(G262-VLOOKUP($A262,Runs!$A$2:$E$9,5,FALSE()))*1440</f>
        <v>1231.5333333634771</v>
      </c>
    </row>
    <row r="263" spans="1:11" ht="15" customHeight="1" x14ac:dyDescent="0.25">
      <c r="A263" t="s">
        <v>3</v>
      </c>
      <c r="B263">
        <v>3</v>
      </c>
      <c r="C263" t="s">
        <v>116</v>
      </c>
      <c r="D263" t="s">
        <v>85</v>
      </c>
      <c r="E263" t="s">
        <v>206</v>
      </c>
      <c r="F263" s="12">
        <v>45670.125</v>
      </c>
      <c r="G263" s="12">
        <v>45670.856296296297</v>
      </c>
      <c r="H263" t="str">
        <f t="shared" si="8"/>
        <v>BSA</v>
      </c>
      <c r="I263" t="str">
        <f t="shared" si="9"/>
        <v>BSA</v>
      </c>
      <c r="J263" s="3">
        <f>(F263-VLOOKUP($A263,Runs!$A$2:$E$9,5,FALSE()))*1440</f>
        <v>180</v>
      </c>
      <c r="K263" s="3">
        <f>(G263-VLOOKUP($A263,Runs!$A$2:$E$9,5,FALSE()))*1440</f>
        <v>1233.0666666675825</v>
      </c>
    </row>
    <row r="264" spans="1:11" ht="15" customHeight="1" x14ac:dyDescent="0.25">
      <c r="A264" t="s">
        <v>3</v>
      </c>
      <c r="B264">
        <v>6</v>
      </c>
      <c r="C264" t="s">
        <v>223</v>
      </c>
      <c r="D264" t="s">
        <v>85</v>
      </c>
      <c r="E264" t="s">
        <v>185</v>
      </c>
      <c r="F264" s="12">
        <v>45670.3125</v>
      </c>
      <c r="G264" s="12">
        <v>45670.876064814802</v>
      </c>
      <c r="H264" t="str">
        <f t="shared" si="8"/>
        <v>FT</v>
      </c>
      <c r="I264" t="str">
        <f t="shared" si="9"/>
        <v>FT</v>
      </c>
      <c r="J264" s="3">
        <f>(F264-VLOOKUP($A264,Runs!$A$2:$E$9,5,FALSE()))*1440</f>
        <v>450</v>
      </c>
      <c r="K264" s="3">
        <f>(G264-VLOOKUP($A264,Runs!$A$2:$E$9,5,FALSE()))*1440</f>
        <v>1261.5333333145827</v>
      </c>
    </row>
    <row r="265" spans="1:11" ht="15" customHeight="1" x14ac:dyDescent="0.25">
      <c r="A265" t="s">
        <v>3</v>
      </c>
      <c r="B265">
        <v>4</v>
      </c>
      <c r="C265" t="s">
        <v>212</v>
      </c>
      <c r="D265" t="s">
        <v>85</v>
      </c>
      <c r="E265" t="s">
        <v>203</v>
      </c>
      <c r="F265" s="12">
        <v>45670.1875</v>
      </c>
      <c r="G265" s="12">
        <v>45670.878425925897</v>
      </c>
      <c r="H265" t="str">
        <f t="shared" si="8"/>
        <v>CHS</v>
      </c>
      <c r="I265" t="str">
        <f t="shared" si="9"/>
        <v>CHS</v>
      </c>
      <c r="J265" s="3">
        <f>(F265-VLOOKUP($A265,Runs!$A$2:$E$9,5,FALSE()))*1440</f>
        <v>270</v>
      </c>
      <c r="K265" s="3">
        <f>(G265-VLOOKUP($A265,Runs!$A$2:$E$9,5,FALSE()))*1440</f>
        <v>1264.9333332921378</v>
      </c>
    </row>
    <row r="266" spans="1:11" ht="15" customHeight="1" x14ac:dyDescent="0.25">
      <c r="A266" t="s">
        <v>3</v>
      </c>
      <c r="B266">
        <v>6</v>
      </c>
      <c r="C266" t="s">
        <v>224</v>
      </c>
      <c r="D266" t="s">
        <v>85</v>
      </c>
      <c r="E266" t="s">
        <v>185</v>
      </c>
      <c r="F266" s="12">
        <v>45670.3125</v>
      </c>
      <c r="G266" s="12">
        <v>45670.899212962999</v>
      </c>
      <c r="H266" t="str">
        <f t="shared" si="8"/>
        <v>FT</v>
      </c>
      <c r="I266" t="str">
        <f t="shared" si="9"/>
        <v>FT</v>
      </c>
      <c r="J266" s="3">
        <f>(F266-VLOOKUP($A266,Runs!$A$2:$E$9,5,FALSE()))*1440</f>
        <v>450</v>
      </c>
      <c r="K266" s="3">
        <f>(G266-VLOOKUP($A266,Runs!$A$2:$E$9,5,FALSE()))*1440</f>
        <v>1294.8666667181533</v>
      </c>
    </row>
    <row r="267" spans="1:11" ht="15" customHeight="1" x14ac:dyDescent="0.25">
      <c r="A267" t="s">
        <v>3</v>
      </c>
      <c r="B267">
        <v>3</v>
      </c>
      <c r="C267" t="s">
        <v>122</v>
      </c>
      <c r="D267" t="s">
        <v>85</v>
      </c>
      <c r="E267" t="s">
        <v>206</v>
      </c>
      <c r="F267" s="12">
        <v>45670.125</v>
      </c>
      <c r="G267" s="12">
        <v>45670.904027777797</v>
      </c>
      <c r="H267" t="str">
        <f t="shared" si="8"/>
        <v>BSA</v>
      </c>
      <c r="I267" t="str">
        <f t="shared" si="9"/>
        <v>BSA</v>
      </c>
      <c r="J267" s="3">
        <f>(F267-VLOOKUP($A267,Runs!$A$2:$E$9,5,FALSE()))*1440</f>
        <v>180</v>
      </c>
      <c r="K267" s="3">
        <f>(G267-VLOOKUP($A267,Runs!$A$2:$E$9,5,FALSE()))*1440</f>
        <v>1301.8000000272878</v>
      </c>
    </row>
    <row r="268" spans="1:11" ht="15" customHeight="1" x14ac:dyDescent="0.25">
      <c r="A268" t="s">
        <v>3</v>
      </c>
      <c r="B268">
        <v>3</v>
      </c>
      <c r="C268" t="s">
        <v>217</v>
      </c>
      <c r="D268" t="s">
        <v>85</v>
      </c>
      <c r="E268" t="s">
        <v>211</v>
      </c>
      <c r="F268" s="12">
        <v>45670.125</v>
      </c>
      <c r="G268" s="12">
        <v>45670.917731481502</v>
      </c>
      <c r="H268" t="str">
        <f t="shared" si="8"/>
        <v>RAX_HD</v>
      </c>
      <c r="I268" t="str">
        <f t="shared" si="9"/>
        <v>RAX_HD</v>
      </c>
      <c r="J268" s="3">
        <f>(F268-VLOOKUP($A268,Runs!$A$2:$E$9,5,FALSE()))*1440</f>
        <v>180</v>
      </c>
      <c r="K268" s="3">
        <f>(G268-VLOOKUP($A268,Runs!$A$2:$E$9,5,FALSE()))*1440</f>
        <v>1321.5333333634771</v>
      </c>
    </row>
    <row r="269" spans="1:11" ht="15" customHeight="1" x14ac:dyDescent="0.25">
      <c r="A269" t="s">
        <v>3</v>
      </c>
      <c r="B269">
        <v>7</v>
      </c>
      <c r="C269" t="s">
        <v>144</v>
      </c>
      <c r="D269" t="s">
        <v>85</v>
      </c>
      <c r="E269" t="s">
        <v>181</v>
      </c>
      <c r="F269" s="12">
        <v>45670.416666666701</v>
      </c>
      <c r="G269" s="12">
        <v>45670.938564814802</v>
      </c>
      <c r="H269" t="str">
        <f t="shared" si="8"/>
        <v>RT</v>
      </c>
      <c r="I269" t="str">
        <f t="shared" si="9"/>
        <v>RT</v>
      </c>
      <c r="J269" s="3">
        <f>(F269-VLOOKUP($A269,Runs!$A$2:$E$9,5,FALSE()))*1440</f>
        <v>600.00000004889444</v>
      </c>
      <c r="K269" s="3">
        <f>(G269-VLOOKUP($A269,Runs!$A$2:$E$9,5,FALSE()))*1440</f>
        <v>1351.5333333145827</v>
      </c>
    </row>
    <row r="270" spans="1:11" ht="15" customHeight="1" x14ac:dyDescent="0.25">
      <c r="A270" t="s">
        <v>3</v>
      </c>
      <c r="B270">
        <v>4</v>
      </c>
      <c r="C270" t="s">
        <v>199</v>
      </c>
      <c r="D270" t="s">
        <v>85</v>
      </c>
      <c r="E270" t="s">
        <v>192</v>
      </c>
      <c r="F270" s="12">
        <v>45670.1875</v>
      </c>
      <c r="G270" s="12">
        <v>45670.939629629604</v>
      </c>
      <c r="H270" t="str">
        <f t="shared" si="8"/>
        <v>SSA</v>
      </c>
      <c r="I270" t="str">
        <f t="shared" si="9"/>
        <v>SSA</v>
      </c>
      <c r="J270" s="3">
        <f>(F270-VLOOKUP($A270,Runs!$A$2:$E$9,5,FALSE()))*1440</f>
        <v>270</v>
      </c>
      <c r="K270" s="3">
        <f>(G270-VLOOKUP($A270,Runs!$A$2:$E$9,5,FALSE()))*1440</f>
        <v>1353.0666666291654</v>
      </c>
    </row>
    <row r="271" spans="1:11" ht="15" customHeight="1" x14ac:dyDescent="0.25">
      <c r="A271" t="s">
        <v>3</v>
      </c>
      <c r="B271">
        <v>7</v>
      </c>
      <c r="C271" t="s">
        <v>147</v>
      </c>
      <c r="D271" t="s">
        <v>85</v>
      </c>
      <c r="E271" t="s">
        <v>181</v>
      </c>
      <c r="F271" s="12">
        <v>45670.416666666701</v>
      </c>
      <c r="G271" s="12">
        <v>45670.980231481502</v>
      </c>
      <c r="H271" t="str">
        <f t="shared" si="8"/>
        <v>RT</v>
      </c>
      <c r="I271" t="str">
        <f t="shared" si="9"/>
        <v>RT</v>
      </c>
      <c r="J271" s="3">
        <f>(F271-VLOOKUP($A271,Runs!$A$2:$E$9,5,FALSE()))*1440</f>
        <v>600.00000004889444</v>
      </c>
      <c r="K271" s="3">
        <f>(G271-VLOOKUP($A271,Runs!$A$2:$E$9,5,FALSE()))*1440</f>
        <v>1411.5333333634771</v>
      </c>
    </row>
    <row r="272" spans="1:11" ht="15" customHeight="1" x14ac:dyDescent="0.25">
      <c r="A272" t="s">
        <v>3</v>
      </c>
      <c r="B272">
        <v>4</v>
      </c>
      <c r="C272" t="s">
        <v>205</v>
      </c>
      <c r="D272" t="s">
        <v>85</v>
      </c>
      <c r="E272" t="s">
        <v>192</v>
      </c>
      <c r="F272" s="12">
        <v>45670.1875</v>
      </c>
      <c r="G272" s="12">
        <v>45670.981296296297</v>
      </c>
      <c r="H272" t="str">
        <f t="shared" si="8"/>
        <v>SSA</v>
      </c>
      <c r="I272" t="str">
        <f t="shared" si="9"/>
        <v>SSA</v>
      </c>
      <c r="J272" s="3">
        <f>(F272-VLOOKUP($A272,Runs!$A$2:$E$9,5,FALSE()))*1440</f>
        <v>270</v>
      </c>
      <c r="K272" s="3">
        <f>(G272-VLOOKUP($A272,Runs!$A$2:$E$9,5,FALSE()))*1440</f>
        <v>1413.0666666675825</v>
      </c>
    </row>
    <row r="273" spans="1:11" ht="15" customHeight="1" x14ac:dyDescent="0.25">
      <c r="A273" t="s">
        <v>3</v>
      </c>
      <c r="B273">
        <v>7</v>
      </c>
      <c r="C273" t="s">
        <v>225</v>
      </c>
      <c r="D273" t="s">
        <v>85</v>
      </c>
      <c r="E273" t="s">
        <v>185</v>
      </c>
      <c r="F273" s="12">
        <v>45670.416666666701</v>
      </c>
      <c r="G273" s="12">
        <v>45671.001064814802</v>
      </c>
      <c r="H273" t="str">
        <f t="shared" si="8"/>
        <v>FT</v>
      </c>
      <c r="I273" t="str">
        <f t="shared" si="9"/>
        <v>FT</v>
      </c>
      <c r="J273" s="3">
        <f>(F273-VLOOKUP($A273,Runs!$A$2:$E$9,5,FALSE()))*1440</f>
        <v>600.00000004889444</v>
      </c>
      <c r="K273" s="3">
        <f>(G273-VLOOKUP($A273,Runs!$A$2:$E$9,5,FALSE()))*1440</f>
        <v>1441.5333333145827</v>
      </c>
    </row>
    <row r="274" spans="1:11" ht="15" customHeight="1" x14ac:dyDescent="0.25">
      <c r="A274" t="s">
        <v>3</v>
      </c>
      <c r="B274">
        <v>5</v>
      </c>
      <c r="C274" t="s">
        <v>234</v>
      </c>
      <c r="D274" t="s">
        <v>85</v>
      </c>
      <c r="E274" t="s">
        <v>203</v>
      </c>
      <c r="F274" s="12">
        <v>45670.25</v>
      </c>
      <c r="G274" s="12">
        <v>45671.003425925897</v>
      </c>
      <c r="H274" t="str">
        <f t="shared" si="8"/>
        <v>CHS</v>
      </c>
      <c r="I274" t="str">
        <f t="shared" si="9"/>
        <v>CHS</v>
      </c>
      <c r="J274" s="3">
        <f>(F274-VLOOKUP($A274,Runs!$A$2:$E$9,5,FALSE()))*1440</f>
        <v>360</v>
      </c>
      <c r="K274" s="3">
        <f>(G274-VLOOKUP($A274,Runs!$A$2:$E$9,5,FALSE()))*1440</f>
        <v>1444.9333332921378</v>
      </c>
    </row>
    <row r="275" spans="1:11" ht="15" customHeight="1" x14ac:dyDescent="0.25">
      <c r="A275" t="s">
        <v>3</v>
      </c>
      <c r="B275">
        <v>4</v>
      </c>
      <c r="C275" t="s">
        <v>208</v>
      </c>
      <c r="D275" t="s">
        <v>85</v>
      </c>
      <c r="E275" t="s">
        <v>197</v>
      </c>
      <c r="F275" s="12">
        <v>45670.1875</v>
      </c>
      <c r="G275" s="12">
        <v>45671.004490740699</v>
      </c>
      <c r="H275" t="str">
        <f t="shared" si="8"/>
        <v>FAX</v>
      </c>
      <c r="I275" t="str">
        <f t="shared" si="9"/>
        <v>FAX</v>
      </c>
      <c r="J275" s="3">
        <f>(F275-VLOOKUP($A275,Runs!$A$2:$E$9,5,FALSE()))*1440</f>
        <v>270</v>
      </c>
      <c r="K275" s="3">
        <f>(G275-VLOOKUP($A275,Runs!$A$2:$E$9,5,FALSE()))*1440</f>
        <v>1446.4666666067205</v>
      </c>
    </row>
    <row r="276" spans="1:11" ht="15" customHeight="1" x14ac:dyDescent="0.25">
      <c r="A276" t="s">
        <v>3</v>
      </c>
      <c r="B276">
        <v>4</v>
      </c>
      <c r="C276" t="s">
        <v>216</v>
      </c>
      <c r="D276" t="s">
        <v>85</v>
      </c>
      <c r="E276" t="s">
        <v>206</v>
      </c>
      <c r="F276" s="12">
        <v>45670.1875</v>
      </c>
      <c r="G276" s="12">
        <v>45671.025648148199</v>
      </c>
      <c r="H276" t="str">
        <f t="shared" si="8"/>
        <v>BSA</v>
      </c>
      <c r="I276" t="str">
        <f t="shared" si="9"/>
        <v>BSA</v>
      </c>
      <c r="J276" s="3">
        <f>(F276-VLOOKUP($A276,Runs!$A$2:$E$9,5,FALSE()))*1440</f>
        <v>270</v>
      </c>
      <c r="K276" s="3">
        <f>(G276-VLOOKUP($A276,Runs!$A$2:$E$9,5,FALSE()))*1440</f>
        <v>1476.9333334069233</v>
      </c>
    </row>
    <row r="277" spans="1:11" ht="15" customHeight="1" x14ac:dyDescent="0.25">
      <c r="A277" t="s">
        <v>3</v>
      </c>
      <c r="B277">
        <v>7</v>
      </c>
      <c r="C277" t="s">
        <v>226</v>
      </c>
      <c r="D277" t="s">
        <v>85</v>
      </c>
      <c r="E277" t="s">
        <v>185</v>
      </c>
      <c r="F277" s="12">
        <v>45670.416666666701</v>
      </c>
      <c r="G277" s="12">
        <v>45671.045046296298</v>
      </c>
      <c r="H277" t="str">
        <f t="shared" si="8"/>
        <v>FT</v>
      </c>
      <c r="I277" t="str">
        <f t="shared" si="9"/>
        <v>FT</v>
      </c>
      <c r="J277" s="3">
        <f>(F277-VLOOKUP($A277,Runs!$A$2:$E$9,5,FALSE()))*1440</f>
        <v>600.00000004889444</v>
      </c>
      <c r="K277" s="3">
        <f>(G277-VLOOKUP($A277,Runs!$A$2:$E$9,5,FALSE()))*1440</f>
        <v>1504.8666666692588</v>
      </c>
    </row>
    <row r="278" spans="1:11" ht="15" customHeight="1" x14ac:dyDescent="0.25">
      <c r="A278" t="s">
        <v>3</v>
      </c>
      <c r="B278">
        <v>4</v>
      </c>
      <c r="C278" t="s">
        <v>219</v>
      </c>
      <c r="D278" t="s">
        <v>85</v>
      </c>
      <c r="E278" t="s">
        <v>206</v>
      </c>
      <c r="F278" s="12">
        <v>45670.1875</v>
      </c>
      <c r="G278" s="12">
        <v>45671.063564814802</v>
      </c>
      <c r="H278" t="str">
        <f t="shared" si="8"/>
        <v>BSA</v>
      </c>
      <c r="I278" t="str">
        <f t="shared" si="9"/>
        <v>BSA</v>
      </c>
      <c r="J278" s="3">
        <f>(F278-VLOOKUP($A278,Runs!$A$2:$E$9,5,FALSE()))*1440</f>
        <v>270</v>
      </c>
      <c r="K278" s="3">
        <f>(G278-VLOOKUP($A278,Runs!$A$2:$E$9,5,FALSE()))*1440</f>
        <v>1531.5333333145827</v>
      </c>
    </row>
    <row r="279" spans="1:11" ht="15" customHeight="1" x14ac:dyDescent="0.25">
      <c r="A279" t="s">
        <v>3</v>
      </c>
      <c r="B279">
        <v>8</v>
      </c>
      <c r="C279" t="s">
        <v>157</v>
      </c>
      <c r="D279" t="s">
        <v>85</v>
      </c>
      <c r="E279" t="s">
        <v>181</v>
      </c>
      <c r="F279" s="12">
        <v>45670.4375</v>
      </c>
      <c r="G279" s="12">
        <v>45671.084398148101</v>
      </c>
      <c r="H279" t="str">
        <f t="shared" si="8"/>
        <v>RT</v>
      </c>
      <c r="I279" t="str">
        <f t="shared" si="9"/>
        <v>RT</v>
      </c>
      <c r="J279" s="3">
        <f>(F279-VLOOKUP($A279,Runs!$A$2:$E$9,5,FALSE()))*1440</f>
        <v>630</v>
      </c>
      <c r="K279" s="3">
        <f>(G279-VLOOKUP($A279,Runs!$A$2:$E$9,5,FALSE()))*1440</f>
        <v>1561.5333332656883</v>
      </c>
    </row>
    <row r="280" spans="1:11" ht="15" customHeight="1" x14ac:dyDescent="0.25">
      <c r="A280" t="s">
        <v>3</v>
      </c>
      <c r="B280">
        <v>4</v>
      </c>
      <c r="C280" t="s">
        <v>220</v>
      </c>
      <c r="D280" t="s">
        <v>85</v>
      </c>
      <c r="E280" t="s">
        <v>211</v>
      </c>
      <c r="F280" s="12">
        <v>45670.1875</v>
      </c>
      <c r="G280" s="12">
        <v>45671.085462962998</v>
      </c>
      <c r="H280" t="str">
        <f t="shared" si="8"/>
        <v>RAX_HD</v>
      </c>
      <c r="I280" t="str">
        <f t="shared" si="9"/>
        <v>RAX_HD</v>
      </c>
      <c r="J280" s="3">
        <f>(F280-VLOOKUP($A280,Runs!$A$2:$E$9,5,FALSE()))*1440</f>
        <v>270</v>
      </c>
      <c r="K280" s="3">
        <f>(G280-VLOOKUP($A280,Runs!$A$2:$E$9,5,FALSE()))*1440</f>
        <v>1563.0666667164769</v>
      </c>
    </row>
    <row r="281" spans="1:11" ht="15" customHeight="1" x14ac:dyDescent="0.25">
      <c r="A281" t="s">
        <v>3</v>
      </c>
      <c r="B281">
        <v>8</v>
      </c>
      <c r="C281" t="s">
        <v>159</v>
      </c>
      <c r="D281" t="s">
        <v>85</v>
      </c>
      <c r="E281" t="s">
        <v>181</v>
      </c>
      <c r="F281" s="12">
        <v>45670.4375</v>
      </c>
      <c r="G281" s="12">
        <v>45671.105231481502</v>
      </c>
      <c r="H281" t="str">
        <f t="shared" si="8"/>
        <v>RT</v>
      </c>
      <c r="I281" t="str">
        <f t="shared" si="9"/>
        <v>RT</v>
      </c>
      <c r="J281" s="3">
        <f>(F281-VLOOKUP($A281,Runs!$A$2:$E$9,5,FALSE()))*1440</f>
        <v>630</v>
      </c>
      <c r="K281" s="3">
        <f>(G281-VLOOKUP($A281,Runs!$A$2:$E$9,5,FALSE()))*1440</f>
        <v>1591.5333333634771</v>
      </c>
    </row>
    <row r="282" spans="1:11" ht="15" customHeight="1" x14ac:dyDescent="0.25">
      <c r="A282" t="s">
        <v>3</v>
      </c>
      <c r="B282">
        <v>5</v>
      </c>
      <c r="C282" t="s">
        <v>135</v>
      </c>
      <c r="D282" t="s">
        <v>85</v>
      </c>
      <c r="E282" t="s">
        <v>192</v>
      </c>
      <c r="F282" s="12">
        <v>45670.25</v>
      </c>
      <c r="G282" s="12">
        <v>45671.106296296297</v>
      </c>
      <c r="H282" t="str">
        <f t="shared" si="8"/>
        <v>SSA</v>
      </c>
      <c r="I282" t="str">
        <f t="shared" si="9"/>
        <v>SSA</v>
      </c>
      <c r="J282" s="3">
        <f>(F282-VLOOKUP($A282,Runs!$A$2:$E$9,5,FALSE()))*1440</f>
        <v>360</v>
      </c>
      <c r="K282" s="3">
        <f>(G282-VLOOKUP($A282,Runs!$A$2:$E$9,5,FALSE()))*1440</f>
        <v>1593.0666666675825</v>
      </c>
    </row>
    <row r="283" spans="1:11" ht="15" customHeight="1" x14ac:dyDescent="0.25">
      <c r="A283" t="s">
        <v>3</v>
      </c>
      <c r="B283">
        <v>6</v>
      </c>
      <c r="C283" t="s">
        <v>237</v>
      </c>
      <c r="D283" t="s">
        <v>85</v>
      </c>
      <c r="E283" t="s">
        <v>203</v>
      </c>
      <c r="F283" s="12">
        <v>45670.3125</v>
      </c>
      <c r="G283" s="12">
        <v>45671.127361111103</v>
      </c>
      <c r="H283" t="str">
        <f t="shared" si="8"/>
        <v>CHS</v>
      </c>
      <c r="I283" t="str">
        <f t="shared" si="9"/>
        <v>CHS</v>
      </c>
      <c r="J283" s="3">
        <f>(F283-VLOOKUP($A283,Runs!$A$2:$E$9,5,FALSE()))*1440</f>
        <v>450</v>
      </c>
      <c r="K283" s="3">
        <f>(G283-VLOOKUP($A283,Runs!$A$2:$E$9,5,FALSE()))*1440</f>
        <v>1623.3999999880325</v>
      </c>
    </row>
    <row r="284" spans="1:11" ht="15" customHeight="1" x14ac:dyDescent="0.25">
      <c r="A284" t="s">
        <v>3</v>
      </c>
      <c r="B284">
        <v>8</v>
      </c>
      <c r="C284" t="s">
        <v>160</v>
      </c>
      <c r="D284" t="s">
        <v>85</v>
      </c>
      <c r="E284" t="s">
        <v>185</v>
      </c>
      <c r="F284" s="12">
        <v>45670.4375</v>
      </c>
      <c r="G284" s="12">
        <v>45671.146898148101</v>
      </c>
      <c r="H284" t="str">
        <f t="shared" si="8"/>
        <v>FT</v>
      </c>
      <c r="I284" t="str">
        <f t="shared" si="9"/>
        <v>FT</v>
      </c>
      <c r="J284" s="3">
        <f>(F284-VLOOKUP($A284,Runs!$A$2:$E$9,5,FALSE()))*1440</f>
        <v>630</v>
      </c>
      <c r="K284" s="3">
        <f>(G284-VLOOKUP($A284,Runs!$A$2:$E$9,5,FALSE()))*1440</f>
        <v>1651.5333332656883</v>
      </c>
    </row>
    <row r="285" spans="1:11" ht="15" customHeight="1" x14ac:dyDescent="0.25">
      <c r="A285" t="s">
        <v>3</v>
      </c>
      <c r="B285">
        <v>5</v>
      </c>
      <c r="C285" t="s">
        <v>139</v>
      </c>
      <c r="D285" t="s">
        <v>85</v>
      </c>
      <c r="E285" t="s">
        <v>192</v>
      </c>
      <c r="F285" s="12">
        <v>45670.25</v>
      </c>
      <c r="G285" s="12">
        <v>45671.147962962998</v>
      </c>
      <c r="H285" t="str">
        <f t="shared" si="8"/>
        <v>SSA</v>
      </c>
      <c r="I285" t="str">
        <f t="shared" si="9"/>
        <v>SSA</v>
      </c>
      <c r="J285" s="3">
        <f>(F285-VLOOKUP($A285,Runs!$A$2:$E$9,5,FALSE()))*1440</f>
        <v>360</v>
      </c>
      <c r="K285" s="3">
        <f>(G285-VLOOKUP($A285,Runs!$A$2:$E$9,5,FALSE()))*1440</f>
        <v>1653.0666667164769</v>
      </c>
    </row>
    <row r="286" spans="1:11" ht="15" customHeight="1" x14ac:dyDescent="0.25">
      <c r="A286" t="s">
        <v>3</v>
      </c>
      <c r="B286">
        <v>8</v>
      </c>
      <c r="C286" t="s">
        <v>163</v>
      </c>
      <c r="D286" t="s">
        <v>85</v>
      </c>
      <c r="E286" t="s">
        <v>185</v>
      </c>
      <c r="F286" s="12">
        <v>45670.4375</v>
      </c>
      <c r="G286" s="12">
        <v>45671.170046296298</v>
      </c>
      <c r="H286" t="str">
        <f t="shared" si="8"/>
        <v>FT</v>
      </c>
      <c r="I286" t="str">
        <f t="shared" si="9"/>
        <v>FT</v>
      </c>
      <c r="J286" s="3">
        <f>(F286-VLOOKUP($A286,Runs!$A$2:$E$9,5,FALSE()))*1440</f>
        <v>630</v>
      </c>
      <c r="K286" s="3">
        <f>(G286-VLOOKUP($A286,Runs!$A$2:$E$9,5,FALSE()))*1440</f>
        <v>1684.8666666692588</v>
      </c>
    </row>
    <row r="287" spans="1:11" ht="15" customHeight="1" x14ac:dyDescent="0.25">
      <c r="A287" t="s">
        <v>3</v>
      </c>
      <c r="B287">
        <v>5</v>
      </c>
      <c r="C287" t="s">
        <v>228</v>
      </c>
      <c r="D287" t="s">
        <v>85</v>
      </c>
      <c r="E287" t="s">
        <v>197</v>
      </c>
      <c r="F287" s="12">
        <v>45670.25</v>
      </c>
      <c r="G287" s="12">
        <v>45671.174861111103</v>
      </c>
      <c r="H287" t="str">
        <f t="shared" si="8"/>
        <v>FAX</v>
      </c>
      <c r="I287" t="str">
        <f t="shared" si="9"/>
        <v>FAX</v>
      </c>
      <c r="J287" s="3">
        <f>(F287-VLOOKUP($A287,Runs!$A$2:$E$9,5,FALSE()))*1440</f>
        <v>360</v>
      </c>
      <c r="K287" s="3">
        <f>(G287-VLOOKUP($A287,Runs!$A$2:$E$9,5,FALSE()))*1440</f>
        <v>1691.7999999888707</v>
      </c>
    </row>
    <row r="288" spans="1:11" ht="15" customHeight="1" x14ac:dyDescent="0.25">
      <c r="A288" t="s">
        <v>3</v>
      </c>
      <c r="B288">
        <v>5</v>
      </c>
      <c r="C288" t="s">
        <v>141</v>
      </c>
      <c r="D288" t="s">
        <v>85</v>
      </c>
      <c r="E288" t="s">
        <v>206</v>
      </c>
      <c r="F288" s="12">
        <v>45670.25</v>
      </c>
      <c r="G288" s="12">
        <v>45671.188564814802</v>
      </c>
      <c r="H288" t="str">
        <f t="shared" si="8"/>
        <v>BSA</v>
      </c>
      <c r="I288" t="str">
        <f t="shared" si="9"/>
        <v>BSA</v>
      </c>
      <c r="J288" s="3">
        <f>(F288-VLOOKUP($A288,Runs!$A$2:$E$9,5,FALSE()))*1440</f>
        <v>360</v>
      </c>
      <c r="K288" s="3">
        <f>(G288-VLOOKUP($A288,Runs!$A$2:$E$9,5,FALSE()))*1440</f>
        <v>1711.5333333145827</v>
      </c>
    </row>
    <row r="289" spans="1:11" ht="15" customHeight="1" x14ac:dyDescent="0.25">
      <c r="A289" t="s">
        <v>3</v>
      </c>
      <c r="B289">
        <v>9</v>
      </c>
      <c r="C289" t="s">
        <v>167</v>
      </c>
      <c r="D289" t="s">
        <v>85</v>
      </c>
      <c r="E289" t="s">
        <v>181</v>
      </c>
      <c r="F289" s="12">
        <v>45670.541666666701</v>
      </c>
      <c r="G289" s="12">
        <v>45671.209398148101</v>
      </c>
      <c r="H289" t="str">
        <f t="shared" si="8"/>
        <v>RT</v>
      </c>
      <c r="I289" t="str">
        <f t="shared" si="9"/>
        <v>RT</v>
      </c>
      <c r="J289" s="3">
        <f>(F289-VLOOKUP($A289,Runs!$A$2:$E$9,5,FALSE()))*1440</f>
        <v>780.00000004889444</v>
      </c>
      <c r="K289" s="3">
        <f>(G289-VLOOKUP($A289,Runs!$A$2:$E$9,5,FALSE()))*1440</f>
        <v>1741.5333332656883</v>
      </c>
    </row>
    <row r="290" spans="1:11" ht="15" customHeight="1" x14ac:dyDescent="0.25">
      <c r="A290" t="s">
        <v>3</v>
      </c>
      <c r="B290">
        <v>5</v>
      </c>
      <c r="C290" t="s">
        <v>146</v>
      </c>
      <c r="D290" t="s">
        <v>85</v>
      </c>
      <c r="E290" t="s">
        <v>206</v>
      </c>
      <c r="F290" s="12">
        <v>45670.25</v>
      </c>
      <c r="G290" s="12">
        <v>45671.230231481502</v>
      </c>
      <c r="H290" t="str">
        <f t="shared" si="8"/>
        <v>BSA</v>
      </c>
      <c r="I290" t="str">
        <f t="shared" si="9"/>
        <v>BSA</v>
      </c>
      <c r="J290" s="3">
        <f>(F290-VLOOKUP($A290,Runs!$A$2:$E$9,5,FALSE()))*1440</f>
        <v>360</v>
      </c>
      <c r="K290" s="3">
        <f>(G290-VLOOKUP($A290,Runs!$A$2:$E$9,5,FALSE()))*1440</f>
        <v>1771.5333333634771</v>
      </c>
    </row>
    <row r="291" spans="1:11" ht="15" customHeight="1" x14ac:dyDescent="0.25">
      <c r="A291" t="s">
        <v>3</v>
      </c>
      <c r="B291">
        <v>9</v>
      </c>
      <c r="C291" t="s">
        <v>168</v>
      </c>
      <c r="D291" t="s">
        <v>85</v>
      </c>
      <c r="E291" t="s">
        <v>181</v>
      </c>
      <c r="F291" s="12">
        <v>45670.541666666701</v>
      </c>
      <c r="G291" s="12">
        <v>45671.251064814802</v>
      </c>
      <c r="H291" t="str">
        <f t="shared" si="8"/>
        <v>RT</v>
      </c>
      <c r="I291" t="str">
        <f t="shared" si="9"/>
        <v>RT</v>
      </c>
      <c r="J291" s="3">
        <f>(F291-VLOOKUP($A291,Runs!$A$2:$E$9,5,FALSE()))*1440</f>
        <v>780.00000004889444</v>
      </c>
      <c r="K291" s="3">
        <f>(G291-VLOOKUP($A291,Runs!$A$2:$E$9,5,FALSE()))*1440</f>
        <v>1801.5333333145827</v>
      </c>
    </row>
    <row r="292" spans="1:11" ht="15" customHeight="1" x14ac:dyDescent="0.25">
      <c r="A292" t="s">
        <v>3</v>
      </c>
      <c r="B292">
        <v>5</v>
      </c>
      <c r="C292" t="s">
        <v>240</v>
      </c>
      <c r="D292" t="s">
        <v>85</v>
      </c>
      <c r="E292" t="s">
        <v>211</v>
      </c>
      <c r="F292" s="12">
        <v>45670.25</v>
      </c>
      <c r="G292" s="12">
        <v>45671.252129629604</v>
      </c>
      <c r="H292" t="str">
        <f t="shared" si="8"/>
        <v>RAX_HD</v>
      </c>
      <c r="I292" t="str">
        <f t="shared" si="9"/>
        <v>RAX_HD</v>
      </c>
      <c r="J292" s="3">
        <f>(F292-VLOOKUP($A292,Runs!$A$2:$E$9,5,FALSE()))*1440</f>
        <v>360</v>
      </c>
      <c r="K292" s="3">
        <f>(G292-VLOOKUP($A292,Runs!$A$2:$E$9,5,FALSE()))*1440</f>
        <v>1803.0666666291654</v>
      </c>
    </row>
    <row r="293" spans="1:11" ht="15" customHeight="1" x14ac:dyDescent="0.25">
      <c r="A293" t="s">
        <v>3</v>
      </c>
      <c r="B293">
        <v>9</v>
      </c>
      <c r="C293" t="s">
        <v>249</v>
      </c>
      <c r="D293" t="s">
        <v>85</v>
      </c>
      <c r="E293" t="s">
        <v>185</v>
      </c>
      <c r="F293" s="12">
        <v>45670.541666666701</v>
      </c>
      <c r="G293" s="12">
        <v>45671.271898148101</v>
      </c>
      <c r="H293" t="str">
        <f t="shared" si="8"/>
        <v>FT</v>
      </c>
      <c r="I293" t="str">
        <f t="shared" si="9"/>
        <v>FT</v>
      </c>
      <c r="J293" s="3">
        <f>(F293-VLOOKUP($A293,Runs!$A$2:$E$9,5,FALSE()))*1440</f>
        <v>780.00000004889444</v>
      </c>
      <c r="K293" s="3">
        <f>(G293-VLOOKUP($A293,Runs!$A$2:$E$9,5,FALSE()))*1440</f>
        <v>1831.5333332656883</v>
      </c>
    </row>
    <row r="294" spans="1:11" ht="15" customHeight="1" x14ac:dyDescent="0.25">
      <c r="A294" t="s">
        <v>3</v>
      </c>
      <c r="B294">
        <v>7</v>
      </c>
      <c r="C294" t="s">
        <v>239</v>
      </c>
      <c r="D294" t="s">
        <v>85</v>
      </c>
      <c r="E294" t="s">
        <v>203</v>
      </c>
      <c r="F294" s="12">
        <v>45670.416666666701</v>
      </c>
      <c r="G294" s="12">
        <v>45671.274259259299</v>
      </c>
      <c r="H294" t="str">
        <f t="shared" si="8"/>
        <v>CHS</v>
      </c>
      <c r="I294" t="str">
        <f t="shared" si="9"/>
        <v>CHS</v>
      </c>
      <c r="J294" s="3">
        <f>(F294-VLOOKUP($A294,Runs!$A$2:$E$9,5,FALSE()))*1440</f>
        <v>600.00000004889444</v>
      </c>
      <c r="K294" s="3">
        <f>(G294-VLOOKUP($A294,Runs!$A$2:$E$9,5,FALSE()))*1440</f>
        <v>1834.9333333899267</v>
      </c>
    </row>
    <row r="295" spans="1:11" ht="15" customHeight="1" x14ac:dyDescent="0.25">
      <c r="A295" t="s">
        <v>3</v>
      </c>
      <c r="B295">
        <v>6</v>
      </c>
      <c r="C295" t="s">
        <v>227</v>
      </c>
      <c r="D295" t="s">
        <v>85</v>
      </c>
      <c r="E295" t="s">
        <v>192</v>
      </c>
      <c r="F295" s="12">
        <v>45670.3125</v>
      </c>
      <c r="G295" s="12">
        <v>45671.2753240741</v>
      </c>
      <c r="H295" t="str">
        <f t="shared" si="8"/>
        <v>SSA</v>
      </c>
      <c r="I295" t="str">
        <f t="shared" si="9"/>
        <v>SSA</v>
      </c>
      <c r="J295" s="3">
        <f>(F295-VLOOKUP($A295,Runs!$A$2:$E$9,5,FALSE()))*1440</f>
        <v>450</v>
      </c>
      <c r="K295" s="3">
        <f>(G295-VLOOKUP($A295,Runs!$A$2:$E$9,5,FALSE()))*1440</f>
        <v>1836.4666667045094</v>
      </c>
    </row>
    <row r="296" spans="1:11" ht="15" customHeight="1" x14ac:dyDescent="0.25">
      <c r="A296" t="s">
        <v>3</v>
      </c>
      <c r="B296">
        <v>9</v>
      </c>
      <c r="C296" t="s">
        <v>250</v>
      </c>
      <c r="D296" t="s">
        <v>85</v>
      </c>
      <c r="E296" t="s">
        <v>185</v>
      </c>
      <c r="F296" s="12">
        <v>45670.541666666701</v>
      </c>
      <c r="G296" s="12">
        <v>45671.295046296298</v>
      </c>
      <c r="H296" t="str">
        <f t="shared" si="8"/>
        <v>FT</v>
      </c>
      <c r="I296" t="str">
        <f t="shared" si="9"/>
        <v>FT</v>
      </c>
      <c r="J296" s="3">
        <f>(F296-VLOOKUP($A296,Runs!$A$2:$E$9,5,FALSE()))*1440</f>
        <v>780.00000004889444</v>
      </c>
      <c r="K296" s="3">
        <f>(G296-VLOOKUP($A296,Runs!$A$2:$E$9,5,FALSE()))*1440</f>
        <v>1864.8666666692588</v>
      </c>
    </row>
    <row r="297" spans="1:11" ht="15" customHeight="1" x14ac:dyDescent="0.25">
      <c r="A297" t="s">
        <v>3</v>
      </c>
      <c r="B297">
        <v>6</v>
      </c>
      <c r="C297" t="s">
        <v>230</v>
      </c>
      <c r="D297" t="s">
        <v>85</v>
      </c>
      <c r="E297" t="s">
        <v>192</v>
      </c>
      <c r="F297" s="12">
        <v>45670.3125</v>
      </c>
      <c r="G297" s="12">
        <v>45671.313680555599</v>
      </c>
      <c r="H297" t="str">
        <f t="shared" si="8"/>
        <v>SSA</v>
      </c>
      <c r="I297" t="str">
        <f t="shared" si="9"/>
        <v>SSA</v>
      </c>
      <c r="J297" s="3">
        <f>(F297-VLOOKUP($A297,Runs!$A$2:$E$9,5,FALSE()))*1440</f>
        <v>450</v>
      </c>
      <c r="K297" s="3">
        <f>(G297-VLOOKUP($A297,Runs!$A$2:$E$9,5,FALSE()))*1440</f>
        <v>1891.7000000621192</v>
      </c>
    </row>
    <row r="298" spans="1:11" ht="15" customHeight="1" x14ac:dyDescent="0.25">
      <c r="A298" t="s">
        <v>3</v>
      </c>
      <c r="B298">
        <v>10</v>
      </c>
      <c r="C298" t="s">
        <v>169</v>
      </c>
      <c r="D298" t="s">
        <v>85</v>
      </c>
      <c r="E298" t="s">
        <v>181</v>
      </c>
      <c r="F298" s="12">
        <v>45670.583333333299</v>
      </c>
      <c r="G298" s="12">
        <v>45671.334398148101</v>
      </c>
      <c r="H298" t="str">
        <f t="shared" si="8"/>
        <v>RT</v>
      </c>
      <c r="I298" t="str">
        <f t="shared" si="9"/>
        <v>RT</v>
      </c>
      <c r="J298" s="3">
        <f>(F298-VLOOKUP($A298,Runs!$A$2:$E$9,5,FALSE()))*1440</f>
        <v>839.99999995110556</v>
      </c>
      <c r="K298" s="3">
        <f>(G298-VLOOKUP($A298,Runs!$A$2:$E$9,5,FALSE()))*1440</f>
        <v>1921.5333332656883</v>
      </c>
    </row>
    <row r="299" spans="1:11" ht="15" customHeight="1" x14ac:dyDescent="0.25">
      <c r="A299" t="s">
        <v>3</v>
      </c>
      <c r="B299">
        <v>6</v>
      </c>
      <c r="C299" t="s">
        <v>231</v>
      </c>
      <c r="D299" t="s">
        <v>85</v>
      </c>
      <c r="E299" t="s">
        <v>197</v>
      </c>
      <c r="F299" s="12">
        <v>45670.3125</v>
      </c>
      <c r="G299" s="12">
        <v>45671.335462962998</v>
      </c>
      <c r="H299" t="str">
        <f t="shared" si="8"/>
        <v>FAX</v>
      </c>
      <c r="I299" t="str">
        <f t="shared" si="9"/>
        <v>FAX</v>
      </c>
      <c r="J299" s="3">
        <f>(F299-VLOOKUP($A299,Runs!$A$2:$E$9,5,FALSE()))*1440</f>
        <v>450</v>
      </c>
      <c r="K299" s="3">
        <f>(G299-VLOOKUP($A299,Runs!$A$2:$E$9,5,FALSE()))*1440</f>
        <v>1923.0666667164769</v>
      </c>
    </row>
    <row r="300" spans="1:11" ht="15" customHeight="1" x14ac:dyDescent="0.25">
      <c r="A300" t="s">
        <v>3</v>
      </c>
      <c r="B300">
        <v>6</v>
      </c>
      <c r="C300" t="s">
        <v>151</v>
      </c>
      <c r="D300" t="s">
        <v>85</v>
      </c>
      <c r="E300" t="s">
        <v>206</v>
      </c>
      <c r="F300" s="12">
        <v>45670.3125</v>
      </c>
      <c r="G300" s="12">
        <v>45671.355231481502</v>
      </c>
      <c r="H300" t="str">
        <f t="shared" si="8"/>
        <v>BSA</v>
      </c>
      <c r="I300" t="str">
        <f t="shared" si="9"/>
        <v>BSA</v>
      </c>
      <c r="J300" s="3">
        <f>(F300-VLOOKUP($A300,Runs!$A$2:$E$9,5,FALSE()))*1440</f>
        <v>450</v>
      </c>
      <c r="K300" s="3">
        <f>(G300-VLOOKUP($A300,Runs!$A$2:$E$9,5,FALSE()))*1440</f>
        <v>1951.5333333634771</v>
      </c>
    </row>
    <row r="301" spans="1:11" ht="15" customHeight="1" x14ac:dyDescent="0.25">
      <c r="A301" t="s">
        <v>3</v>
      </c>
      <c r="B301">
        <v>10</v>
      </c>
      <c r="C301" t="s">
        <v>170</v>
      </c>
      <c r="D301" t="s">
        <v>85</v>
      </c>
      <c r="E301" t="s">
        <v>181</v>
      </c>
      <c r="F301" s="12">
        <v>45670.583333333299</v>
      </c>
      <c r="G301" s="12">
        <v>45671.376064814802</v>
      </c>
      <c r="H301" t="str">
        <f t="shared" si="8"/>
        <v>RT</v>
      </c>
      <c r="I301" t="str">
        <f t="shared" si="9"/>
        <v>RT</v>
      </c>
      <c r="J301" s="3">
        <f>(F301-VLOOKUP($A301,Runs!$A$2:$E$9,5,FALSE()))*1440</f>
        <v>839.99999995110556</v>
      </c>
      <c r="K301" s="3">
        <f>(G301-VLOOKUP($A301,Runs!$A$2:$E$9,5,FALSE()))*1440</f>
        <v>1981.5333333145827</v>
      </c>
    </row>
    <row r="302" spans="1:11" ht="15" customHeight="1" x14ac:dyDescent="0.25">
      <c r="A302" t="s">
        <v>3</v>
      </c>
      <c r="B302">
        <v>6</v>
      </c>
      <c r="C302" t="s">
        <v>154</v>
      </c>
      <c r="D302" t="s">
        <v>85</v>
      </c>
      <c r="E302" t="s">
        <v>206</v>
      </c>
      <c r="F302" s="12">
        <v>45670.3125</v>
      </c>
      <c r="G302" s="12">
        <v>45671.377129629604</v>
      </c>
      <c r="H302" t="str">
        <f t="shared" si="8"/>
        <v>BSA</v>
      </c>
      <c r="I302" t="str">
        <f t="shared" si="9"/>
        <v>BSA</v>
      </c>
      <c r="J302" s="3">
        <f>(F302-VLOOKUP($A302,Runs!$A$2:$E$9,5,FALSE()))*1440</f>
        <v>450</v>
      </c>
      <c r="K302" s="3">
        <f>(G302-VLOOKUP($A302,Runs!$A$2:$E$9,5,FALSE()))*1440</f>
        <v>1983.0666666291654</v>
      </c>
    </row>
    <row r="303" spans="1:11" ht="15" customHeight="1" x14ac:dyDescent="0.25">
      <c r="A303" t="s">
        <v>3</v>
      </c>
      <c r="B303">
        <v>10</v>
      </c>
      <c r="C303" t="s">
        <v>171</v>
      </c>
      <c r="D303" t="s">
        <v>85</v>
      </c>
      <c r="E303" t="s">
        <v>185</v>
      </c>
      <c r="F303" s="12">
        <v>45670.583333333299</v>
      </c>
      <c r="G303" s="12">
        <v>45671.396898148101</v>
      </c>
      <c r="H303" t="str">
        <f t="shared" si="8"/>
        <v>FT</v>
      </c>
      <c r="I303" t="str">
        <f t="shared" si="9"/>
        <v>FT</v>
      </c>
      <c r="J303" s="3">
        <f>(F303-VLOOKUP($A303,Runs!$A$2:$E$9,5,FALSE()))*1440</f>
        <v>839.99999995110556</v>
      </c>
      <c r="K303" s="3">
        <f>(G303-VLOOKUP($A303,Runs!$A$2:$E$9,5,FALSE()))*1440</f>
        <v>2011.5333332656883</v>
      </c>
    </row>
    <row r="304" spans="1:11" ht="15" customHeight="1" x14ac:dyDescent="0.25">
      <c r="A304" t="s">
        <v>3</v>
      </c>
      <c r="B304">
        <v>8</v>
      </c>
      <c r="C304" t="s">
        <v>241</v>
      </c>
      <c r="D304" t="s">
        <v>85</v>
      </c>
      <c r="E304" t="s">
        <v>203</v>
      </c>
      <c r="F304" s="12">
        <v>45670.4375</v>
      </c>
      <c r="G304" s="12">
        <v>45671.399259259299</v>
      </c>
      <c r="H304" t="str">
        <f t="shared" si="8"/>
        <v>CHS</v>
      </c>
      <c r="I304" t="str">
        <f t="shared" si="9"/>
        <v>CHS</v>
      </c>
      <c r="J304" s="3">
        <f>(F304-VLOOKUP($A304,Runs!$A$2:$E$9,5,FALSE()))*1440</f>
        <v>630</v>
      </c>
      <c r="K304" s="3">
        <f>(G304-VLOOKUP($A304,Runs!$A$2:$E$9,5,FALSE()))*1440</f>
        <v>2014.9333333899267</v>
      </c>
    </row>
    <row r="305" spans="1:11" ht="15" customHeight="1" x14ac:dyDescent="0.25">
      <c r="A305" t="s">
        <v>3</v>
      </c>
      <c r="B305">
        <v>6</v>
      </c>
      <c r="C305" t="s">
        <v>242</v>
      </c>
      <c r="D305" t="s">
        <v>85</v>
      </c>
      <c r="E305" t="s">
        <v>211</v>
      </c>
      <c r="F305" s="12">
        <v>45670.3125</v>
      </c>
      <c r="G305" s="12">
        <v>45671.4003240741</v>
      </c>
      <c r="H305" t="str">
        <f t="shared" si="8"/>
        <v>RAX_HD</v>
      </c>
      <c r="I305" t="str">
        <f t="shared" si="9"/>
        <v>RAX_HD</v>
      </c>
      <c r="J305" s="3">
        <f>(F305-VLOOKUP($A305,Runs!$A$2:$E$9,5,FALSE()))*1440</f>
        <v>450</v>
      </c>
      <c r="K305" s="3">
        <f>(G305-VLOOKUP($A305,Runs!$A$2:$E$9,5,FALSE()))*1440</f>
        <v>2016.4666667045094</v>
      </c>
    </row>
    <row r="306" spans="1:11" ht="15" customHeight="1" x14ac:dyDescent="0.25">
      <c r="A306" t="s">
        <v>3</v>
      </c>
      <c r="B306">
        <v>10</v>
      </c>
      <c r="C306" t="s">
        <v>173</v>
      </c>
      <c r="D306" t="s">
        <v>85</v>
      </c>
      <c r="E306" t="s">
        <v>185</v>
      </c>
      <c r="F306" s="12">
        <v>45670.583333333299</v>
      </c>
      <c r="G306" s="12">
        <v>45671.420046296298</v>
      </c>
      <c r="H306" t="str">
        <f t="shared" si="8"/>
        <v>FT</v>
      </c>
      <c r="I306" t="str">
        <f t="shared" si="9"/>
        <v>FT</v>
      </c>
      <c r="J306" s="3">
        <f>(F306-VLOOKUP($A306,Runs!$A$2:$E$9,5,FALSE()))*1440</f>
        <v>839.99999995110556</v>
      </c>
      <c r="K306" s="3">
        <f>(G306-VLOOKUP($A306,Runs!$A$2:$E$9,5,FALSE()))*1440</f>
        <v>2044.8666666692588</v>
      </c>
    </row>
    <row r="307" spans="1:11" ht="15" customHeight="1" x14ac:dyDescent="0.25">
      <c r="A307" t="s">
        <v>3</v>
      </c>
      <c r="B307">
        <v>7</v>
      </c>
      <c r="C307" t="s">
        <v>229</v>
      </c>
      <c r="D307" t="s">
        <v>85</v>
      </c>
      <c r="E307" t="s">
        <v>192</v>
      </c>
      <c r="F307" s="12">
        <v>45670.416666666701</v>
      </c>
      <c r="G307" s="12">
        <v>45671.424861111103</v>
      </c>
      <c r="H307" t="str">
        <f t="shared" si="8"/>
        <v>SSA</v>
      </c>
      <c r="I307" t="str">
        <f t="shared" si="9"/>
        <v>SSA</v>
      </c>
      <c r="J307" s="3">
        <f>(F307-VLOOKUP($A307,Runs!$A$2:$E$9,5,FALSE()))*1440</f>
        <v>600.00000004889444</v>
      </c>
      <c r="K307" s="3">
        <f>(G307-VLOOKUP($A307,Runs!$A$2:$E$9,5,FALSE()))*1440</f>
        <v>2051.7999999888707</v>
      </c>
    </row>
    <row r="308" spans="1:11" ht="15" customHeight="1" x14ac:dyDescent="0.25">
      <c r="A308" t="s">
        <v>3</v>
      </c>
      <c r="B308">
        <v>7</v>
      </c>
      <c r="C308" t="s">
        <v>233</v>
      </c>
      <c r="D308" t="s">
        <v>85</v>
      </c>
      <c r="E308" t="s">
        <v>192</v>
      </c>
      <c r="F308" s="12">
        <v>45670.416666666701</v>
      </c>
      <c r="G308" s="12">
        <v>45671.480231481502</v>
      </c>
      <c r="H308" t="str">
        <f t="shared" si="8"/>
        <v>SSA</v>
      </c>
      <c r="I308" t="str">
        <f t="shared" si="9"/>
        <v>SSA</v>
      </c>
      <c r="J308" s="3">
        <f>(F308-VLOOKUP($A308,Runs!$A$2:$E$9,5,FALSE()))*1440</f>
        <v>600.00000004889444</v>
      </c>
      <c r="K308" s="3">
        <f>(G308-VLOOKUP($A308,Runs!$A$2:$E$9,5,FALSE()))*1440</f>
        <v>2131.5333333634771</v>
      </c>
    </row>
    <row r="309" spans="1:11" ht="15" customHeight="1" x14ac:dyDescent="0.25">
      <c r="A309" t="s">
        <v>3</v>
      </c>
      <c r="B309">
        <v>7</v>
      </c>
      <c r="C309" t="s">
        <v>235</v>
      </c>
      <c r="D309" t="s">
        <v>85</v>
      </c>
      <c r="E309" t="s">
        <v>197</v>
      </c>
      <c r="F309" s="12">
        <v>45670.416666666701</v>
      </c>
      <c r="G309" s="12">
        <v>45671.501064814802</v>
      </c>
      <c r="H309" t="str">
        <f t="shared" si="8"/>
        <v>FAX</v>
      </c>
      <c r="I309" t="str">
        <f t="shared" si="9"/>
        <v>FAX</v>
      </c>
      <c r="J309" s="3">
        <f>(F309-VLOOKUP($A309,Runs!$A$2:$E$9,5,FALSE()))*1440</f>
        <v>600.00000004889444</v>
      </c>
      <c r="K309" s="3">
        <f>(G309-VLOOKUP($A309,Runs!$A$2:$E$9,5,FALSE()))*1440</f>
        <v>2161.5333333145827</v>
      </c>
    </row>
    <row r="310" spans="1:11" ht="15" customHeight="1" x14ac:dyDescent="0.25">
      <c r="A310" t="s">
        <v>3</v>
      </c>
      <c r="B310">
        <v>9</v>
      </c>
      <c r="C310" t="s">
        <v>251</v>
      </c>
      <c r="D310" t="s">
        <v>85</v>
      </c>
      <c r="E310" t="s">
        <v>203</v>
      </c>
      <c r="F310" s="12">
        <v>45670.541666666701</v>
      </c>
      <c r="G310" s="12">
        <v>45671.523194444497</v>
      </c>
      <c r="H310" t="str">
        <f t="shared" si="8"/>
        <v>CHS</v>
      </c>
      <c r="I310" t="str">
        <f t="shared" si="9"/>
        <v>CHS</v>
      </c>
      <c r="J310" s="3">
        <f>(F310-VLOOKUP($A310,Runs!$A$2:$E$9,5,FALSE()))*1440</f>
        <v>780.00000004889444</v>
      </c>
      <c r="K310" s="3">
        <f>(G310-VLOOKUP($A310,Runs!$A$2:$E$9,5,FALSE()))*1440</f>
        <v>2193.400000075344</v>
      </c>
    </row>
    <row r="311" spans="1:11" ht="15" customHeight="1" x14ac:dyDescent="0.25">
      <c r="A311" t="s">
        <v>3</v>
      </c>
      <c r="B311">
        <v>7</v>
      </c>
      <c r="C311" t="s">
        <v>158</v>
      </c>
      <c r="D311" t="s">
        <v>85</v>
      </c>
      <c r="E311" t="s">
        <v>206</v>
      </c>
      <c r="F311" s="12">
        <v>45670.416666666701</v>
      </c>
      <c r="G311" s="12">
        <v>45671.524259259299</v>
      </c>
      <c r="H311" t="str">
        <f t="shared" si="8"/>
        <v>BSA</v>
      </c>
      <c r="I311" t="str">
        <f t="shared" si="9"/>
        <v>BSA</v>
      </c>
      <c r="J311" s="3">
        <f>(F311-VLOOKUP($A311,Runs!$A$2:$E$9,5,FALSE()))*1440</f>
        <v>600.00000004889444</v>
      </c>
      <c r="K311" s="3">
        <f>(G311-VLOOKUP($A311,Runs!$A$2:$E$9,5,FALSE()))*1440</f>
        <v>2194.9333333899267</v>
      </c>
    </row>
    <row r="312" spans="1:11" ht="15" customHeight="1" x14ac:dyDescent="0.25">
      <c r="A312" t="s">
        <v>3</v>
      </c>
      <c r="B312">
        <v>7</v>
      </c>
      <c r="C312" t="s">
        <v>161</v>
      </c>
      <c r="D312" t="s">
        <v>85</v>
      </c>
      <c r="E312" t="s">
        <v>206</v>
      </c>
      <c r="F312" s="12">
        <v>45670.416666666701</v>
      </c>
      <c r="G312" s="12">
        <v>45671.546481481499</v>
      </c>
      <c r="H312" t="str">
        <f t="shared" si="8"/>
        <v>BSA</v>
      </c>
      <c r="I312" t="str">
        <f t="shared" si="9"/>
        <v>BSA</v>
      </c>
      <c r="J312" s="3">
        <f>(F312-VLOOKUP($A312,Runs!$A$2:$E$9,5,FALSE()))*1440</f>
        <v>600.00000004889444</v>
      </c>
      <c r="K312" s="3">
        <f>(G312-VLOOKUP($A312,Runs!$A$2:$E$9,5,FALSE()))*1440</f>
        <v>2226.9333333580289</v>
      </c>
    </row>
    <row r="313" spans="1:11" ht="15" customHeight="1" x14ac:dyDescent="0.25">
      <c r="A313" t="s">
        <v>3</v>
      </c>
      <c r="B313">
        <v>7</v>
      </c>
      <c r="C313" t="s">
        <v>245</v>
      </c>
      <c r="D313" t="s">
        <v>85</v>
      </c>
      <c r="E313" t="s">
        <v>211</v>
      </c>
      <c r="F313" s="12">
        <v>45670.416666666701</v>
      </c>
      <c r="G313" s="12">
        <v>45671.563564814802</v>
      </c>
      <c r="H313" t="str">
        <f t="shared" si="8"/>
        <v>RAX_HD</v>
      </c>
      <c r="I313" t="str">
        <f t="shared" si="9"/>
        <v>RAX_HD</v>
      </c>
      <c r="J313" s="3">
        <f>(F313-VLOOKUP($A313,Runs!$A$2:$E$9,5,FALSE()))*1440</f>
        <v>600.00000004889444</v>
      </c>
      <c r="K313" s="3">
        <f>(G313-VLOOKUP($A313,Runs!$A$2:$E$9,5,FALSE()))*1440</f>
        <v>2251.5333333145827</v>
      </c>
    </row>
    <row r="314" spans="1:11" ht="15" customHeight="1" x14ac:dyDescent="0.25">
      <c r="A314" t="s">
        <v>3</v>
      </c>
      <c r="B314">
        <v>8</v>
      </c>
      <c r="C314" t="s">
        <v>232</v>
      </c>
      <c r="D314" t="s">
        <v>85</v>
      </c>
      <c r="E314" t="s">
        <v>192</v>
      </c>
      <c r="F314" s="12">
        <v>45670.4375</v>
      </c>
      <c r="G314" s="12">
        <v>45671.584398148101</v>
      </c>
      <c r="H314" t="str">
        <f t="shared" si="8"/>
        <v>SSA</v>
      </c>
      <c r="I314" t="str">
        <f t="shared" si="9"/>
        <v>SSA</v>
      </c>
      <c r="J314" s="3">
        <f>(F314-VLOOKUP($A314,Runs!$A$2:$E$9,5,FALSE()))*1440</f>
        <v>630</v>
      </c>
      <c r="K314" s="3">
        <f>(G314-VLOOKUP($A314,Runs!$A$2:$E$9,5,FALSE()))*1440</f>
        <v>2281.5333332656883</v>
      </c>
    </row>
    <row r="315" spans="1:11" ht="15" customHeight="1" x14ac:dyDescent="0.25">
      <c r="A315" t="s">
        <v>3</v>
      </c>
      <c r="B315">
        <v>8</v>
      </c>
      <c r="C315" t="s">
        <v>236</v>
      </c>
      <c r="D315" t="s">
        <v>85</v>
      </c>
      <c r="E315" t="s">
        <v>192</v>
      </c>
      <c r="F315" s="12">
        <v>45670.4375</v>
      </c>
      <c r="G315" s="12">
        <v>45671.626064814802</v>
      </c>
      <c r="H315" t="str">
        <f t="shared" si="8"/>
        <v>SSA</v>
      </c>
      <c r="I315" t="str">
        <f t="shared" si="9"/>
        <v>SSA</v>
      </c>
      <c r="J315" s="3">
        <f>(F315-VLOOKUP($A315,Runs!$A$2:$E$9,5,FALSE()))*1440</f>
        <v>630</v>
      </c>
      <c r="K315" s="3">
        <f>(G315-VLOOKUP($A315,Runs!$A$2:$E$9,5,FALSE()))*1440</f>
        <v>2341.5333333145827</v>
      </c>
    </row>
    <row r="316" spans="1:11" ht="15" customHeight="1" x14ac:dyDescent="0.25">
      <c r="A316" t="s">
        <v>3</v>
      </c>
      <c r="B316">
        <v>10</v>
      </c>
      <c r="C316" t="s">
        <v>252</v>
      </c>
      <c r="D316" t="s">
        <v>85</v>
      </c>
      <c r="E316" t="s">
        <v>203</v>
      </c>
      <c r="F316" s="12">
        <v>45670.583333333299</v>
      </c>
      <c r="G316" s="12">
        <v>45671.648194444497</v>
      </c>
      <c r="H316" t="str">
        <f t="shared" si="8"/>
        <v>CHS</v>
      </c>
      <c r="I316" t="str">
        <f t="shared" si="9"/>
        <v>CHS</v>
      </c>
      <c r="J316" s="3">
        <f>(F316-VLOOKUP($A316,Runs!$A$2:$E$9,5,FALSE()))*1440</f>
        <v>839.99999995110556</v>
      </c>
      <c r="K316" s="3">
        <f>(G316-VLOOKUP($A316,Runs!$A$2:$E$9,5,FALSE()))*1440</f>
        <v>2373.400000075344</v>
      </c>
    </row>
    <row r="317" spans="1:11" ht="15" customHeight="1" x14ac:dyDescent="0.25">
      <c r="A317" t="s">
        <v>3</v>
      </c>
      <c r="B317">
        <v>8</v>
      </c>
      <c r="C317" t="s">
        <v>238</v>
      </c>
      <c r="D317" t="s">
        <v>85</v>
      </c>
      <c r="E317" t="s">
        <v>197</v>
      </c>
      <c r="F317" s="12">
        <v>45670.4375</v>
      </c>
      <c r="G317" s="12">
        <v>45671.649259259299</v>
      </c>
      <c r="H317" t="str">
        <f t="shared" si="8"/>
        <v>FAX</v>
      </c>
      <c r="I317" t="str">
        <f t="shared" si="9"/>
        <v>FAX</v>
      </c>
      <c r="J317" s="3">
        <f>(F317-VLOOKUP($A317,Runs!$A$2:$E$9,5,FALSE()))*1440</f>
        <v>630</v>
      </c>
      <c r="K317" s="3">
        <f>(G317-VLOOKUP($A317,Runs!$A$2:$E$9,5,FALSE()))*1440</f>
        <v>2374.9333333899267</v>
      </c>
    </row>
    <row r="318" spans="1:11" ht="15" customHeight="1" x14ac:dyDescent="0.25">
      <c r="A318" t="s">
        <v>4</v>
      </c>
      <c r="B318">
        <v>1</v>
      </c>
      <c r="C318" t="s">
        <v>84</v>
      </c>
      <c r="D318" t="s">
        <v>85</v>
      </c>
      <c r="E318" t="s">
        <v>178</v>
      </c>
      <c r="F318" s="12">
        <v>45670</v>
      </c>
      <c r="G318" s="12">
        <v>45670.042268518497</v>
      </c>
      <c r="H318" t="str">
        <f t="shared" si="8"/>
        <v>BOSP</v>
      </c>
      <c r="I318" t="str">
        <f t="shared" si="9"/>
        <v>BOSP</v>
      </c>
      <c r="J318" s="3">
        <f>(F318-VLOOKUP($A318,Runs!$A$2:$E$9,5,FALSE()))*1440</f>
        <v>0</v>
      </c>
      <c r="K318" s="3">
        <f>(G318-VLOOKUP($A318,Runs!$A$2:$E$9,5,FALSE()))*1440</f>
        <v>60.866666635265574</v>
      </c>
    </row>
    <row r="319" spans="1:11" ht="15" customHeight="1" x14ac:dyDescent="0.25">
      <c r="A319" t="s">
        <v>4</v>
      </c>
      <c r="B319">
        <v>1</v>
      </c>
      <c r="C319" t="s">
        <v>87</v>
      </c>
      <c r="D319" t="s">
        <v>85</v>
      </c>
      <c r="E319" t="s">
        <v>178</v>
      </c>
      <c r="F319" s="12">
        <v>45670</v>
      </c>
      <c r="G319" s="12">
        <v>45670.063564814802</v>
      </c>
      <c r="H319" t="str">
        <f t="shared" si="8"/>
        <v>BOSP</v>
      </c>
      <c r="I319" t="str">
        <f t="shared" si="9"/>
        <v>BOSP</v>
      </c>
      <c r="J319" s="3">
        <f>(F319-VLOOKUP($A319,Runs!$A$2:$E$9,5,FALSE()))*1440</f>
        <v>0</v>
      </c>
      <c r="K319" s="3">
        <f>(G319-VLOOKUP($A319,Runs!$A$2:$E$9,5,FALSE()))*1440</f>
        <v>91.533333314582705</v>
      </c>
    </row>
    <row r="320" spans="1:11" ht="15" customHeight="1" x14ac:dyDescent="0.25">
      <c r="A320" t="s">
        <v>4</v>
      </c>
      <c r="B320">
        <v>1</v>
      </c>
      <c r="C320" t="s">
        <v>179</v>
      </c>
      <c r="D320" t="s">
        <v>85</v>
      </c>
      <c r="E320" t="s">
        <v>180</v>
      </c>
      <c r="F320" s="12">
        <v>45670</v>
      </c>
      <c r="G320" s="12">
        <v>45670.106064814798</v>
      </c>
      <c r="H320" t="str">
        <f t="shared" si="8"/>
        <v>BAT</v>
      </c>
      <c r="I320" t="str">
        <f t="shared" si="9"/>
        <v>BAT</v>
      </c>
      <c r="J320" s="3">
        <f>(F320-VLOOKUP($A320,Runs!$A$2:$E$9,5,FALSE()))*1440</f>
        <v>0</v>
      </c>
      <c r="K320" s="3">
        <f>(G320-VLOOKUP($A320,Runs!$A$2:$E$9,5,FALSE()))*1440</f>
        <v>152.73333330871537</v>
      </c>
    </row>
    <row r="321" spans="1:11" ht="15" customHeight="1" x14ac:dyDescent="0.25">
      <c r="A321" t="s">
        <v>4</v>
      </c>
      <c r="B321">
        <v>2</v>
      </c>
      <c r="C321" t="s">
        <v>91</v>
      </c>
      <c r="D321" t="s">
        <v>85</v>
      </c>
      <c r="E321" t="s">
        <v>178</v>
      </c>
      <c r="F321" s="12">
        <v>45670.0625</v>
      </c>
      <c r="G321" s="12">
        <v>45670.126064814802</v>
      </c>
      <c r="H321" t="str">
        <f t="shared" si="8"/>
        <v>BOSP</v>
      </c>
      <c r="I321" t="str">
        <f t="shared" si="9"/>
        <v>BOSP</v>
      </c>
      <c r="J321" s="3">
        <f>(F321-VLOOKUP($A321,Runs!$A$2:$E$9,5,FALSE()))*1440</f>
        <v>90</v>
      </c>
      <c r="K321" s="3">
        <f>(G321-VLOOKUP($A321,Runs!$A$2:$E$9,5,FALSE()))*1440</f>
        <v>181.53333331458271</v>
      </c>
    </row>
    <row r="322" spans="1:11" ht="15" customHeight="1" x14ac:dyDescent="0.25">
      <c r="A322" t="s">
        <v>4</v>
      </c>
      <c r="B322">
        <v>2</v>
      </c>
      <c r="C322" t="s">
        <v>92</v>
      </c>
      <c r="D322" t="s">
        <v>85</v>
      </c>
      <c r="E322" t="s">
        <v>178</v>
      </c>
      <c r="F322" s="12">
        <v>45670.0625</v>
      </c>
      <c r="G322" s="12">
        <v>45670.146898148101</v>
      </c>
      <c r="H322" t="str">
        <f t="shared" ref="H322:H385" si="10">MID(E322,8,100)</f>
        <v>BOSP</v>
      </c>
      <c r="I322" t="str">
        <f t="shared" ref="I322:I385" si="11">IF(H322="CORE","CHS",H322)</f>
        <v>BOSP</v>
      </c>
      <c r="J322" s="3">
        <f>(F322-VLOOKUP($A322,Runs!$A$2:$E$9,5,FALSE()))*1440</f>
        <v>90</v>
      </c>
      <c r="K322" s="3">
        <f>(G322-VLOOKUP($A322,Runs!$A$2:$E$9,5,FALSE()))*1440</f>
        <v>211.53333326568827</v>
      </c>
    </row>
    <row r="323" spans="1:11" ht="15" customHeight="1" x14ac:dyDescent="0.25">
      <c r="A323" t="s">
        <v>4</v>
      </c>
      <c r="B323">
        <v>1</v>
      </c>
      <c r="C323" t="s">
        <v>88</v>
      </c>
      <c r="D323" t="s">
        <v>85</v>
      </c>
      <c r="E323" t="s">
        <v>181</v>
      </c>
      <c r="F323" s="12">
        <v>45670</v>
      </c>
      <c r="G323" s="12">
        <v>45670.167847222197</v>
      </c>
      <c r="H323" t="str">
        <f t="shared" si="10"/>
        <v>RT</v>
      </c>
      <c r="I323" t="str">
        <f t="shared" si="11"/>
        <v>RT</v>
      </c>
      <c r="J323" s="3">
        <f>(F323-VLOOKUP($A323,Runs!$A$2:$E$9,5,FALSE()))*1440</f>
        <v>0</v>
      </c>
      <c r="K323" s="3">
        <f>(G323-VLOOKUP($A323,Runs!$A$2:$E$9,5,FALSE()))*1440</f>
        <v>241.69999996433035</v>
      </c>
    </row>
    <row r="324" spans="1:11" ht="15" customHeight="1" x14ac:dyDescent="0.25">
      <c r="A324" t="s">
        <v>4</v>
      </c>
      <c r="B324">
        <v>2</v>
      </c>
      <c r="C324" t="s">
        <v>182</v>
      </c>
      <c r="D324" t="s">
        <v>85</v>
      </c>
      <c r="E324" t="s">
        <v>180</v>
      </c>
      <c r="F324" s="12">
        <v>45670.0625</v>
      </c>
      <c r="G324" s="12">
        <v>45670.189861111103</v>
      </c>
      <c r="H324" t="str">
        <f t="shared" si="10"/>
        <v>BAT</v>
      </c>
      <c r="I324" t="str">
        <f t="shared" si="11"/>
        <v>BAT</v>
      </c>
      <c r="J324" s="3">
        <f>(F324-VLOOKUP($A324,Runs!$A$2:$E$9,5,FALSE()))*1440</f>
        <v>90</v>
      </c>
      <c r="K324" s="3">
        <f>(G324-VLOOKUP($A324,Runs!$A$2:$E$9,5,FALSE()))*1440</f>
        <v>273.3999999880325</v>
      </c>
    </row>
    <row r="325" spans="1:11" ht="15" customHeight="1" x14ac:dyDescent="0.25">
      <c r="A325" t="s">
        <v>4</v>
      </c>
      <c r="B325">
        <v>3</v>
      </c>
      <c r="C325" t="s">
        <v>97</v>
      </c>
      <c r="D325" t="s">
        <v>85</v>
      </c>
      <c r="E325" t="s">
        <v>178</v>
      </c>
      <c r="F325" s="12">
        <v>45670.125</v>
      </c>
      <c r="G325" s="12">
        <v>45670.209398148101</v>
      </c>
      <c r="H325" t="str">
        <f t="shared" si="10"/>
        <v>BOSP</v>
      </c>
      <c r="I325" t="str">
        <f t="shared" si="11"/>
        <v>BOSP</v>
      </c>
      <c r="J325" s="3">
        <f>(F325-VLOOKUP($A325,Runs!$A$2:$E$9,5,FALSE()))*1440</f>
        <v>180</v>
      </c>
      <c r="K325" s="3">
        <f>(G325-VLOOKUP($A325,Runs!$A$2:$E$9,5,FALSE()))*1440</f>
        <v>301.53333326568827</v>
      </c>
    </row>
    <row r="326" spans="1:11" ht="15" customHeight="1" x14ac:dyDescent="0.25">
      <c r="A326" t="s">
        <v>4</v>
      </c>
      <c r="B326">
        <v>3</v>
      </c>
      <c r="C326" t="s">
        <v>98</v>
      </c>
      <c r="D326" t="s">
        <v>85</v>
      </c>
      <c r="E326" t="s">
        <v>178</v>
      </c>
      <c r="F326" s="12">
        <v>45670.125</v>
      </c>
      <c r="G326" s="12">
        <v>45670.229768518497</v>
      </c>
      <c r="H326" t="str">
        <f t="shared" si="10"/>
        <v>BOSP</v>
      </c>
      <c r="I326" t="str">
        <f t="shared" si="11"/>
        <v>BOSP</v>
      </c>
      <c r="J326" s="3">
        <f>(F326-VLOOKUP($A326,Runs!$A$2:$E$9,5,FALSE()))*1440</f>
        <v>180</v>
      </c>
      <c r="K326" s="3">
        <f>(G326-VLOOKUP($A326,Runs!$A$2:$E$9,5,FALSE()))*1440</f>
        <v>330.86666663526557</v>
      </c>
    </row>
    <row r="327" spans="1:11" ht="15" customHeight="1" x14ac:dyDescent="0.25">
      <c r="A327" t="s">
        <v>4</v>
      </c>
      <c r="B327">
        <v>1</v>
      </c>
      <c r="C327" t="s">
        <v>90</v>
      </c>
      <c r="D327" t="s">
        <v>85</v>
      </c>
      <c r="E327" t="s">
        <v>181</v>
      </c>
      <c r="F327" s="12">
        <v>45670</v>
      </c>
      <c r="G327" s="12">
        <v>45670.230833333299</v>
      </c>
      <c r="H327" t="str">
        <f t="shared" si="10"/>
        <v>RT</v>
      </c>
      <c r="I327" t="str">
        <f t="shared" si="11"/>
        <v>RT</v>
      </c>
      <c r="J327" s="3">
        <f>(F327-VLOOKUP($A327,Runs!$A$2:$E$9,5,FALSE()))*1440</f>
        <v>0</v>
      </c>
      <c r="K327" s="3">
        <f>(G327-VLOOKUP($A327,Runs!$A$2:$E$9,5,FALSE()))*1440</f>
        <v>332.39999994984828</v>
      </c>
    </row>
    <row r="328" spans="1:11" ht="15" customHeight="1" x14ac:dyDescent="0.25">
      <c r="A328" t="s">
        <v>4</v>
      </c>
      <c r="B328">
        <v>1</v>
      </c>
      <c r="C328" t="s">
        <v>184</v>
      </c>
      <c r="D328" t="s">
        <v>85</v>
      </c>
      <c r="E328" t="s">
        <v>185</v>
      </c>
      <c r="F328" s="12">
        <v>45670</v>
      </c>
      <c r="G328" s="12">
        <v>45670.251064814802</v>
      </c>
      <c r="H328" t="str">
        <f t="shared" si="10"/>
        <v>FT</v>
      </c>
      <c r="I328" t="str">
        <f t="shared" si="11"/>
        <v>FT</v>
      </c>
      <c r="J328" s="3">
        <f>(F328-VLOOKUP($A328,Runs!$A$2:$E$9,5,FALSE()))*1440</f>
        <v>0</v>
      </c>
      <c r="K328" s="3">
        <f>(G328-VLOOKUP($A328,Runs!$A$2:$E$9,5,FALSE()))*1440</f>
        <v>361.53333331458271</v>
      </c>
    </row>
    <row r="329" spans="1:11" ht="15" customHeight="1" x14ac:dyDescent="0.25">
      <c r="A329" t="s">
        <v>4</v>
      </c>
      <c r="B329">
        <v>3</v>
      </c>
      <c r="C329" t="s">
        <v>183</v>
      </c>
      <c r="D329" t="s">
        <v>85</v>
      </c>
      <c r="E329" t="s">
        <v>180</v>
      </c>
      <c r="F329" s="12">
        <v>45670.125</v>
      </c>
      <c r="G329" s="12">
        <v>45670.273194444497</v>
      </c>
      <c r="H329" t="str">
        <f t="shared" si="10"/>
        <v>BAT</v>
      </c>
      <c r="I329" t="str">
        <f t="shared" si="11"/>
        <v>BAT</v>
      </c>
      <c r="J329" s="3">
        <f>(F329-VLOOKUP($A329,Runs!$A$2:$E$9,5,FALSE()))*1440</f>
        <v>180</v>
      </c>
      <c r="K329" s="3">
        <f>(G329-VLOOKUP($A329,Runs!$A$2:$E$9,5,FALSE()))*1440</f>
        <v>393.400000075344</v>
      </c>
    </row>
    <row r="330" spans="1:11" ht="15" customHeight="1" x14ac:dyDescent="0.25">
      <c r="A330" t="s">
        <v>4</v>
      </c>
      <c r="B330">
        <v>4</v>
      </c>
      <c r="C330" t="s">
        <v>107</v>
      </c>
      <c r="D330" t="s">
        <v>85</v>
      </c>
      <c r="E330" t="s">
        <v>178</v>
      </c>
      <c r="F330" s="12">
        <v>45670.1875</v>
      </c>
      <c r="G330" s="12">
        <v>45670.292268518497</v>
      </c>
      <c r="H330" t="str">
        <f t="shared" si="10"/>
        <v>BOSP</v>
      </c>
      <c r="I330" t="str">
        <f t="shared" si="11"/>
        <v>BOSP</v>
      </c>
      <c r="J330" s="3">
        <f>(F330-VLOOKUP($A330,Runs!$A$2:$E$9,5,FALSE()))*1440</f>
        <v>270</v>
      </c>
      <c r="K330" s="3">
        <f>(G330-VLOOKUP($A330,Runs!$A$2:$E$9,5,FALSE()))*1440</f>
        <v>420.86666663526557</v>
      </c>
    </row>
    <row r="331" spans="1:11" ht="15" customHeight="1" x14ac:dyDescent="0.25">
      <c r="A331" t="s">
        <v>4</v>
      </c>
      <c r="B331">
        <v>1</v>
      </c>
      <c r="C331" t="s">
        <v>186</v>
      </c>
      <c r="D331" t="s">
        <v>85</v>
      </c>
      <c r="E331" t="s">
        <v>185</v>
      </c>
      <c r="F331" s="12">
        <v>45670</v>
      </c>
      <c r="G331" s="12">
        <v>45670.295648148203</v>
      </c>
      <c r="H331" t="str">
        <f t="shared" si="10"/>
        <v>FT</v>
      </c>
      <c r="I331" t="str">
        <f t="shared" si="11"/>
        <v>FT</v>
      </c>
      <c r="J331" s="3">
        <f>(F331-VLOOKUP($A331,Runs!$A$2:$E$9,5,FALSE()))*1440</f>
        <v>0</v>
      </c>
      <c r="K331" s="3">
        <f>(G331-VLOOKUP($A331,Runs!$A$2:$E$9,5,FALSE()))*1440</f>
        <v>425.73333341279067</v>
      </c>
    </row>
    <row r="332" spans="1:11" ht="15" customHeight="1" x14ac:dyDescent="0.25">
      <c r="A332" t="s">
        <v>4</v>
      </c>
      <c r="B332">
        <v>4</v>
      </c>
      <c r="C332" t="s">
        <v>109</v>
      </c>
      <c r="D332" t="s">
        <v>85</v>
      </c>
      <c r="E332" t="s">
        <v>178</v>
      </c>
      <c r="F332" s="12">
        <v>45670.1875</v>
      </c>
      <c r="G332" s="12">
        <v>45670.313564814802</v>
      </c>
      <c r="H332" t="str">
        <f t="shared" si="10"/>
        <v>BOSP</v>
      </c>
      <c r="I332" t="str">
        <f t="shared" si="11"/>
        <v>BOSP</v>
      </c>
      <c r="J332" s="3">
        <f>(F332-VLOOKUP($A332,Runs!$A$2:$E$9,5,FALSE()))*1440</f>
        <v>270</v>
      </c>
      <c r="K332" s="3">
        <f>(G332-VLOOKUP($A332,Runs!$A$2:$E$9,5,FALSE()))*1440</f>
        <v>451.53333331458271</v>
      </c>
    </row>
    <row r="333" spans="1:11" ht="15" customHeight="1" x14ac:dyDescent="0.25">
      <c r="A333" t="s">
        <v>4</v>
      </c>
      <c r="B333">
        <v>4</v>
      </c>
      <c r="C333" t="s">
        <v>113</v>
      </c>
      <c r="D333" t="s">
        <v>85</v>
      </c>
      <c r="E333" t="s">
        <v>180</v>
      </c>
      <c r="F333" s="12">
        <v>45670.1875</v>
      </c>
      <c r="G333" s="12">
        <v>45670.335694444497</v>
      </c>
      <c r="H333" t="str">
        <f t="shared" si="10"/>
        <v>BAT</v>
      </c>
      <c r="I333" t="str">
        <f t="shared" si="11"/>
        <v>BAT</v>
      </c>
      <c r="J333" s="3">
        <f>(F333-VLOOKUP($A333,Runs!$A$2:$E$9,5,FALSE()))*1440</f>
        <v>270</v>
      </c>
      <c r="K333" s="3">
        <f>(G333-VLOOKUP($A333,Runs!$A$2:$E$9,5,FALSE()))*1440</f>
        <v>483.400000075344</v>
      </c>
    </row>
    <row r="334" spans="1:11" ht="15" customHeight="1" x14ac:dyDescent="0.25">
      <c r="A334" t="s">
        <v>4</v>
      </c>
      <c r="B334">
        <v>2</v>
      </c>
      <c r="C334" t="s">
        <v>93</v>
      </c>
      <c r="D334" t="s">
        <v>85</v>
      </c>
      <c r="E334" t="s">
        <v>181</v>
      </c>
      <c r="F334" s="12">
        <v>45670.0625</v>
      </c>
      <c r="G334" s="12">
        <v>45670.336759259299</v>
      </c>
      <c r="H334" t="str">
        <f t="shared" si="10"/>
        <v>RT</v>
      </c>
      <c r="I334" t="str">
        <f t="shared" si="11"/>
        <v>RT</v>
      </c>
      <c r="J334" s="3">
        <f>(F334-VLOOKUP($A334,Runs!$A$2:$E$9,5,FALSE()))*1440</f>
        <v>90</v>
      </c>
      <c r="K334" s="3">
        <f>(G334-VLOOKUP($A334,Runs!$A$2:$E$9,5,FALSE()))*1440</f>
        <v>484.9333333899267</v>
      </c>
    </row>
    <row r="335" spans="1:11" ht="15" customHeight="1" x14ac:dyDescent="0.25">
      <c r="A335" t="s">
        <v>4</v>
      </c>
      <c r="B335">
        <v>5</v>
      </c>
      <c r="C335" t="s">
        <v>213</v>
      </c>
      <c r="D335" t="s">
        <v>85</v>
      </c>
      <c r="E335" t="s">
        <v>178</v>
      </c>
      <c r="F335" s="12">
        <v>45670.25</v>
      </c>
      <c r="G335" s="12">
        <v>45670.354768518497</v>
      </c>
      <c r="H335" t="str">
        <f t="shared" si="10"/>
        <v>BOSP</v>
      </c>
      <c r="I335" t="str">
        <f t="shared" si="11"/>
        <v>BOSP</v>
      </c>
      <c r="J335" s="3">
        <f>(F335-VLOOKUP($A335,Runs!$A$2:$E$9,5,FALSE()))*1440</f>
        <v>360</v>
      </c>
      <c r="K335" s="3">
        <f>(G335-VLOOKUP($A335,Runs!$A$2:$E$9,5,FALSE()))*1440</f>
        <v>510.86666663526557</v>
      </c>
    </row>
    <row r="336" spans="1:11" ht="15" customHeight="1" x14ac:dyDescent="0.25">
      <c r="A336" t="s">
        <v>4</v>
      </c>
      <c r="B336">
        <v>5</v>
      </c>
      <c r="C336" t="s">
        <v>214</v>
      </c>
      <c r="D336" t="s">
        <v>85</v>
      </c>
      <c r="E336" t="s">
        <v>178</v>
      </c>
      <c r="F336" s="12">
        <v>45670.25</v>
      </c>
      <c r="G336" s="12">
        <v>45670.376064814802</v>
      </c>
      <c r="H336" t="str">
        <f t="shared" si="10"/>
        <v>BOSP</v>
      </c>
      <c r="I336" t="str">
        <f t="shared" si="11"/>
        <v>BOSP</v>
      </c>
      <c r="J336" s="3">
        <f>(F336-VLOOKUP($A336,Runs!$A$2:$E$9,5,FALSE()))*1440</f>
        <v>360</v>
      </c>
      <c r="K336" s="3">
        <f>(G336-VLOOKUP($A336,Runs!$A$2:$E$9,5,FALSE()))*1440</f>
        <v>541.53333331458271</v>
      </c>
    </row>
    <row r="337" spans="1:11" ht="15" customHeight="1" x14ac:dyDescent="0.25">
      <c r="A337" t="s">
        <v>4</v>
      </c>
      <c r="B337">
        <v>2</v>
      </c>
      <c r="C337" t="s">
        <v>96</v>
      </c>
      <c r="D337" t="s">
        <v>85</v>
      </c>
      <c r="E337" t="s">
        <v>181</v>
      </c>
      <c r="F337" s="12">
        <v>45670.0625</v>
      </c>
      <c r="G337" s="12">
        <v>45670.396898148101</v>
      </c>
      <c r="H337" t="str">
        <f t="shared" si="10"/>
        <v>RT</v>
      </c>
      <c r="I337" t="str">
        <f t="shared" si="11"/>
        <v>RT</v>
      </c>
      <c r="J337" s="3">
        <f>(F337-VLOOKUP($A337,Runs!$A$2:$E$9,5,FALSE()))*1440</f>
        <v>90</v>
      </c>
      <c r="K337" s="3">
        <f>(G337-VLOOKUP($A337,Runs!$A$2:$E$9,5,FALSE()))*1440</f>
        <v>571.53333326568827</v>
      </c>
    </row>
    <row r="338" spans="1:11" ht="15" customHeight="1" x14ac:dyDescent="0.25">
      <c r="A338" t="s">
        <v>4</v>
      </c>
      <c r="B338">
        <v>5</v>
      </c>
      <c r="C338" t="s">
        <v>218</v>
      </c>
      <c r="D338" t="s">
        <v>85</v>
      </c>
      <c r="E338" t="s">
        <v>180</v>
      </c>
      <c r="F338" s="12">
        <v>45670.25</v>
      </c>
      <c r="G338" s="12">
        <v>45670.419027777803</v>
      </c>
      <c r="H338" t="str">
        <f t="shared" si="10"/>
        <v>BAT</v>
      </c>
      <c r="I338" t="str">
        <f t="shared" si="11"/>
        <v>BAT</v>
      </c>
      <c r="J338" s="3">
        <f>(F338-VLOOKUP($A338,Runs!$A$2:$E$9,5,FALSE()))*1440</f>
        <v>360</v>
      </c>
      <c r="K338" s="3">
        <f>(G338-VLOOKUP($A338,Runs!$A$2:$E$9,5,FALSE()))*1440</f>
        <v>603.40000003692694</v>
      </c>
    </row>
    <row r="339" spans="1:11" ht="15" customHeight="1" x14ac:dyDescent="0.25">
      <c r="A339" t="s">
        <v>4</v>
      </c>
      <c r="B339">
        <v>2</v>
      </c>
      <c r="C339" t="s">
        <v>187</v>
      </c>
      <c r="D339" t="s">
        <v>85</v>
      </c>
      <c r="E339" t="s">
        <v>185</v>
      </c>
      <c r="F339" s="12">
        <v>45670.0625</v>
      </c>
      <c r="G339" s="12">
        <v>45670.420092592598</v>
      </c>
      <c r="H339" t="str">
        <f t="shared" si="10"/>
        <v>FT</v>
      </c>
      <c r="I339" t="str">
        <f t="shared" si="11"/>
        <v>FT</v>
      </c>
      <c r="J339" s="3">
        <f>(F339-VLOOKUP($A339,Runs!$A$2:$E$9,5,FALSE()))*1440</f>
        <v>90</v>
      </c>
      <c r="K339" s="3">
        <f>(G339-VLOOKUP($A339,Runs!$A$2:$E$9,5,FALSE()))*1440</f>
        <v>604.93333334103227</v>
      </c>
    </row>
    <row r="340" spans="1:11" ht="15" customHeight="1" x14ac:dyDescent="0.25">
      <c r="A340" t="s">
        <v>4</v>
      </c>
      <c r="B340">
        <v>6</v>
      </c>
      <c r="C340" t="s">
        <v>133</v>
      </c>
      <c r="D340" t="s">
        <v>85</v>
      </c>
      <c r="E340" t="s">
        <v>178</v>
      </c>
      <c r="F340" s="12">
        <v>45670.3125</v>
      </c>
      <c r="G340" s="12">
        <v>45670.438564814802</v>
      </c>
      <c r="H340" t="str">
        <f t="shared" si="10"/>
        <v>BOSP</v>
      </c>
      <c r="I340" t="str">
        <f t="shared" si="11"/>
        <v>BOSP</v>
      </c>
      <c r="J340" s="3">
        <f>(F340-VLOOKUP($A340,Runs!$A$2:$E$9,5,FALSE()))*1440</f>
        <v>450</v>
      </c>
      <c r="K340" s="3">
        <f>(G340-VLOOKUP($A340,Runs!$A$2:$E$9,5,FALSE()))*1440</f>
        <v>631.53333331458271</v>
      </c>
    </row>
    <row r="341" spans="1:11" ht="15" customHeight="1" x14ac:dyDescent="0.25">
      <c r="A341" t="s">
        <v>4</v>
      </c>
      <c r="B341">
        <v>6</v>
      </c>
      <c r="C341" t="s">
        <v>134</v>
      </c>
      <c r="D341" t="s">
        <v>85</v>
      </c>
      <c r="E341" t="s">
        <v>178</v>
      </c>
      <c r="F341" s="12">
        <v>45670.3125</v>
      </c>
      <c r="G341" s="12">
        <v>45670.458935185197</v>
      </c>
      <c r="H341" t="str">
        <f t="shared" si="10"/>
        <v>BOSP</v>
      </c>
      <c r="I341" t="str">
        <f t="shared" si="11"/>
        <v>BOSP</v>
      </c>
      <c r="J341" s="3">
        <f>(F341-VLOOKUP($A341,Runs!$A$2:$E$9,5,FALSE()))*1440</f>
        <v>450</v>
      </c>
      <c r="K341" s="3">
        <f>(G341-VLOOKUP($A341,Runs!$A$2:$E$9,5,FALSE()))*1440</f>
        <v>660.86666668416001</v>
      </c>
    </row>
    <row r="342" spans="1:11" ht="15" customHeight="1" x14ac:dyDescent="0.25">
      <c r="A342" t="s">
        <v>4</v>
      </c>
      <c r="B342">
        <v>2</v>
      </c>
      <c r="C342" t="s">
        <v>188</v>
      </c>
      <c r="D342" t="s">
        <v>85</v>
      </c>
      <c r="E342" t="s">
        <v>185</v>
      </c>
      <c r="F342" s="12">
        <v>45670.0625</v>
      </c>
      <c r="G342" s="12">
        <v>45670.462314814802</v>
      </c>
      <c r="H342" t="str">
        <f t="shared" si="10"/>
        <v>FT</v>
      </c>
      <c r="I342" t="str">
        <f t="shared" si="11"/>
        <v>FT</v>
      </c>
      <c r="J342" s="3">
        <f>(F342-VLOOKUP($A342,Runs!$A$2:$E$9,5,FALSE()))*1440</f>
        <v>90</v>
      </c>
      <c r="K342" s="3">
        <f>(G342-VLOOKUP($A342,Runs!$A$2:$E$9,5,FALSE()))*1440</f>
        <v>665.7333333150018</v>
      </c>
    </row>
    <row r="343" spans="1:11" ht="15" customHeight="1" x14ac:dyDescent="0.25">
      <c r="A343" t="s">
        <v>4</v>
      </c>
      <c r="B343">
        <v>6</v>
      </c>
      <c r="C343" t="s">
        <v>221</v>
      </c>
      <c r="D343" t="s">
        <v>85</v>
      </c>
      <c r="E343" t="s">
        <v>180</v>
      </c>
      <c r="F343" s="12">
        <v>45670.3125</v>
      </c>
      <c r="G343" s="12">
        <v>45670.501898148199</v>
      </c>
      <c r="H343" t="str">
        <f t="shared" si="10"/>
        <v>BAT</v>
      </c>
      <c r="I343" t="str">
        <f t="shared" si="11"/>
        <v>BAT</v>
      </c>
      <c r="J343" s="3">
        <f>(F343-VLOOKUP($A343,Runs!$A$2:$E$9,5,FALSE()))*1440</f>
        <v>450</v>
      </c>
      <c r="K343" s="3">
        <f>(G343-VLOOKUP($A343,Runs!$A$2:$E$9,5,FALSE()))*1440</f>
        <v>722.73333340650424</v>
      </c>
    </row>
    <row r="344" spans="1:11" ht="15" customHeight="1" x14ac:dyDescent="0.25">
      <c r="A344" t="s">
        <v>4</v>
      </c>
      <c r="B344">
        <v>3</v>
      </c>
      <c r="C344" t="s">
        <v>101</v>
      </c>
      <c r="D344" t="s">
        <v>85</v>
      </c>
      <c r="E344" t="s">
        <v>181</v>
      </c>
      <c r="F344" s="12">
        <v>45670.125</v>
      </c>
      <c r="G344" s="12">
        <v>45670.502962963001</v>
      </c>
      <c r="H344" t="str">
        <f t="shared" si="10"/>
        <v>RT</v>
      </c>
      <c r="I344" t="str">
        <f t="shared" si="11"/>
        <v>RT</v>
      </c>
      <c r="J344" s="3">
        <f>(F344-VLOOKUP($A344,Runs!$A$2:$E$9,5,FALSE()))*1440</f>
        <v>180</v>
      </c>
      <c r="K344" s="3">
        <f>(G344-VLOOKUP($A344,Runs!$A$2:$E$9,5,FALSE()))*1440</f>
        <v>724.26666672108695</v>
      </c>
    </row>
    <row r="345" spans="1:11" ht="15" customHeight="1" x14ac:dyDescent="0.25">
      <c r="A345" t="s">
        <v>4</v>
      </c>
      <c r="B345">
        <v>7</v>
      </c>
      <c r="C345" t="s">
        <v>140</v>
      </c>
      <c r="D345" t="s">
        <v>85</v>
      </c>
      <c r="E345" t="s">
        <v>178</v>
      </c>
      <c r="F345" s="12">
        <v>45670.416666666701</v>
      </c>
      <c r="G345" s="12">
        <v>45670.521898148101</v>
      </c>
      <c r="H345" t="str">
        <f t="shared" si="10"/>
        <v>BOSP</v>
      </c>
      <c r="I345" t="str">
        <f t="shared" si="11"/>
        <v>BOSP</v>
      </c>
      <c r="J345" s="3">
        <f>(F345-VLOOKUP($A345,Runs!$A$2:$E$9,5,FALSE()))*1440</f>
        <v>600.00000004889444</v>
      </c>
      <c r="K345" s="3">
        <f>(G345-VLOOKUP($A345,Runs!$A$2:$E$9,5,FALSE()))*1440</f>
        <v>751.53333326568827</v>
      </c>
    </row>
    <row r="346" spans="1:11" ht="15" customHeight="1" x14ac:dyDescent="0.25">
      <c r="A346" t="s">
        <v>4</v>
      </c>
      <c r="B346">
        <v>7</v>
      </c>
      <c r="C346" t="s">
        <v>143</v>
      </c>
      <c r="D346" t="s">
        <v>85</v>
      </c>
      <c r="E346" t="s">
        <v>178</v>
      </c>
      <c r="F346" s="12">
        <v>45670.416666666701</v>
      </c>
      <c r="G346" s="12">
        <v>45670.543356481503</v>
      </c>
      <c r="H346" t="str">
        <f t="shared" si="10"/>
        <v>BOSP</v>
      </c>
      <c r="I346" t="str">
        <f t="shared" si="11"/>
        <v>BOSP</v>
      </c>
      <c r="J346" s="3">
        <f>(F346-VLOOKUP($A346,Runs!$A$2:$E$9,5,FALSE()))*1440</f>
        <v>600.00000004889444</v>
      </c>
      <c r="K346" s="3">
        <f>(G346-VLOOKUP($A346,Runs!$A$2:$E$9,5,FALSE()))*1440</f>
        <v>782.43333336431533</v>
      </c>
    </row>
    <row r="347" spans="1:11" ht="15" customHeight="1" x14ac:dyDescent="0.25">
      <c r="A347" t="s">
        <v>4</v>
      </c>
      <c r="B347">
        <v>3</v>
      </c>
      <c r="C347" t="s">
        <v>102</v>
      </c>
      <c r="D347" t="s">
        <v>85</v>
      </c>
      <c r="E347" t="s">
        <v>181</v>
      </c>
      <c r="F347" s="12">
        <v>45670.125</v>
      </c>
      <c r="G347" s="12">
        <v>45670.563564814802</v>
      </c>
      <c r="H347" t="str">
        <f t="shared" si="10"/>
        <v>RT</v>
      </c>
      <c r="I347" t="str">
        <f t="shared" si="11"/>
        <v>RT</v>
      </c>
      <c r="J347" s="3">
        <f>(F347-VLOOKUP($A347,Runs!$A$2:$E$9,5,FALSE()))*1440</f>
        <v>180</v>
      </c>
      <c r="K347" s="3">
        <f>(G347-VLOOKUP($A347,Runs!$A$2:$E$9,5,FALSE()))*1440</f>
        <v>811.53333331458271</v>
      </c>
    </row>
    <row r="348" spans="1:11" ht="15" customHeight="1" x14ac:dyDescent="0.25">
      <c r="A348" t="s">
        <v>4</v>
      </c>
      <c r="B348">
        <v>7</v>
      </c>
      <c r="C348" t="s">
        <v>222</v>
      </c>
      <c r="D348" t="s">
        <v>85</v>
      </c>
      <c r="E348" t="s">
        <v>180</v>
      </c>
      <c r="F348" s="12">
        <v>45670.416666666701</v>
      </c>
      <c r="G348" s="12">
        <v>45670.585231481498</v>
      </c>
      <c r="H348" t="str">
        <f t="shared" si="10"/>
        <v>BAT</v>
      </c>
      <c r="I348" t="str">
        <f t="shared" si="11"/>
        <v>BAT</v>
      </c>
      <c r="J348" s="3">
        <f>(F348-VLOOKUP($A348,Runs!$A$2:$E$9,5,FALSE()))*1440</f>
        <v>600.00000004889444</v>
      </c>
      <c r="K348" s="3">
        <f>(G348-VLOOKUP($A348,Runs!$A$2:$E$9,5,FALSE()))*1440</f>
        <v>842.73333335760981</v>
      </c>
    </row>
    <row r="349" spans="1:11" ht="15" customHeight="1" x14ac:dyDescent="0.25">
      <c r="A349" t="s">
        <v>4</v>
      </c>
      <c r="B349">
        <v>3</v>
      </c>
      <c r="C349" t="s">
        <v>189</v>
      </c>
      <c r="D349" t="s">
        <v>85</v>
      </c>
      <c r="E349" t="s">
        <v>185</v>
      </c>
      <c r="F349" s="12">
        <v>45670.125</v>
      </c>
      <c r="G349" s="12">
        <v>45670.5862962963</v>
      </c>
      <c r="H349" t="str">
        <f t="shared" si="10"/>
        <v>FT</v>
      </c>
      <c r="I349" t="str">
        <f t="shared" si="11"/>
        <v>FT</v>
      </c>
      <c r="J349" s="3">
        <f>(F349-VLOOKUP($A349,Runs!$A$2:$E$9,5,FALSE()))*1440</f>
        <v>180</v>
      </c>
      <c r="K349" s="3">
        <f>(G349-VLOOKUP($A349,Runs!$A$2:$E$9,5,FALSE()))*1440</f>
        <v>844.26666667219251</v>
      </c>
    </row>
    <row r="350" spans="1:11" ht="15" customHeight="1" x14ac:dyDescent="0.25">
      <c r="A350" t="s">
        <v>4</v>
      </c>
      <c r="B350">
        <v>1</v>
      </c>
      <c r="C350" t="s">
        <v>191</v>
      </c>
      <c r="D350" t="s">
        <v>85</v>
      </c>
      <c r="E350" t="s">
        <v>192</v>
      </c>
      <c r="F350" s="12">
        <v>45670</v>
      </c>
      <c r="G350" s="12">
        <v>45670.587361111102</v>
      </c>
      <c r="H350" t="str">
        <f t="shared" si="10"/>
        <v>SSA</v>
      </c>
      <c r="I350" t="str">
        <f t="shared" si="11"/>
        <v>SSA</v>
      </c>
      <c r="J350" s="3">
        <f>(F350-VLOOKUP($A350,Runs!$A$2:$E$9,5,FALSE()))*1440</f>
        <v>0</v>
      </c>
      <c r="K350" s="3">
        <f>(G350-VLOOKUP($A350,Runs!$A$2:$E$9,5,FALSE()))*1440</f>
        <v>845.79999998677522</v>
      </c>
    </row>
    <row r="351" spans="1:11" ht="15" customHeight="1" x14ac:dyDescent="0.25">
      <c r="A351" t="s">
        <v>4</v>
      </c>
      <c r="B351">
        <v>8</v>
      </c>
      <c r="C351" t="s">
        <v>150</v>
      </c>
      <c r="D351" t="s">
        <v>85</v>
      </c>
      <c r="E351" t="s">
        <v>178</v>
      </c>
      <c r="F351" s="12">
        <v>45670.4375</v>
      </c>
      <c r="G351" s="12">
        <v>45670.605231481502</v>
      </c>
      <c r="H351" t="str">
        <f t="shared" si="10"/>
        <v>BOSP</v>
      </c>
      <c r="I351" t="str">
        <f t="shared" si="11"/>
        <v>BOSP</v>
      </c>
      <c r="J351" s="3">
        <f>(F351-VLOOKUP($A351,Runs!$A$2:$E$9,5,FALSE()))*1440</f>
        <v>630</v>
      </c>
      <c r="K351" s="3">
        <f>(G351-VLOOKUP($A351,Runs!$A$2:$E$9,5,FALSE()))*1440</f>
        <v>871.53333336347714</v>
      </c>
    </row>
    <row r="352" spans="1:11" ht="15" customHeight="1" x14ac:dyDescent="0.25">
      <c r="A352" t="s">
        <v>4</v>
      </c>
      <c r="B352">
        <v>8</v>
      </c>
      <c r="C352" t="s">
        <v>152</v>
      </c>
      <c r="D352" t="s">
        <v>85</v>
      </c>
      <c r="E352" t="s">
        <v>178</v>
      </c>
      <c r="F352" s="12">
        <v>45670.4375</v>
      </c>
      <c r="G352" s="12">
        <v>45670.625601851898</v>
      </c>
      <c r="H352" t="str">
        <f t="shared" si="10"/>
        <v>BOSP</v>
      </c>
      <c r="I352" t="str">
        <f t="shared" si="11"/>
        <v>BOSP</v>
      </c>
      <c r="J352" s="3">
        <f>(F352-VLOOKUP($A352,Runs!$A$2:$E$9,5,FALSE()))*1440</f>
        <v>630</v>
      </c>
      <c r="K352" s="3">
        <f>(G352-VLOOKUP($A352,Runs!$A$2:$E$9,5,FALSE()))*1440</f>
        <v>900.86666673305444</v>
      </c>
    </row>
    <row r="353" spans="1:11" ht="15" customHeight="1" x14ac:dyDescent="0.25">
      <c r="A353" t="s">
        <v>4</v>
      </c>
      <c r="B353">
        <v>3</v>
      </c>
      <c r="C353" t="s">
        <v>190</v>
      </c>
      <c r="D353" t="s">
        <v>85</v>
      </c>
      <c r="E353" t="s">
        <v>185</v>
      </c>
      <c r="F353" s="12">
        <v>45670.125</v>
      </c>
      <c r="G353" s="12">
        <v>45670.628981481503</v>
      </c>
      <c r="H353" t="str">
        <f t="shared" si="10"/>
        <v>FT</v>
      </c>
      <c r="I353" t="str">
        <f t="shared" si="11"/>
        <v>FT</v>
      </c>
      <c r="J353" s="3">
        <f>(F353-VLOOKUP($A353,Runs!$A$2:$E$9,5,FALSE()))*1440</f>
        <v>180</v>
      </c>
      <c r="K353" s="3">
        <f>(G353-VLOOKUP($A353,Runs!$A$2:$E$9,5,FALSE()))*1440</f>
        <v>905.73333336389624</v>
      </c>
    </row>
    <row r="354" spans="1:11" ht="15" customHeight="1" x14ac:dyDescent="0.25">
      <c r="A354" t="s">
        <v>4</v>
      </c>
      <c r="B354">
        <v>1</v>
      </c>
      <c r="C354" t="s">
        <v>202</v>
      </c>
      <c r="D354" t="s">
        <v>85</v>
      </c>
      <c r="E354" t="s">
        <v>203</v>
      </c>
      <c r="F354" s="12">
        <v>45670</v>
      </c>
      <c r="G354" s="12">
        <v>45670.631342592598</v>
      </c>
      <c r="H354" t="str">
        <f t="shared" si="10"/>
        <v>CHS</v>
      </c>
      <c r="I354" t="str">
        <f t="shared" si="11"/>
        <v>CHS</v>
      </c>
      <c r="J354" s="3">
        <f>(F354-VLOOKUP($A354,Runs!$A$2:$E$9,5,FALSE()))*1440</f>
        <v>0</v>
      </c>
      <c r="K354" s="3">
        <f>(G354-VLOOKUP($A354,Runs!$A$2:$E$9,5,FALSE()))*1440</f>
        <v>909.13333334145136</v>
      </c>
    </row>
    <row r="355" spans="1:11" ht="15" customHeight="1" x14ac:dyDescent="0.25">
      <c r="A355" t="s">
        <v>4</v>
      </c>
      <c r="B355">
        <v>1</v>
      </c>
      <c r="C355" t="s">
        <v>194</v>
      </c>
      <c r="D355" t="s">
        <v>85</v>
      </c>
      <c r="E355" t="s">
        <v>192</v>
      </c>
      <c r="F355" s="12">
        <v>45670</v>
      </c>
      <c r="G355" s="12">
        <v>45670.6324074074</v>
      </c>
      <c r="H355" t="str">
        <f t="shared" si="10"/>
        <v>SSA</v>
      </c>
      <c r="I355" t="str">
        <f t="shared" si="11"/>
        <v>SSA</v>
      </c>
      <c r="J355" s="3">
        <f>(F355-VLOOKUP($A355,Runs!$A$2:$E$9,5,FALSE()))*1440</f>
        <v>0</v>
      </c>
      <c r="K355" s="3">
        <f>(G355-VLOOKUP($A355,Runs!$A$2:$E$9,5,FALSE()))*1440</f>
        <v>910.66666665603407</v>
      </c>
    </row>
    <row r="356" spans="1:11" ht="15" customHeight="1" x14ac:dyDescent="0.25">
      <c r="A356" t="s">
        <v>4</v>
      </c>
      <c r="B356">
        <v>8</v>
      </c>
      <c r="C356" t="s">
        <v>156</v>
      </c>
      <c r="D356" t="s">
        <v>85</v>
      </c>
      <c r="E356" t="s">
        <v>180</v>
      </c>
      <c r="F356" s="12">
        <v>45670.4375</v>
      </c>
      <c r="G356" s="12">
        <v>45670.648194444497</v>
      </c>
      <c r="H356" t="str">
        <f t="shared" si="10"/>
        <v>BAT</v>
      </c>
      <c r="I356" t="str">
        <f t="shared" si="11"/>
        <v>BAT</v>
      </c>
      <c r="J356" s="3">
        <f>(F356-VLOOKUP($A356,Runs!$A$2:$E$9,5,FALSE()))*1440</f>
        <v>630</v>
      </c>
      <c r="K356" s="3">
        <f>(G356-VLOOKUP($A356,Runs!$A$2:$E$9,5,FALSE()))*1440</f>
        <v>933.400000075344</v>
      </c>
    </row>
    <row r="357" spans="1:11" ht="15" customHeight="1" x14ac:dyDescent="0.25">
      <c r="A357" t="s">
        <v>4</v>
      </c>
      <c r="B357">
        <v>1</v>
      </c>
      <c r="C357" t="s">
        <v>196</v>
      </c>
      <c r="D357" t="s">
        <v>85</v>
      </c>
      <c r="E357" t="s">
        <v>197</v>
      </c>
      <c r="F357" s="12">
        <v>45670</v>
      </c>
      <c r="G357" s="12">
        <v>45670.649259259299</v>
      </c>
      <c r="H357" t="str">
        <f t="shared" si="10"/>
        <v>FAX</v>
      </c>
      <c r="I357" t="str">
        <f t="shared" si="11"/>
        <v>FAX</v>
      </c>
      <c r="J357" s="3">
        <f>(F357-VLOOKUP($A357,Runs!$A$2:$E$9,5,FALSE()))*1440</f>
        <v>0</v>
      </c>
      <c r="K357" s="3">
        <f>(G357-VLOOKUP($A357,Runs!$A$2:$E$9,5,FALSE()))*1440</f>
        <v>934.9333333899267</v>
      </c>
    </row>
    <row r="358" spans="1:11" ht="15" customHeight="1" x14ac:dyDescent="0.25">
      <c r="A358" t="s">
        <v>4</v>
      </c>
      <c r="B358">
        <v>9</v>
      </c>
      <c r="C358" t="s">
        <v>165</v>
      </c>
      <c r="D358" t="s">
        <v>85</v>
      </c>
      <c r="E358" t="s">
        <v>178</v>
      </c>
      <c r="F358" s="12">
        <v>45670.541666666701</v>
      </c>
      <c r="G358" s="12">
        <v>45670.667731481502</v>
      </c>
      <c r="H358" t="str">
        <f t="shared" si="10"/>
        <v>BOSP</v>
      </c>
      <c r="I358" t="str">
        <f t="shared" si="11"/>
        <v>BOSP</v>
      </c>
      <c r="J358" s="3">
        <f>(F358-VLOOKUP($A358,Runs!$A$2:$E$9,5,FALSE()))*1440</f>
        <v>780.00000004889444</v>
      </c>
      <c r="K358" s="3">
        <f>(G358-VLOOKUP($A358,Runs!$A$2:$E$9,5,FALSE()))*1440</f>
        <v>961.53333336347714</v>
      </c>
    </row>
    <row r="359" spans="1:11" ht="15" customHeight="1" x14ac:dyDescent="0.25">
      <c r="A359" t="s">
        <v>4</v>
      </c>
      <c r="B359">
        <v>9</v>
      </c>
      <c r="C359" t="s">
        <v>166</v>
      </c>
      <c r="D359" t="s">
        <v>85</v>
      </c>
      <c r="E359" t="s">
        <v>178</v>
      </c>
      <c r="F359" s="12">
        <v>45670.541666666701</v>
      </c>
      <c r="G359" s="12">
        <v>45670.688564814802</v>
      </c>
      <c r="H359" t="str">
        <f t="shared" si="10"/>
        <v>BOSP</v>
      </c>
      <c r="I359" t="str">
        <f t="shared" si="11"/>
        <v>BOSP</v>
      </c>
      <c r="J359" s="3">
        <f>(F359-VLOOKUP($A359,Runs!$A$2:$E$9,5,FALSE()))*1440</f>
        <v>780.00000004889444</v>
      </c>
      <c r="K359" s="3">
        <f>(G359-VLOOKUP($A359,Runs!$A$2:$E$9,5,FALSE()))*1440</f>
        <v>991.53333331458271</v>
      </c>
    </row>
    <row r="360" spans="1:11" ht="15" customHeight="1" x14ac:dyDescent="0.25">
      <c r="A360" t="s">
        <v>4</v>
      </c>
      <c r="B360">
        <v>4</v>
      </c>
      <c r="C360" t="s">
        <v>117</v>
      </c>
      <c r="D360" t="s">
        <v>85</v>
      </c>
      <c r="E360" t="s">
        <v>181</v>
      </c>
      <c r="F360" s="12">
        <v>45670.1875</v>
      </c>
      <c r="G360" s="12">
        <v>45670.689629629604</v>
      </c>
      <c r="H360" t="str">
        <f t="shared" si="10"/>
        <v>RT</v>
      </c>
      <c r="I360" t="str">
        <f t="shared" si="11"/>
        <v>RT</v>
      </c>
      <c r="J360" s="3">
        <f>(F360-VLOOKUP($A360,Runs!$A$2:$E$9,5,FALSE()))*1440</f>
        <v>270</v>
      </c>
      <c r="K360" s="3">
        <f>(G360-VLOOKUP($A360,Runs!$A$2:$E$9,5,FALSE()))*1440</f>
        <v>993.06666662916541</v>
      </c>
    </row>
    <row r="361" spans="1:11" ht="15" customHeight="1" x14ac:dyDescent="0.25">
      <c r="A361" t="s">
        <v>4</v>
      </c>
      <c r="B361">
        <v>1</v>
      </c>
      <c r="C361" t="s">
        <v>99</v>
      </c>
      <c r="D361" t="s">
        <v>85</v>
      </c>
      <c r="E361" t="s">
        <v>206</v>
      </c>
      <c r="F361" s="12">
        <v>45670</v>
      </c>
      <c r="G361" s="12">
        <v>45670.690694444398</v>
      </c>
      <c r="H361" t="str">
        <f t="shared" si="10"/>
        <v>BSA</v>
      </c>
      <c r="I361" t="str">
        <f t="shared" si="11"/>
        <v>BSA</v>
      </c>
      <c r="J361" s="3">
        <f>(F361-VLOOKUP($A361,Runs!$A$2:$E$9,5,FALSE()))*1440</f>
        <v>0</v>
      </c>
      <c r="K361" s="3">
        <f>(G361-VLOOKUP($A361,Runs!$A$2:$E$9,5,FALSE()))*1440</f>
        <v>994.59999993327074</v>
      </c>
    </row>
    <row r="362" spans="1:11" ht="15" customHeight="1" x14ac:dyDescent="0.25">
      <c r="A362" t="s">
        <v>4</v>
      </c>
      <c r="B362">
        <v>9</v>
      </c>
      <c r="C362" t="s">
        <v>246</v>
      </c>
      <c r="D362" t="s">
        <v>85</v>
      </c>
      <c r="E362" t="s">
        <v>180</v>
      </c>
      <c r="F362" s="12">
        <v>45670.541666666701</v>
      </c>
      <c r="G362" s="12">
        <v>45670.731527777803</v>
      </c>
      <c r="H362" t="str">
        <f t="shared" si="10"/>
        <v>BAT</v>
      </c>
      <c r="I362" t="str">
        <f t="shared" si="11"/>
        <v>BAT</v>
      </c>
      <c r="J362" s="3">
        <f>(F362-VLOOKUP($A362,Runs!$A$2:$E$9,5,FALSE()))*1440</f>
        <v>780.00000004889444</v>
      </c>
      <c r="K362" s="3">
        <f>(G362-VLOOKUP($A362,Runs!$A$2:$E$9,5,FALSE()))*1440</f>
        <v>1053.4000000369269</v>
      </c>
    </row>
    <row r="363" spans="1:11" ht="15" customHeight="1" x14ac:dyDescent="0.25">
      <c r="A363" t="s">
        <v>4</v>
      </c>
      <c r="B363">
        <v>4</v>
      </c>
      <c r="C363" t="s">
        <v>119</v>
      </c>
      <c r="D363" t="s">
        <v>85</v>
      </c>
      <c r="E363" t="s">
        <v>181</v>
      </c>
      <c r="F363" s="12">
        <v>45670.1875</v>
      </c>
      <c r="G363" s="12">
        <v>45670.732592592598</v>
      </c>
      <c r="H363" t="str">
        <f t="shared" si="10"/>
        <v>RT</v>
      </c>
      <c r="I363" t="str">
        <f t="shared" si="11"/>
        <v>RT</v>
      </c>
      <c r="J363" s="3">
        <f>(F363-VLOOKUP($A363,Runs!$A$2:$E$9,5,FALSE()))*1440</f>
        <v>270</v>
      </c>
      <c r="K363" s="3">
        <f>(G363-VLOOKUP($A363,Runs!$A$2:$E$9,5,FALSE()))*1440</f>
        <v>1054.9333333410323</v>
      </c>
    </row>
    <row r="364" spans="1:11" ht="15" customHeight="1" x14ac:dyDescent="0.25">
      <c r="A364" t="s">
        <v>4</v>
      </c>
      <c r="B364">
        <v>1</v>
      </c>
      <c r="C364" t="s">
        <v>104</v>
      </c>
      <c r="D364" t="s">
        <v>85</v>
      </c>
      <c r="E364" t="s">
        <v>206</v>
      </c>
      <c r="F364" s="12">
        <v>45670</v>
      </c>
      <c r="G364" s="12">
        <v>45670.737407407403</v>
      </c>
      <c r="H364" t="str">
        <f t="shared" si="10"/>
        <v>BSA</v>
      </c>
      <c r="I364" t="str">
        <f t="shared" si="11"/>
        <v>BSA</v>
      </c>
      <c r="J364" s="3">
        <f>(F364-VLOOKUP($A364,Runs!$A$2:$E$9,5,FALSE()))*1440</f>
        <v>0</v>
      </c>
      <c r="K364" s="3">
        <f>(G364-VLOOKUP($A364,Runs!$A$2:$E$9,5,FALSE()))*1440</f>
        <v>1061.8666666606441</v>
      </c>
    </row>
    <row r="365" spans="1:11" ht="15" customHeight="1" x14ac:dyDescent="0.25">
      <c r="A365" t="s">
        <v>4</v>
      </c>
      <c r="B365">
        <v>10</v>
      </c>
      <c r="C365" t="s">
        <v>243</v>
      </c>
      <c r="D365" t="s">
        <v>85</v>
      </c>
      <c r="E365" t="s">
        <v>178</v>
      </c>
      <c r="F365" s="12">
        <v>45670.583333333299</v>
      </c>
      <c r="G365" s="12">
        <v>45670.751064814802</v>
      </c>
      <c r="H365" t="str">
        <f t="shared" si="10"/>
        <v>BOSP</v>
      </c>
      <c r="I365" t="str">
        <f t="shared" si="11"/>
        <v>BOSP</v>
      </c>
      <c r="J365" s="3">
        <f>(F365-VLOOKUP($A365,Runs!$A$2:$E$9,5,FALSE()))*1440</f>
        <v>839.99999995110556</v>
      </c>
      <c r="K365" s="3">
        <f>(G365-VLOOKUP($A365,Runs!$A$2:$E$9,5,FALSE()))*1440</f>
        <v>1081.5333333145827</v>
      </c>
    </row>
    <row r="366" spans="1:11" ht="15" customHeight="1" x14ac:dyDescent="0.25">
      <c r="A366" t="s">
        <v>4</v>
      </c>
      <c r="B366">
        <v>1</v>
      </c>
      <c r="C366" t="s">
        <v>210</v>
      </c>
      <c r="D366" t="s">
        <v>85</v>
      </c>
      <c r="E366" t="s">
        <v>211</v>
      </c>
      <c r="F366" s="12">
        <v>45670</v>
      </c>
      <c r="G366" s="12">
        <v>45670.752129629604</v>
      </c>
      <c r="H366" t="str">
        <f t="shared" si="10"/>
        <v>RAX_HD</v>
      </c>
      <c r="I366" t="str">
        <f t="shared" si="11"/>
        <v>RAX_HD</v>
      </c>
      <c r="J366" s="3">
        <f>(F366-VLOOKUP($A366,Runs!$A$2:$E$9,5,FALSE()))*1440</f>
        <v>0</v>
      </c>
      <c r="K366" s="3">
        <f>(G366-VLOOKUP($A366,Runs!$A$2:$E$9,5,FALSE()))*1440</f>
        <v>1083.0666666291654</v>
      </c>
    </row>
    <row r="367" spans="1:11" ht="15" customHeight="1" x14ac:dyDescent="0.25">
      <c r="A367" t="s">
        <v>4</v>
      </c>
      <c r="B367">
        <v>10</v>
      </c>
      <c r="C367" t="s">
        <v>247</v>
      </c>
      <c r="D367" t="s">
        <v>85</v>
      </c>
      <c r="E367" t="s">
        <v>178</v>
      </c>
      <c r="F367" s="12">
        <v>45670.583333333299</v>
      </c>
      <c r="G367" s="12">
        <v>45670.771898148101</v>
      </c>
      <c r="H367" t="str">
        <f t="shared" si="10"/>
        <v>BOSP</v>
      </c>
      <c r="I367" t="str">
        <f t="shared" si="11"/>
        <v>BOSP</v>
      </c>
      <c r="J367" s="3">
        <f>(F367-VLOOKUP($A367,Runs!$A$2:$E$9,5,FALSE()))*1440</f>
        <v>839.99999995110556</v>
      </c>
      <c r="K367" s="3">
        <f>(G367-VLOOKUP($A367,Runs!$A$2:$E$9,5,FALSE()))*1440</f>
        <v>1111.5333332656883</v>
      </c>
    </row>
    <row r="368" spans="1:11" ht="15" customHeight="1" x14ac:dyDescent="0.25">
      <c r="A368" t="s">
        <v>4</v>
      </c>
      <c r="B368">
        <v>4</v>
      </c>
      <c r="C368" t="s">
        <v>120</v>
      </c>
      <c r="D368" t="s">
        <v>85</v>
      </c>
      <c r="E368" t="s">
        <v>185</v>
      </c>
      <c r="F368" s="12">
        <v>45670.1875</v>
      </c>
      <c r="G368" s="12">
        <v>45670.772962962998</v>
      </c>
      <c r="H368" t="str">
        <f t="shared" si="10"/>
        <v>FT</v>
      </c>
      <c r="I368" t="str">
        <f t="shared" si="11"/>
        <v>FT</v>
      </c>
      <c r="J368" s="3">
        <f>(F368-VLOOKUP($A368,Runs!$A$2:$E$9,5,FALSE()))*1440</f>
        <v>270</v>
      </c>
      <c r="K368" s="3">
        <f>(G368-VLOOKUP($A368,Runs!$A$2:$E$9,5,FALSE()))*1440</f>
        <v>1113.0666667164769</v>
      </c>
    </row>
    <row r="369" spans="1:11" ht="15" customHeight="1" x14ac:dyDescent="0.25">
      <c r="A369" t="s">
        <v>4</v>
      </c>
      <c r="B369">
        <v>4</v>
      </c>
      <c r="C369" t="s">
        <v>124</v>
      </c>
      <c r="D369" t="s">
        <v>85</v>
      </c>
      <c r="E369" t="s">
        <v>185</v>
      </c>
      <c r="F369" s="12">
        <v>45670.1875</v>
      </c>
      <c r="G369" s="12">
        <v>45670.795046296298</v>
      </c>
      <c r="H369" t="str">
        <f t="shared" si="10"/>
        <v>FT</v>
      </c>
      <c r="I369" t="str">
        <f t="shared" si="11"/>
        <v>FT</v>
      </c>
      <c r="J369" s="3">
        <f>(F369-VLOOKUP($A369,Runs!$A$2:$E$9,5,FALSE()))*1440</f>
        <v>270</v>
      </c>
      <c r="K369" s="3">
        <f>(G369-VLOOKUP($A369,Runs!$A$2:$E$9,5,FALSE()))*1440</f>
        <v>1144.8666666692588</v>
      </c>
    </row>
    <row r="370" spans="1:11" ht="15" customHeight="1" x14ac:dyDescent="0.25">
      <c r="A370" t="s">
        <v>4</v>
      </c>
      <c r="B370">
        <v>2</v>
      </c>
      <c r="C370" t="s">
        <v>193</v>
      </c>
      <c r="D370" t="s">
        <v>85</v>
      </c>
      <c r="E370" t="s">
        <v>192</v>
      </c>
      <c r="F370" s="12">
        <v>45670.0625</v>
      </c>
      <c r="G370" s="12">
        <v>45670.7961111111</v>
      </c>
      <c r="H370" t="str">
        <f t="shared" si="10"/>
        <v>SSA</v>
      </c>
      <c r="I370" t="str">
        <f t="shared" si="11"/>
        <v>SSA</v>
      </c>
      <c r="J370" s="3">
        <f>(F370-VLOOKUP($A370,Runs!$A$2:$E$9,5,FALSE()))*1440</f>
        <v>90</v>
      </c>
      <c r="K370" s="3">
        <f>(G370-VLOOKUP($A370,Runs!$A$2:$E$9,5,FALSE()))*1440</f>
        <v>1146.3999999838416</v>
      </c>
    </row>
    <row r="371" spans="1:11" ht="15" customHeight="1" x14ac:dyDescent="0.25">
      <c r="A371" t="s">
        <v>4</v>
      </c>
      <c r="B371">
        <v>10</v>
      </c>
      <c r="C371" t="s">
        <v>248</v>
      </c>
      <c r="D371" t="s">
        <v>85</v>
      </c>
      <c r="E371" t="s">
        <v>180</v>
      </c>
      <c r="F371" s="12">
        <v>45670.583333333299</v>
      </c>
      <c r="G371" s="12">
        <v>45670.814861111103</v>
      </c>
      <c r="H371" t="str">
        <f t="shared" si="10"/>
        <v>BAT</v>
      </c>
      <c r="I371" t="str">
        <f t="shared" si="11"/>
        <v>BAT</v>
      </c>
      <c r="J371" s="3">
        <f>(F371-VLOOKUP($A371,Runs!$A$2:$E$9,5,FALSE()))*1440</f>
        <v>839.99999995110556</v>
      </c>
      <c r="K371" s="3">
        <f>(G371-VLOOKUP($A371,Runs!$A$2:$E$9,5,FALSE()))*1440</f>
        <v>1173.3999999880325</v>
      </c>
    </row>
    <row r="372" spans="1:11" ht="15" customHeight="1" x14ac:dyDescent="0.25">
      <c r="A372" t="s">
        <v>4</v>
      </c>
      <c r="B372">
        <v>2</v>
      </c>
      <c r="C372" t="s">
        <v>207</v>
      </c>
      <c r="D372" t="s">
        <v>85</v>
      </c>
      <c r="E372" t="s">
        <v>203</v>
      </c>
      <c r="F372" s="12">
        <v>45670.0625</v>
      </c>
      <c r="G372" s="12">
        <v>45670.835694444497</v>
      </c>
      <c r="H372" t="str">
        <f t="shared" si="10"/>
        <v>CHS</v>
      </c>
      <c r="I372" t="str">
        <f t="shared" si="11"/>
        <v>CHS</v>
      </c>
      <c r="J372" s="3">
        <f>(F372-VLOOKUP($A372,Runs!$A$2:$E$9,5,FALSE()))*1440</f>
        <v>90</v>
      </c>
      <c r="K372" s="3">
        <f>(G372-VLOOKUP($A372,Runs!$A$2:$E$9,5,FALSE()))*1440</f>
        <v>1203.400000075344</v>
      </c>
    </row>
    <row r="373" spans="1:11" ht="15" customHeight="1" x14ac:dyDescent="0.25">
      <c r="A373" t="s">
        <v>4</v>
      </c>
      <c r="B373">
        <v>2</v>
      </c>
      <c r="C373" t="s">
        <v>198</v>
      </c>
      <c r="D373" t="s">
        <v>85</v>
      </c>
      <c r="E373" t="s">
        <v>192</v>
      </c>
      <c r="F373" s="12">
        <v>45670.0625</v>
      </c>
      <c r="G373" s="12">
        <v>45670.836759259299</v>
      </c>
      <c r="H373" t="str">
        <f t="shared" si="10"/>
        <v>SSA</v>
      </c>
      <c r="I373" t="str">
        <f t="shared" si="11"/>
        <v>SSA</v>
      </c>
      <c r="J373" s="3">
        <f>(F373-VLOOKUP($A373,Runs!$A$2:$E$9,5,FALSE()))*1440</f>
        <v>90</v>
      </c>
      <c r="K373" s="3">
        <f>(G373-VLOOKUP($A373,Runs!$A$2:$E$9,5,FALSE()))*1440</f>
        <v>1204.9333333899267</v>
      </c>
    </row>
    <row r="374" spans="1:11" ht="15" customHeight="1" x14ac:dyDescent="0.25">
      <c r="A374" t="s">
        <v>4</v>
      </c>
      <c r="B374">
        <v>5</v>
      </c>
      <c r="C374" t="s">
        <v>127</v>
      </c>
      <c r="D374" t="s">
        <v>85</v>
      </c>
      <c r="E374" t="s">
        <v>181</v>
      </c>
      <c r="F374" s="12">
        <v>45670.25</v>
      </c>
      <c r="G374" s="12">
        <v>45670.855231481502</v>
      </c>
      <c r="H374" t="str">
        <f t="shared" si="10"/>
        <v>RT</v>
      </c>
      <c r="I374" t="str">
        <f t="shared" si="11"/>
        <v>RT</v>
      </c>
      <c r="J374" s="3">
        <f>(F374-VLOOKUP($A374,Runs!$A$2:$E$9,5,FALSE()))*1440</f>
        <v>360</v>
      </c>
      <c r="K374" s="3">
        <f>(G374-VLOOKUP($A374,Runs!$A$2:$E$9,5,FALSE()))*1440</f>
        <v>1231.5333333634771</v>
      </c>
    </row>
    <row r="375" spans="1:11" ht="15" customHeight="1" x14ac:dyDescent="0.25">
      <c r="A375" t="s">
        <v>4</v>
      </c>
      <c r="B375">
        <v>2</v>
      </c>
      <c r="C375" t="s">
        <v>200</v>
      </c>
      <c r="D375" t="s">
        <v>85</v>
      </c>
      <c r="E375" t="s">
        <v>197</v>
      </c>
      <c r="F375" s="12">
        <v>45670.0625</v>
      </c>
      <c r="G375" s="12">
        <v>45670.856296296297</v>
      </c>
      <c r="H375" t="str">
        <f t="shared" si="10"/>
        <v>FAX</v>
      </c>
      <c r="I375" t="str">
        <f t="shared" si="11"/>
        <v>FAX</v>
      </c>
      <c r="J375" s="3">
        <f>(F375-VLOOKUP($A375,Runs!$A$2:$E$9,5,FALSE()))*1440</f>
        <v>90</v>
      </c>
      <c r="K375" s="3">
        <f>(G375-VLOOKUP($A375,Runs!$A$2:$E$9,5,FALSE()))*1440</f>
        <v>1233.0666666675825</v>
      </c>
    </row>
    <row r="376" spans="1:11" ht="15" customHeight="1" x14ac:dyDescent="0.25">
      <c r="A376" t="s">
        <v>4</v>
      </c>
      <c r="B376">
        <v>2</v>
      </c>
      <c r="C376" t="s">
        <v>110</v>
      </c>
      <c r="D376" t="s">
        <v>85</v>
      </c>
      <c r="E376" t="s">
        <v>206</v>
      </c>
      <c r="F376" s="12">
        <v>45670.0625</v>
      </c>
      <c r="G376" s="12">
        <v>45670.876064814802</v>
      </c>
      <c r="H376" t="str">
        <f t="shared" si="10"/>
        <v>BSA</v>
      </c>
      <c r="I376" t="str">
        <f t="shared" si="11"/>
        <v>BSA</v>
      </c>
      <c r="J376" s="3">
        <f>(F376-VLOOKUP($A376,Runs!$A$2:$E$9,5,FALSE()))*1440</f>
        <v>90</v>
      </c>
      <c r="K376" s="3">
        <f>(G376-VLOOKUP($A376,Runs!$A$2:$E$9,5,FALSE()))*1440</f>
        <v>1261.5333333145827</v>
      </c>
    </row>
    <row r="377" spans="1:11" ht="15" customHeight="1" x14ac:dyDescent="0.25">
      <c r="A377" t="s">
        <v>4</v>
      </c>
      <c r="B377">
        <v>5</v>
      </c>
      <c r="C377" t="s">
        <v>129</v>
      </c>
      <c r="D377" t="s">
        <v>85</v>
      </c>
      <c r="E377" t="s">
        <v>181</v>
      </c>
      <c r="F377" s="12">
        <v>45670.25</v>
      </c>
      <c r="G377" s="12">
        <v>45670.896898148101</v>
      </c>
      <c r="H377" t="str">
        <f t="shared" si="10"/>
        <v>RT</v>
      </c>
      <c r="I377" t="str">
        <f t="shared" si="11"/>
        <v>RT</v>
      </c>
      <c r="J377" s="3">
        <f>(F377-VLOOKUP($A377,Runs!$A$2:$E$9,5,FALSE()))*1440</f>
        <v>360</v>
      </c>
      <c r="K377" s="3">
        <f>(G377-VLOOKUP($A377,Runs!$A$2:$E$9,5,FALSE()))*1440</f>
        <v>1291.5333332656883</v>
      </c>
    </row>
    <row r="378" spans="1:11" ht="15" customHeight="1" x14ac:dyDescent="0.25">
      <c r="A378" t="s">
        <v>4</v>
      </c>
      <c r="B378">
        <v>2</v>
      </c>
      <c r="C378" t="s">
        <v>112</v>
      </c>
      <c r="D378" t="s">
        <v>85</v>
      </c>
      <c r="E378" t="s">
        <v>206</v>
      </c>
      <c r="F378" s="12">
        <v>45670.0625</v>
      </c>
      <c r="G378" s="12">
        <v>45670.917731481502</v>
      </c>
      <c r="H378" t="str">
        <f t="shared" si="10"/>
        <v>BSA</v>
      </c>
      <c r="I378" t="str">
        <f t="shared" si="11"/>
        <v>BSA</v>
      </c>
      <c r="J378" s="3">
        <f>(F378-VLOOKUP($A378,Runs!$A$2:$E$9,5,FALSE()))*1440</f>
        <v>90</v>
      </c>
      <c r="K378" s="3">
        <f>(G378-VLOOKUP($A378,Runs!$A$2:$E$9,5,FALSE()))*1440</f>
        <v>1321.5333333634771</v>
      </c>
    </row>
    <row r="379" spans="1:11" ht="15" customHeight="1" x14ac:dyDescent="0.25">
      <c r="A379" t="s">
        <v>4</v>
      </c>
      <c r="B379">
        <v>5</v>
      </c>
      <c r="C379" t="s">
        <v>130</v>
      </c>
      <c r="D379" t="s">
        <v>85</v>
      </c>
      <c r="E379" t="s">
        <v>185</v>
      </c>
      <c r="F379" s="12">
        <v>45670.25</v>
      </c>
      <c r="G379" s="12">
        <v>45670.938564814802</v>
      </c>
      <c r="H379" t="str">
        <f t="shared" si="10"/>
        <v>FT</v>
      </c>
      <c r="I379" t="str">
        <f t="shared" si="11"/>
        <v>FT</v>
      </c>
      <c r="J379" s="3">
        <f>(F379-VLOOKUP($A379,Runs!$A$2:$E$9,5,FALSE()))*1440</f>
        <v>360</v>
      </c>
      <c r="K379" s="3">
        <f>(G379-VLOOKUP($A379,Runs!$A$2:$E$9,5,FALSE()))*1440</f>
        <v>1351.5333333145827</v>
      </c>
    </row>
    <row r="380" spans="1:11" ht="15" customHeight="1" x14ac:dyDescent="0.25">
      <c r="A380" t="s">
        <v>4</v>
      </c>
      <c r="B380">
        <v>2</v>
      </c>
      <c r="C380" t="s">
        <v>215</v>
      </c>
      <c r="D380" t="s">
        <v>85</v>
      </c>
      <c r="E380" t="s">
        <v>211</v>
      </c>
      <c r="F380" s="12">
        <v>45670.0625</v>
      </c>
      <c r="G380" s="12">
        <v>45670.9433796296</v>
      </c>
      <c r="H380" t="str">
        <f t="shared" si="10"/>
        <v>RAX_HD</v>
      </c>
      <c r="I380" t="str">
        <f t="shared" si="11"/>
        <v>RAX_HD</v>
      </c>
      <c r="J380" s="3">
        <f>(F380-VLOOKUP($A380,Runs!$A$2:$E$9,5,FALSE()))*1440</f>
        <v>90</v>
      </c>
      <c r="K380" s="3">
        <f>(G380-VLOOKUP($A380,Runs!$A$2:$E$9,5,FALSE()))*1440</f>
        <v>1358.4666666237172</v>
      </c>
    </row>
    <row r="381" spans="1:11" ht="15" customHeight="1" x14ac:dyDescent="0.25">
      <c r="A381" t="s">
        <v>4</v>
      </c>
      <c r="B381">
        <v>5</v>
      </c>
      <c r="C381" t="s">
        <v>132</v>
      </c>
      <c r="D381" t="s">
        <v>85</v>
      </c>
      <c r="E381" t="s">
        <v>185</v>
      </c>
      <c r="F381" s="12">
        <v>45670.25</v>
      </c>
      <c r="G381" s="12">
        <v>45670.961712962999</v>
      </c>
      <c r="H381" t="str">
        <f t="shared" si="10"/>
        <v>FT</v>
      </c>
      <c r="I381" t="str">
        <f t="shared" si="11"/>
        <v>FT</v>
      </c>
      <c r="J381" s="3">
        <f>(F381-VLOOKUP($A381,Runs!$A$2:$E$9,5,FALSE()))*1440</f>
        <v>360</v>
      </c>
      <c r="K381" s="3">
        <f>(G381-VLOOKUP($A381,Runs!$A$2:$E$9,5,FALSE()))*1440</f>
        <v>1384.8666667181533</v>
      </c>
    </row>
    <row r="382" spans="1:11" ht="15" customHeight="1" x14ac:dyDescent="0.25">
      <c r="A382" t="s">
        <v>4</v>
      </c>
      <c r="B382">
        <v>3</v>
      </c>
      <c r="C382" t="s">
        <v>195</v>
      </c>
      <c r="D382" t="s">
        <v>85</v>
      </c>
      <c r="E382" t="s">
        <v>192</v>
      </c>
      <c r="F382" s="12">
        <v>45670.125</v>
      </c>
      <c r="G382" s="12">
        <v>45671.001064814802</v>
      </c>
      <c r="H382" t="str">
        <f t="shared" si="10"/>
        <v>SSA</v>
      </c>
      <c r="I382" t="str">
        <f t="shared" si="11"/>
        <v>SSA</v>
      </c>
      <c r="J382" s="3">
        <f>(F382-VLOOKUP($A382,Runs!$A$2:$E$9,5,FALSE()))*1440</f>
        <v>180</v>
      </c>
      <c r="K382" s="3">
        <f>(G382-VLOOKUP($A382,Runs!$A$2:$E$9,5,FALSE()))*1440</f>
        <v>1441.5333333145827</v>
      </c>
    </row>
    <row r="383" spans="1:11" ht="15" customHeight="1" x14ac:dyDescent="0.25">
      <c r="A383" t="s">
        <v>4</v>
      </c>
      <c r="B383">
        <v>6</v>
      </c>
      <c r="C383" t="s">
        <v>137</v>
      </c>
      <c r="D383" t="s">
        <v>85</v>
      </c>
      <c r="E383" t="s">
        <v>181</v>
      </c>
      <c r="F383" s="12">
        <v>45670.3125</v>
      </c>
      <c r="G383" s="12">
        <v>45671.021898148101</v>
      </c>
      <c r="H383" t="str">
        <f t="shared" si="10"/>
        <v>RT</v>
      </c>
      <c r="I383" t="str">
        <f t="shared" si="11"/>
        <v>RT</v>
      </c>
      <c r="J383" s="3">
        <f>(F383-VLOOKUP($A383,Runs!$A$2:$E$9,5,FALSE()))*1440</f>
        <v>450</v>
      </c>
      <c r="K383" s="3">
        <f>(G383-VLOOKUP($A383,Runs!$A$2:$E$9,5,FALSE()))*1440</f>
        <v>1471.5333332656883</v>
      </c>
    </row>
    <row r="384" spans="1:11" ht="15" customHeight="1" x14ac:dyDescent="0.25">
      <c r="A384" t="s">
        <v>4</v>
      </c>
      <c r="B384">
        <v>3</v>
      </c>
      <c r="C384" t="s">
        <v>209</v>
      </c>
      <c r="D384" t="s">
        <v>85</v>
      </c>
      <c r="E384" t="s">
        <v>203</v>
      </c>
      <c r="F384" s="12">
        <v>45670.125</v>
      </c>
      <c r="G384" s="12">
        <v>45671.044027777803</v>
      </c>
      <c r="H384" t="str">
        <f t="shared" si="10"/>
        <v>CHS</v>
      </c>
      <c r="I384" t="str">
        <f t="shared" si="11"/>
        <v>CHS</v>
      </c>
      <c r="J384" s="3">
        <f>(F384-VLOOKUP($A384,Runs!$A$2:$E$9,5,FALSE()))*1440</f>
        <v>180</v>
      </c>
      <c r="K384" s="3">
        <f>(G384-VLOOKUP($A384,Runs!$A$2:$E$9,5,FALSE()))*1440</f>
        <v>1503.4000000369269</v>
      </c>
    </row>
    <row r="385" spans="1:11" ht="15" customHeight="1" x14ac:dyDescent="0.25">
      <c r="A385" t="s">
        <v>4</v>
      </c>
      <c r="B385">
        <v>3</v>
      </c>
      <c r="C385" t="s">
        <v>201</v>
      </c>
      <c r="D385" t="s">
        <v>85</v>
      </c>
      <c r="E385" t="s">
        <v>192</v>
      </c>
      <c r="F385" s="12">
        <v>45670.125</v>
      </c>
      <c r="G385" s="12">
        <v>45671.045092592598</v>
      </c>
      <c r="H385" t="str">
        <f t="shared" si="10"/>
        <v>SSA</v>
      </c>
      <c r="I385" t="str">
        <f t="shared" si="11"/>
        <v>SSA</v>
      </c>
      <c r="J385" s="3">
        <f>(F385-VLOOKUP($A385,Runs!$A$2:$E$9,5,FALSE()))*1440</f>
        <v>180</v>
      </c>
      <c r="K385" s="3">
        <f>(G385-VLOOKUP($A385,Runs!$A$2:$E$9,5,FALSE()))*1440</f>
        <v>1504.9333333410323</v>
      </c>
    </row>
    <row r="386" spans="1:11" ht="15" customHeight="1" x14ac:dyDescent="0.25">
      <c r="A386" t="s">
        <v>4</v>
      </c>
      <c r="B386">
        <v>6</v>
      </c>
      <c r="C386" t="s">
        <v>138</v>
      </c>
      <c r="D386" t="s">
        <v>85</v>
      </c>
      <c r="E386" t="s">
        <v>181</v>
      </c>
      <c r="F386" s="12">
        <v>45670.3125</v>
      </c>
      <c r="G386" s="12">
        <v>45671.063564814802</v>
      </c>
      <c r="H386" t="str">
        <f t="shared" ref="H386:H449" si="12">MID(E386,8,100)</f>
        <v>RT</v>
      </c>
      <c r="I386" t="str">
        <f t="shared" ref="I386:I449" si="13">IF(H386="CORE","CHS",H386)</f>
        <v>RT</v>
      </c>
      <c r="J386" s="3">
        <f>(F386-VLOOKUP($A386,Runs!$A$2:$E$9,5,FALSE()))*1440</f>
        <v>450</v>
      </c>
      <c r="K386" s="3">
        <f>(G386-VLOOKUP($A386,Runs!$A$2:$E$9,5,FALSE()))*1440</f>
        <v>1531.5333333145827</v>
      </c>
    </row>
    <row r="387" spans="1:11" ht="15" customHeight="1" x14ac:dyDescent="0.25">
      <c r="A387" t="s">
        <v>4</v>
      </c>
      <c r="B387">
        <v>3</v>
      </c>
      <c r="C387" t="s">
        <v>204</v>
      </c>
      <c r="D387" t="s">
        <v>85</v>
      </c>
      <c r="E387" t="s">
        <v>197</v>
      </c>
      <c r="F387" s="12">
        <v>45670.125</v>
      </c>
      <c r="G387" s="12">
        <v>45671.064629629604</v>
      </c>
      <c r="H387" t="str">
        <f t="shared" si="12"/>
        <v>FAX</v>
      </c>
      <c r="I387" t="str">
        <f t="shared" si="13"/>
        <v>FAX</v>
      </c>
      <c r="J387" s="3">
        <f>(F387-VLOOKUP($A387,Runs!$A$2:$E$9,5,FALSE()))*1440</f>
        <v>180</v>
      </c>
      <c r="K387" s="3">
        <f>(G387-VLOOKUP($A387,Runs!$A$2:$E$9,5,FALSE()))*1440</f>
        <v>1533.0666666291654</v>
      </c>
    </row>
    <row r="388" spans="1:11" ht="15" customHeight="1" x14ac:dyDescent="0.25">
      <c r="A388" t="s">
        <v>4</v>
      </c>
      <c r="B388">
        <v>3</v>
      </c>
      <c r="C388" t="s">
        <v>116</v>
      </c>
      <c r="D388" t="s">
        <v>85</v>
      </c>
      <c r="E388" t="s">
        <v>206</v>
      </c>
      <c r="F388" s="12">
        <v>45670.125</v>
      </c>
      <c r="G388" s="12">
        <v>45671.084398148101</v>
      </c>
      <c r="H388" t="str">
        <f t="shared" si="12"/>
        <v>BSA</v>
      </c>
      <c r="I388" t="str">
        <f t="shared" si="13"/>
        <v>BSA</v>
      </c>
      <c r="J388" s="3">
        <f>(F388-VLOOKUP($A388,Runs!$A$2:$E$9,5,FALSE()))*1440</f>
        <v>180</v>
      </c>
      <c r="K388" s="3">
        <f>(G388-VLOOKUP($A388,Runs!$A$2:$E$9,5,FALSE()))*1440</f>
        <v>1561.5333332656883</v>
      </c>
    </row>
    <row r="389" spans="1:11" ht="15" customHeight="1" x14ac:dyDescent="0.25">
      <c r="A389" t="s">
        <v>4</v>
      </c>
      <c r="B389">
        <v>6</v>
      </c>
      <c r="C389" t="s">
        <v>223</v>
      </c>
      <c r="D389" t="s">
        <v>85</v>
      </c>
      <c r="E389" t="s">
        <v>185</v>
      </c>
      <c r="F389" s="12">
        <v>45670.3125</v>
      </c>
      <c r="G389" s="12">
        <v>45671.105231481502</v>
      </c>
      <c r="H389" t="str">
        <f t="shared" si="12"/>
        <v>FT</v>
      </c>
      <c r="I389" t="str">
        <f t="shared" si="13"/>
        <v>FT</v>
      </c>
      <c r="J389" s="3">
        <f>(F389-VLOOKUP($A389,Runs!$A$2:$E$9,5,FALSE()))*1440</f>
        <v>450</v>
      </c>
      <c r="K389" s="3">
        <f>(G389-VLOOKUP($A389,Runs!$A$2:$E$9,5,FALSE()))*1440</f>
        <v>1591.5333333634771</v>
      </c>
    </row>
    <row r="390" spans="1:11" ht="15" customHeight="1" x14ac:dyDescent="0.25">
      <c r="A390" t="s">
        <v>4</v>
      </c>
      <c r="B390">
        <v>6</v>
      </c>
      <c r="C390" t="s">
        <v>224</v>
      </c>
      <c r="D390" t="s">
        <v>85</v>
      </c>
      <c r="E390" t="s">
        <v>185</v>
      </c>
      <c r="F390" s="12">
        <v>45670.3125</v>
      </c>
      <c r="G390" s="12">
        <v>45671.128379629597</v>
      </c>
      <c r="H390" t="str">
        <f t="shared" si="12"/>
        <v>FT</v>
      </c>
      <c r="I390" t="str">
        <f t="shared" si="13"/>
        <v>FT</v>
      </c>
      <c r="J390" s="3">
        <f>(F390-VLOOKUP($A390,Runs!$A$2:$E$9,5,FALSE()))*1440</f>
        <v>450</v>
      </c>
      <c r="K390" s="3">
        <f>(G390-VLOOKUP($A390,Runs!$A$2:$E$9,5,FALSE()))*1440</f>
        <v>1624.8666666203644</v>
      </c>
    </row>
    <row r="391" spans="1:11" ht="15" customHeight="1" x14ac:dyDescent="0.25">
      <c r="A391" t="s">
        <v>4</v>
      </c>
      <c r="B391">
        <v>3</v>
      </c>
      <c r="C391" t="s">
        <v>122</v>
      </c>
      <c r="D391" t="s">
        <v>85</v>
      </c>
      <c r="E391" t="s">
        <v>206</v>
      </c>
      <c r="F391" s="12">
        <v>45670.125</v>
      </c>
      <c r="G391" s="12">
        <v>45671.129444444399</v>
      </c>
      <c r="H391" t="str">
        <f t="shared" si="12"/>
        <v>BSA</v>
      </c>
      <c r="I391" t="str">
        <f t="shared" si="13"/>
        <v>BSA</v>
      </c>
      <c r="J391" s="3">
        <f>(F391-VLOOKUP($A391,Runs!$A$2:$E$9,5,FALSE()))*1440</f>
        <v>180</v>
      </c>
      <c r="K391" s="3">
        <f>(G391-VLOOKUP($A391,Runs!$A$2:$E$9,5,FALSE()))*1440</f>
        <v>1626.3999999349471</v>
      </c>
    </row>
    <row r="392" spans="1:11" ht="15" customHeight="1" x14ac:dyDescent="0.25">
      <c r="A392" t="s">
        <v>4</v>
      </c>
      <c r="B392">
        <v>3</v>
      </c>
      <c r="C392" t="s">
        <v>217</v>
      </c>
      <c r="D392" t="s">
        <v>85</v>
      </c>
      <c r="E392" t="s">
        <v>211</v>
      </c>
      <c r="F392" s="12">
        <v>45670.125</v>
      </c>
      <c r="G392" s="12">
        <v>45671.150648148199</v>
      </c>
      <c r="H392" t="str">
        <f t="shared" si="12"/>
        <v>RAX_HD</v>
      </c>
      <c r="I392" t="str">
        <f t="shared" si="13"/>
        <v>RAX_HD</v>
      </c>
      <c r="J392" s="3">
        <f>(F392-VLOOKUP($A392,Runs!$A$2:$E$9,5,FALSE()))*1440</f>
        <v>180</v>
      </c>
      <c r="K392" s="3">
        <f>(G392-VLOOKUP($A392,Runs!$A$2:$E$9,5,FALSE()))*1440</f>
        <v>1656.9333334069233</v>
      </c>
    </row>
    <row r="393" spans="1:11" ht="15" customHeight="1" x14ac:dyDescent="0.25">
      <c r="A393" t="s">
        <v>4</v>
      </c>
      <c r="B393">
        <v>7</v>
      </c>
      <c r="C393" t="s">
        <v>144</v>
      </c>
      <c r="D393" t="s">
        <v>85</v>
      </c>
      <c r="E393" t="s">
        <v>181</v>
      </c>
      <c r="F393" s="12">
        <v>45670.416666666701</v>
      </c>
      <c r="G393" s="12">
        <v>45671.188564814802</v>
      </c>
      <c r="H393" t="str">
        <f t="shared" si="12"/>
        <v>RT</v>
      </c>
      <c r="I393" t="str">
        <f t="shared" si="13"/>
        <v>RT</v>
      </c>
      <c r="J393" s="3">
        <f>(F393-VLOOKUP($A393,Runs!$A$2:$E$9,5,FALSE()))*1440</f>
        <v>600.00000004889444</v>
      </c>
      <c r="K393" s="3">
        <f>(G393-VLOOKUP($A393,Runs!$A$2:$E$9,5,FALSE()))*1440</f>
        <v>1711.5333333145827</v>
      </c>
    </row>
    <row r="394" spans="1:11" ht="15" customHeight="1" x14ac:dyDescent="0.25">
      <c r="A394" t="s">
        <v>4</v>
      </c>
      <c r="B394">
        <v>4</v>
      </c>
      <c r="C394" t="s">
        <v>199</v>
      </c>
      <c r="D394" t="s">
        <v>85</v>
      </c>
      <c r="E394" t="s">
        <v>192</v>
      </c>
      <c r="F394" s="12">
        <v>45670.1875</v>
      </c>
      <c r="G394" s="12">
        <v>45671.209398148101</v>
      </c>
      <c r="H394" t="str">
        <f t="shared" si="12"/>
        <v>SSA</v>
      </c>
      <c r="I394" t="str">
        <f t="shared" si="13"/>
        <v>SSA</v>
      </c>
      <c r="J394" s="3">
        <f>(F394-VLOOKUP($A394,Runs!$A$2:$E$9,5,FALSE()))*1440</f>
        <v>270</v>
      </c>
      <c r="K394" s="3">
        <f>(G394-VLOOKUP($A394,Runs!$A$2:$E$9,5,FALSE()))*1440</f>
        <v>1741.5333332656883</v>
      </c>
    </row>
    <row r="395" spans="1:11" ht="15" customHeight="1" x14ac:dyDescent="0.25">
      <c r="A395" t="s">
        <v>4</v>
      </c>
      <c r="B395">
        <v>7</v>
      </c>
      <c r="C395" t="s">
        <v>147</v>
      </c>
      <c r="D395" t="s">
        <v>85</v>
      </c>
      <c r="E395" t="s">
        <v>181</v>
      </c>
      <c r="F395" s="12">
        <v>45670.416666666701</v>
      </c>
      <c r="G395" s="12">
        <v>45671.251064814802</v>
      </c>
      <c r="H395" t="str">
        <f t="shared" si="12"/>
        <v>RT</v>
      </c>
      <c r="I395" t="str">
        <f t="shared" si="13"/>
        <v>RT</v>
      </c>
      <c r="J395" s="3">
        <f>(F395-VLOOKUP($A395,Runs!$A$2:$E$9,5,FALSE()))*1440</f>
        <v>600.00000004889444</v>
      </c>
      <c r="K395" s="3">
        <f>(G395-VLOOKUP($A395,Runs!$A$2:$E$9,5,FALSE()))*1440</f>
        <v>1801.5333333145827</v>
      </c>
    </row>
    <row r="396" spans="1:11" ht="15" customHeight="1" x14ac:dyDescent="0.25">
      <c r="A396" t="s">
        <v>4</v>
      </c>
      <c r="B396">
        <v>4</v>
      </c>
      <c r="C396" t="s">
        <v>212</v>
      </c>
      <c r="D396" t="s">
        <v>85</v>
      </c>
      <c r="E396" t="s">
        <v>203</v>
      </c>
      <c r="F396" s="12">
        <v>45670.1875</v>
      </c>
      <c r="G396" s="12">
        <v>45671.253425925897</v>
      </c>
      <c r="H396" t="str">
        <f t="shared" si="12"/>
        <v>CHS</v>
      </c>
      <c r="I396" t="str">
        <f t="shared" si="13"/>
        <v>CHS</v>
      </c>
      <c r="J396" s="3">
        <f>(F396-VLOOKUP($A396,Runs!$A$2:$E$9,5,FALSE()))*1440</f>
        <v>270</v>
      </c>
      <c r="K396" s="3">
        <f>(G396-VLOOKUP($A396,Runs!$A$2:$E$9,5,FALSE()))*1440</f>
        <v>1804.9333332921378</v>
      </c>
    </row>
    <row r="397" spans="1:11" ht="15" customHeight="1" x14ac:dyDescent="0.25">
      <c r="A397" t="s">
        <v>4</v>
      </c>
      <c r="B397">
        <v>4</v>
      </c>
      <c r="C397" t="s">
        <v>205</v>
      </c>
      <c r="D397" t="s">
        <v>85</v>
      </c>
      <c r="E397" t="s">
        <v>192</v>
      </c>
      <c r="F397" s="12">
        <v>45670.1875</v>
      </c>
      <c r="G397" s="12">
        <v>45671.254490740699</v>
      </c>
      <c r="H397" t="str">
        <f t="shared" si="12"/>
        <v>SSA</v>
      </c>
      <c r="I397" t="str">
        <f t="shared" si="13"/>
        <v>SSA</v>
      </c>
      <c r="J397" s="3">
        <f>(F397-VLOOKUP($A397,Runs!$A$2:$E$9,5,FALSE()))*1440</f>
        <v>270</v>
      </c>
      <c r="K397" s="3">
        <f>(G397-VLOOKUP($A397,Runs!$A$2:$E$9,5,FALSE()))*1440</f>
        <v>1806.4666666067205</v>
      </c>
    </row>
    <row r="398" spans="1:11" ht="15" customHeight="1" x14ac:dyDescent="0.25">
      <c r="A398" t="s">
        <v>4</v>
      </c>
      <c r="B398">
        <v>7</v>
      </c>
      <c r="C398" t="s">
        <v>225</v>
      </c>
      <c r="D398" t="s">
        <v>85</v>
      </c>
      <c r="E398" t="s">
        <v>185</v>
      </c>
      <c r="F398" s="12">
        <v>45670.416666666701</v>
      </c>
      <c r="G398" s="12">
        <v>45671.271898148101</v>
      </c>
      <c r="H398" t="str">
        <f t="shared" si="12"/>
        <v>FT</v>
      </c>
      <c r="I398" t="str">
        <f t="shared" si="13"/>
        <v>FT</v>
      </c>
      <c r="J398" s="3">
        <f>(F398-VLOOKUP($A398,Runs!$A$2:$E$9,5,FALSE()))*1440</f>
        <v>600.00000004889444</v>
      </c>
      <c r="K398" s="3">
        <f>(G398-VLOOKUP($A398,Runs!$A$2:$E$9,5,FALSE()))*1440</f>
        <v>1831.5333332656883</v>
      </c>
    </row>
    <row r="399" spans="1:11" ht="15" customHeight="1" x14ac:dyDescent="0.25">
      <c r="A399" t="s">
        <v>4</v>
      </c>
      <c r="B399">
        <v>4</v>
      </c>
      <c r="C399" t="s">
        <v>208</v>
      </c>
      <c r="D399" t="s">
        <v>85</v>
      </c>
      <c r="E399" t="s">
        <v>197</v>
      </c>
      <c r="F399" s="12">
        <v>45670.1875</v>
      </c>
      <c r="G399" s="12">
        <v>45671.272962962998</v>
      </c>
      <c r="H399" t="str">
        <f t="shared" si="12"/>
        <v>FAX</v>
      </c>
      <c r="I399" t="str">
        <f t="shared" si="13"/>
        <v>FAX</v>
      </c>
      <c r="J399" s="3">
        <f>(F399-VLOOKUP($A399,Runs!$A$2:$E$9,5,FALSE()))*1440</f>
        <v>270</v>
      </c>
      <c r="K399" s="3">
        <f>(G399-VLOOKUP($A399,Runs!$A$2:$E$9,5,FALSE()))*1440</f>
        <v>1833.0666667164769</v>
      </c>
    </row>
    <row r="400" spans="1:11" ht="15" customHeight="1" x14ac:dyDescent="0.25">
      <c r="A400" t="s">
        <v>4</v>
      </c>
      <c r="B400">
        <v>7</v>
      </c>
      <c r="C400" t="s">
        <v>226</v>
      </c>
      <c r="D400" t="s">
        <v>85</v>
      </c>
      <c r="E400" t="s">
        <v>185</v>
      </c>
      <c r="F400" s="12">
        <v>45670.416666666701</v>
      </c>
      <c r="G400" s="12">
        <v>45671.315879629597</v>
      </c>
      <c r="H400" t="str">
        <f t="shared" si="12"/>
        <v>FT</v>
      </c>
      <c r="I400" t="str">
        <f t="shared" si="13"/>
        <v>FT</v>
      </c>
      <c r="J400" s="3">
        <f>(F400-VLOOKUP($A400,Runs!$A$2:$E$9,5,FALSE()))*1440</f>
        <v>600.00000004889444</v>
      </c>
      <c r="K400" s="3">
        <f>(G400-VLOOKUP($A400,Runs!$A$2:$E$9,5,FALSE()))*1440</f>
        <v>1894.8666666203644</v>
      </c>
    </row>
    <row r="401" spans="1:11" ht="15" customHeight="1" x14ac:dyDescent="0.25">
      <c r="A401" t="s">
        <v>4</v>
      </c>
      <c r="B401">
        <v>4</v>
      </c>
      <c r="C401" t="s">
        <v>216</v>
      </c>
      <c r="D401" t="s">
        <v>85</v>
      </c>
      <c r="E401" t="s">
        <v>206</v>
      </c>
      <c r="F401" s="12">
        <v>45670.1875</v>
      </c>
      <c r="G401" s="12">
        <v>45671.316944444399</v>
      </c>
      <c r="H401" t="str">
        <f t="shared" si="12"/>
        <v>BSA</v>
      </c>
      <c r="I401" t="str">
        <f t="shared" si="13"/>
        <v>BSA</v>
      </c>
      <c r="J401" s="3">
        <f>(F401-VLOOKUP($A401,Runs!$A$2:$E$9,5,FALSE()))*1440</f>
        <v>270</v>
      </c>
      <c r="K401" s="3">
        <f>(G401-VLOOKUP($A401,Runs!$A$2:$E$9,5,FALSE()))*1440</f>
        <v>1896.3999999349471</v>
      </c>
    </row>
    <row r="402" spans="1:11" ht="15" customHeight="1" x14ac:dyDescent="0.25">
      <c r="A402" t="s">
        <v>4</v>
      </c>
      <c r="B402">
        <v>4</v>
      </c>
      <c r="C402" t="s">
        <v>219</v>
      </c>
      <c r="D402" t="s">
        <v>85</v>
      </c>
      <c r="E402" t="s">
        <v>206</v>
      </c>
      <c r="F402" s="12">
        <v>45670.1875</v>
      </c>
      <c r="G402" s="12">
        <v>45671.334398148101</v>
      </c>
      <c r="H402" t="str">
        <f t="shared" si="12"/>
        <v>BSA</v>
      </c>
      <c r="I402" t="str">
        <f t="shared" si="13"/>
        <v>BSA</v>
      </c>
      <c r="J402" s="3">
        <f>(F402-VLOOKUP($A402,Runs!$A$2:$E$9,5,FALSE()))*1440</f>
        <v>270</v>
      </c>
      <c r="K402" s="3">
        <f>(G402-VLOOKUP($A402,Runs!$A$2:$E$9,5,FALSE()))*1440</f>
        <v>1921.5333332656883</v>
      </c>
    </row>
    <row r="403" spans="1:11" ht="15" customHeight="1" x14ac:dyDescent="0.25">
      <c r="A403" t="s">
        <v>4</v>
      </c>
      <c r="B403">
        <v>8</v>
      </c>
      <c r="C403" t="s">
        <v>157</v>
      </c>
      <c r="D403" t="s">
        <v>85</v>
      </c>
      <c r="E403" t="s">
        <v>181</v>
      </c>
      <c r="F403" s="12">
        <v>45670.4375</v>
      </c>
      <c r="G403" s="12">
        <v>45671.355231481502</v>
      </c>
      <c r="H403" t="str">
        <f t="shared" si="12"/>
        <v>RT</v>
      </c>
      <c r="I403" t="str">
        <f t="shared" si="13"/>
        <v>RT</v>
      </c>
      <c r="J403" s="3">
        <f>(F403-VLOOKUP($A403,Runs!$A$2:$E$9,5,FALSE()))*1440</f>
        <v>630</v>
      </c>
      <c r="K403" s="3">
        <f>(G403-VLOOKUP($A403,Runs!$A$2:$E$9,5,FALSE()))*1440</f>
        <v>1951.5333333634771</v>
      </c>
    </row>
    <row r="404" spans="1:11" ht="15" customHeight="1" x14ac:dyDescent="0.25">
      <c r="A404" t="s">
        <v>4</v>
      </c>
      <c r="B404">
        <v>4</v>
      </c>
      <c r="C404" t="s">
        <v>220</v>
      </c>
      <c r="D404" t="s">
        <v>85</v>
      </c>
      <c r="E404" t="s">
        <v>211</v>
      </c>
      <c r="F404" s="12">
        <v>45670.1875</v>
      </c>
      <c r="G404" s="12">
        <v>45671.3600462963</v>
      </c>
      <c r="H404" t="str">
        <f t="shared" si="12"/>
        <v>RAX_HD</v>
      </c>
      <c r="I404" t="str">
        <f t="shared" si="13"/>
        <v>RAX_HD</v>
      </c>
      <c r="J404" s="3">
        <f>(F404-VLOOKUP($A404,Runs!$A$2:$E$9,5,FALSE()))*1440</f>
        <v>270</v>
      </c>
      <c r="K404" s="3">
        <f>(G404-VLOOKUP($A404,Runs!$A$2:$E$9,5,FALSE()))*1440</f>
        <v>1958.4666666726116</v>
      </c>
    </row>
    <row r="405" spans="1:11" ht="15" customHeight="1" x14ac:dyDescent="0.25">
      <c r="A405" t="s">
        <v>4</v>
      </c>
      <c r="B405">
        <v>8</v>
      </c>
      <c r="C405" t="s">
        <v>159</v>
      </c>
      <c r="D405" t="s">
        <v>85</v>
      </c>
      <c r="E405" t="s">
        <v>181</v>
      </c>
      <c r="F405" s="12">
        <v>45670.4375</v>
      </c>
      <c r="G405" s="12">
        <v>45671.417731481502</v>
      </c>
      <c r="H405" t="str">
        <f t="shared" si="12"/>
        <v>RT</v>
      </c>
      <c r="I405" t="str">
        <f t="shared" si="13"/>
        <v>RT</v>
      </c>
      <c r="J405" s="3">
        <f>(F405-VLOOKUP($A405,Runs!$A$2:$E$9,5,FALSE()))*1440</f>
        <v>630</v>
      </c>
      <c r="K405" s="3">
        <f>(G405-VLOOKUP($A405,Runs!$A$2:$E$9,5,FALSE()))*1440</f>
        <v>2041.5333333634771</v>
      </c>
    </row>
    <row r="406" spans="1:11" ht="15" customHeight="1" x14ac:dyDescent="0.25">
      <c r="A406" t="s">
        <v>4</v>
      </c>
      <c r="B406">
        <v>5</v>
      </c>
      <c r="C406" t="s">
        <v>135</v>
      </c>
      <c r="D406" t="s">
        <v>85</v>
      </c>
      <c r="E406" t="s">
        <v>192</v>
      </c>
      <c r="F406" s="12">
        <v>45670.25</v>
      </c>
      <c r="G406" s="12">
        <v>45671.418796296297</v>
      </c>
      <c r="H406" t="str">
        <f t="shared" si="12"/>
        <v>SSA</v>
      </c>
      <c r="I406" t="str">
        <f t="shared" si="13"/>
        <v>SSA</v>
      </c>
      <c r="J406" s="3">
        <f>(F406-VLOOKUP($A406,Runs!$A$2:$E$9,5,FALSE()))*1440</f>
        <v>360</v>
      </c>
      <c r="K406" s="3">
        <f>(G406-VLOOKUP($A406,Runs!$A$2:$E$9,5,FALSE()))*1440</f>
        <v>2043.0666666675825</v>
      </c>
    </row>
    <row r="407" spans="1:11" ht="15" customHeight="1" x14ac:dyDescent="0.25">
      <c r="A407" t="s">
        <v>4</v>
      </c>
      <c r="B407">
        <v>8</v>
      </c>
      <c r="C407" t="s">
        <v>160</v>
      </c>
      <c r="D407" t="s">
        <v>85</v>
      </c>
      <c r="E407" t="s">
        <v>185</v>
      </c>
      <c r="F407" s="12">
        <v>45670.4375</v>
      </c>
      <c r="G407" s="12">
        <v>45671.438564814802</v>
      </c>
      <c r="H407" t="str">
        <f t="shared" si="12"/>
        <v>FT</v>
      </c>
      <c r="I407" t="str">
        <f t="shared" si="13"/>
        <v>FT</v>
      </c>
      <c r="J407" s="3">
        <f>(F407-VLOOKUP($A407,Runs!$A$2:$E$9,5,FALSE()))*1440</f>
        <v>630</v>
      </c>
      <c r="K407" s="3">
        <f>(G407-VLOOKUP($A407,Runs!$A$2:$E$9,5,FALSE()))*1440</f>
        <v>2071.5333333145827</v>
      </c>
    </row>
    <row r="408" spans="1:11" ht="15" customHeight="1" x14ac:dyDescent="0.25">
      <c r="A408" t="s">
        <v>4</v>
      </c>
      <c r="B408">
        <v>5</v>
      </c>
      <c r="C408" t="s">
        <v>234</v>
      </c>
      <c r="D408" t="s">
        <v>85</v>
      </c>
      <c r="E408" t="s">
        <v>203</v>
      </c>
      <c r="F408" s="12">
        <v>45670.25</v>
      </c>
      <c r="G408" s="12">
        <v>45671.460694444497</v>
      </c>
      <c r="H408" t="str">
        <f t="shared" si="12"/>
        <v>CHS</v>
      </c>
      <c r="I408" t="str">
        <f t="shared" si="13"/>
        <v>CHS</v>
      </c>
      <c r="J408" s="3">
        <f>(F408-VLOOKUP($A408,Runs!$A$2:$E$9,5,FALSE()))*1440</f>
        <v>360</v>
      </c>
      <c r="K408" s="3">
        <f>(G408-VLOOKUP($A408,Runs!$A$2:$E$9,5,FALSE()))*1440</f>
        <v>2103.400000075344</v>
      </c>
    </row>
    <row r="409" spans="1:11" ht="15" customHeight="1" x14ac:dyDescent="0.25">
      <c r="A409" t="s">
        <v>4</v>
      </c>
      <c r="B409">
        <v>5</v>
      </c>
      <c r="C409" t="s">
        <v>139</v>
      </c>
      <c r="D409" t="s">
        <v>85</v>
      </c>
      <c r="E409" t="s">
        <v>192</v>
      </c>
      <c r="F409" s="12">
        <v>45670.25</v>
      </c>
      <c r="G409" s="12">
        <v>45671.461759259299</v>
      </c>
      <c r="H409" t="str">
        <f t="shared" si="12"/>
        <v>SSA</v>
      </c>
      <c r="I409" t="str">
        <f t="shared" si="13"/>
        <v>SSA</v>
      </c>
      <c r="J409" s="3">
        <f>(F409-VLOOKUP($A409,Runs!$A$2:$E$9,5,FALSE()))*1440</f>
        <v>360</v>
      </c>
      <c r="K409" s="3">
        <f>(G409-VLOOKUP($A409,Runs!$A$2:$E$9,5,FALSE()))*1440</f>
        <v>2104.9333333899267</v>
      </c>
    </row>
    <row r="410" spans="1:11" ht="15" customHeight="1" x14ac:dyDescent="0.25">
      <c r="A410" t="s">
        <v>4</v>
      </c>
      <c r="B410">
        <v>8</v>
      </c>
      <c r="C410" t="s">
        <v>163</v>
      </c>
      <c r="D410" t="s">
        <v>85</v>
      </c>
      <c r="E410" t="s">
        <v>185</v>
      </c>
      <c r="F410" s="12">
        <v>45670.4375</v>
      </c>
      <c r="G410" s="12">
        <v>45671.482546296298</v>
      </c>
      <c r="H410" t="str">
        <f t="shared" si="12"/>
        <v>FT</v>
      </c>
      <c r="I410" t="str">
        <f t="shared" si="13"/>
        <v>FT</v>
      </c>
      <c r="J410" s="3">
        <f>(F410-VLOOKUP($A410,Runs!$A$2:$E$9,5,FALSE()))*1440</f>
        <v>630</v>
      </c>
      <c r="K410" s="3">
        <f>(G410-VLOOKUP($A410,Runs!$A$2:$E$9,5,FALSE()))*1440</f>
        <v>2134.8666666692588</v>
      </c>
    </row>
    <row r="411" spans="1:11" ht="15" customHeight="1" x14ac:dyDescent="0.25">
      <c r="A411" t="s">
        <v>4</v>
      </c>
      <c r="B411">
        <v>5</v>
      </c>
      <c r="C411" t="s">
        <v>228</v>
      </c>
      <c r="D411" t="s">
        <v>85</v>
      </c>
      <c r="E411" t="s">
        <v>197</v>
      </c>
      <c r="F411" s="12">
        <v>45670.25</v>
      </c>
      <c r="G411" s="12">
        <v>45671.4836111111</v>
      </c>
      <c r="H411" t="str">
        <f t="shared" si="12"/>
        <v>FAX</v>
      </c>
      <c r="I411" t="str">
        <f t="shared" si="13"/>
        <v>FAX</v>
      </c>
      <c r="J411" s="3">
        <f>(F411-VLOOKUP($A411,Runs!$A$2:$E$9,5,FALSE()))*1440</f>
        <v>360</v>
      </c>
      <c r="K411" s="3">
        <f>(G411-VLOOKUP($A411,Runs!$A$2:$E$9,5,FALSE()))*1440</f>
        <v>2136.3999999838416</v>
      </c>
    </row>
    <row r="412" spans="1:11" ht="15" customHeight="1" x14ac:dyDescent="0.25">
      <c r="A412" t="s">
        <v>4</v>
      </c>
      <c r="B412">
        <v>5</v>
      </c>
      <c r="C412" t="s">
        <v>141</v>
      </c>
      <c r="D412" t="s">
        <v>85</v>
      </c>
      <c r="E412" t="s">
        <v>206</v>
      </c>
      <c r="F412" s="12">
        <v>45670.25</v>
      </c>
      <c r="G412" s="12">
        <v>45671.501064814802</v>
      </c>
      <c r="H412" t="str">
        <f t="shared" si="12"/>
        <v>BSA</v>
      </c>
      <c r="I412" t="str">
        <f t="shared" si="13"/>
        <v>BSA</v>
      </c>
      <c r="J412" s="3">
        <f>(F412-VLOOKUP($A412,Runs!$A$2:$E$9,5,FALSE()))*1440</f>
        <v>360</v>
      </c>
      <c r="K412" s="3">
        <f>(G412-VLOOKUP($A412,Runs!$A$2:$E$9,5,FALSE()))*1440</f>
        <v>2161.5333333145827</v>
      </c>
    </row>
    <row r="413" spans="1:11" ht="15" customHeight="1" x14ac:dyDescent="0.25">
      <c r="A413" t="s">
        <v>4</v>
      </c>
      <c r="B413">
        <v>9</v>
      </c>
      <c r="C413" t="s">
        <v>167</v>
      </c>
      <c r="D413" t="s">
        <v>85</v>
      </c>
      <c r="E413" t="s">
        <v>181</v>
      </c>
      <c r="F413" s="12">
        <v>45670.541666666701</v>
      </c>
      <c r="G413" s="12">
        <v>45671.521898148101</v>
      </c>
      <c r="H413" t="str">
        <f t="shared" si="12"/>
        <v>RT</v>
      </c>
      <c r="I413" t="str">
        <f t="shared" si="13"/>
        <v>RT</v>
      </c>
      <c r="J413" s="3">
        <f>(F413-VLOOKUP($A413,Runs!$A$2:$E$9,5,FALSE()))*1440</f>
        <v>780.00000004889444</v>
      </c>
      <c r="K413" s="3">
        <f>(G413-VLOOKUP($A413,Runs!$A$2:$E$9,5,FALSE()))*1440</f>
        <v>2191.5333332656883</v>
      </c>
    </row>
    <row r="414" spans="1:11" ht="15" customHeight="1" x14ac:dyDescent="0.25">
      <c r="A414" t="s">
        <v>4</v>
      </c>
      <c r="B414">
        <v>5</v>
      </c>
      <c r="C414" t="s">
        <v>146</v>
      </c>
      <c r="D414" t="s">
        <v>85</v>
      </c>
      <c r="E414" t="s">
        <v>206</v>
      </c>
      <c r="F414" s="12">
        <v>45670.25</v>
      </c>
      <c r="G414" s="12">
        <v>45671.542731481502</v>
      </c>
      <c r="H414" t="str">
        <f t="shared" si="12"/>
        <v>BSA</v>
      </c>
      <c r="I414" t="str">
        <f t="shared" si="13"/>
        <v>BSA</v>
      </c>
      <c r="J414" s="3">
        <f>(F414-VLOOKUP($A414,Runs!$A$2:$E$9,5,FALSE()))*1440</f>
        <v>360</v>
      </c>
      <c r="K414" s="3">
        <f>(G414-VLOOKUP($A414,Runs!$A$2:$E$9,5,FALSE()))*1440</f>
        <v>2221.5333333634771</v>
      </c>
    </row>
    <row r="415" spans="1:11" ht="15" customHeight="1" x14ac:dyDescent="0.25">
      <c r="A415" t="s">
        <v>4</v>
      </c>
      <c r="B415">
        <v>5</v>
      </c>
      <c r="C415" t="s">
        <v>240</v>
      </c>
      <c r="D415" t="s">
        <v>85</v>
      </c>
      <c r="E415" t="s">
        <v>211</v>
      </c>
      <c r="F415" s="12">
        <v>45670.25</v>
      </c>
      <c r="G415" s="12">
        <v>45671.567314814798</v>
      </c>
      <c r="H415" t="str">
        <f t="shared" si="12"/>
        <v>RAX_HD</v>
      </c>
      <c r="I415" t="str">
        <f t="shared" si="13"/>
        <v>RAX_HD</v>
      </c>
      <c r="J415" s="3">
        <f>(F415-VLOOKUP($A415,Runs!$A$2:$E$9,5,FALSE()))*1440</f>
        <v>360</v>
      </c>
      <c r="K415" s="3">
        <f>(G415-VLOOKUP($A415,Runs!$A$2:$E$9,5,FALSE()))*1440</f>
        <v>2256.9333333091345</v>
      </c>
    </row>
    <row r="416" spans="1:11" ht="15" customHeight="1" x14ac:dyDescent="0.25">
      <c r="A416" t="s">
        <v>4</v>
      </c>
      <c r="B416">
        <v>9</v>
      </c>
      <c r="C416" t="s">
        <v>168</v>
      </c>
      <c r="D416" t="s">
        <v>85</v>
      </c>
      <c r="E416" t="s">
        <v>181</v>
      </c>
      <c r="F416" s="12">
        <v>45670.541666666701</v>
      </c>
      <c r="G416" s="12">
        <v>45671.584398148101</v>
      </c>
      <c r="H416" t="str">
        <f t="shared" si="12"/>
        <v>RT</v>
      </c>
      <c r="I416" t="str">
        <f t="shared" si="13"/>
        <v>RT</v>
      </c>
      <c r="J416" s="3">
        <f>(F416-VLOOKUP($A416,Runs!$A$2:$E$9,5,FALSE()))*1440</f>
        <v>780.00000004889444</v>
      </c>
      <c r="K416" s="3">
        <f>(G416-VLOOKUP($A416,Runs!$A$2:$E$9,5,FALSE()))*1440</f>
        <v>2281.5333332656883</v>
      </c>
    </row>
    <row r="417" spans="1:11" ht="15" customHeight="1" x14ac:dyDescent="0.25">
      <c r="A417" t="s">
        <v>4</v>
      </c>
      <c r="B417">
        <v>9</v>
      </c>
      <c r="C417" t="s">
        <v>249</v>
      </c>
      <c r="D417" t="s">
        <v>85</v>
      </c>
      <c r="E417" t="s">
        <v>185</v>
      </c>
      <c r="F417" s="12">
        <v>45670.541666666701</v>
      </c>
      <c r="G417" s="12">
        <v>45671.605231481502</v>
      </c>
      <c r="H417" t="str">
        <f t="shared" si="12"/>
        <v>FT</v>
      </c>
      <c r="I417" t="str">
        <f t="shared" si="13"/>
        <v>FT</v>
      </c>
      <c r="J417" s="3">
        <f>(F417-VLOOKUP($A417,Runs!$A$2:$E$9,5,FALSE()))*1440</f>
        <v>780.00000004889444</v>
      </c>
      <c r="K417" s="3">
        <f>(G417-VLOOKUP($A417,Runs!$A$2:$E$9,5,FALSE()))*1440</f>
        <v>2311.5333333634771</v>
      </c>
    </row>
    <row r="418" spans="1:11" ht="15" customHeight="1" x14ac:dyDescent="0.25">
      <c r="A418" t="s">
        <v>4</v>
      </c>
      <c r="B418">
        <v>6</v>
      </c>
      <c r="C418" t="s">
        <v>227</v>
      </c>
      <c r="D418" t="s">
        <v>85</v>
      </c>
      <c r="E418" t="s">
        <v>192</v>
      </c>
      <c r="F418" s="12">
        <v>45670.3125</v>
      </c>
      <c r="G418" s="12">
        <v>45671.626064814802</v>
      </c>
      <c r="H418" t="str">
        <f t="shared" si="12"/>
        <v>SSA</v>
      </c>
      <c r="I418" t="str">
        <f t="shared" si="13"/>
        <v>SSA</v>
      </c>
      <c r="J418" s="3">
        <f>(F418-VLOOKUP($A418,Runs!$A$2:$E$9,5,FALSE()))*1440</f>
        <v>450</v>
      </c>
      <c r="K418" s="3">
        <f>(G418-VLOOKUP($A418,Runs!$A$2:$E$9,5,FALSE()))*1440</f>
        <v>2341.5333333145827</v>
      </c>
    </row>
    <row r="419" spans="1:11" ht="15" customHeight="1" x14ac:dyDescent="0.25">
      <c r="A419" t="s">
        <v>4</v>
      </c>
      <c r="B419">
        <v>9</v>
      </c>
      <c r="C419" t="s">
        <v>250</v>
      </c>
      <c r="D419" t="s">
        <v>85</v>
      </c>
      <c r="E419" t="s">
        <v>185</v>
      </c>
      <c r="F419" s="12">
        <v>45670.541666666701</v>
      </c>
      <c r="G419" s="12">
        <v>45671.649212962999</v>
      </c>
      <c r="H419" t="str">
        <f t="shared" si="12"/>
        <v>FT</v>
      </c>
      <c r="I419" t="str">
        <f t="shared" si="13"/>
        <v>FT</v>
      </c>
      <c r="J419" s="3">
        <f>(F419-VLOOKUP($A419,Runs!$A$2:$E$9,5,FALSE()))*1440</f>
        <v>780.00000004889444</v>
      </c>
      <c r="K419" s="3">
        <f>(G419-VLOOKUP($A419,Runs!$A$2:$E$9,5,FALSE()))*1440</f>
        <v>2374.8666667181533</v>
      </c>
    </row>
    <row r="420" spans="1:11" ht="15" customHeight="1" x14ac:dyDescent="0.25">
      <c r="A420" t="s">
        <v>5</v>
      </c>
      <c r="B420">
        <v>1</v>
      </c>
      <c r="C420" t="s">
        <v>84</v>
      </c>
      <c r="D420" t="s">
        <v>85</v>
      </c>
      <c r="E420" t="s">
        <v>178</v>
      </c>
      <c r="F420" s="12">
        <v>45665</v>
      </c>
      <c r="G420" s="12">
        <v>45665.083935185197</v>
      </c>
      <c r="H420" t="str">
        <f t="shared" si="12"/>
        <v>BOSP</v>
      </c>
      <c r="I420" t="str">
        <f t="shared" si="13"/>
        <v>BOSP</v>
      </c>
      <c r="J420" s="3">
        <f>(F420-VLOOKUP($A420,Runs!$A$2:$E$9,5,FALSE()))*1440</f>
        <v>0</v>
      </c>
      <c r="K420" s="3">
        <f>(G420-VLOOKUP($A420,Runs!$A$2:$E$9,5,FALSE()))*1440</f>
        <v>120.86666668416001</v>
      </c>
    </row>
    <row r="421" spans="1:11" ht="15" customHeight="1" x14ac:dyDescent="0.25">
      <c r="A421" t="s">
        <v>5</v>
      </c>
      <c r="B421">
        <v>1</v>
      </c>
      <c r="C421" t="s">
        <v>87</v>
      </c>
      <c r="D421" t="s">
        <v>85</v>
      </c>
      <c r="E421" t="s">
        <v>178</v>
      </c>
      <c r="F421" s="12">
        <v>45665</v>
      </c>
      <c r="G421" s="12">
        <v>45665.126180555599</v>
      </c>
      <c r="H421" t="str">
        <f t="shared" si="12"/>
        <v>BOSP</v>
      </c>
      <c r="I421" t="str">
        <f t="shared" si="13"/>
        <v>BOSP</v>
      </c>
      <c r="J421" s="3">
        <f>(F421-VLOOKUP($A421,Runs!$A$2:$E$9,5,FALSE()))*1440</f>
        <v>0</v>
      </c>
      <c r="K421" s="3">
        <f>(G421-VLOOKUP($A421,Runs!$A$2:$E$9,5,FALSE()))*1440</f>
        <v>181.70000006211922</v>
      </c>
    </row>
    <row r="422" spans="1:11" ht="15" customHeight="1" x14ac:dyDescent="0.25">
      <c r="A422" t="s">
        <v>5</v>
      </c>
      <c r="B422">
        <v>2</v>
      </c>
      <c r="C422" t="s">
        <v>91</v>
      </c>
      <c r="D422" t="s">
        <v>85</v>
      </c>
      <c r="E422" t="s">
        <v>178</v>
      </c>
      <c r="F422" s="12">
        <v>45665.0625</v>
      </c>
      <c r="G422" s="12">
        <v>45665.146898148101</v>
      </c>
      <c r="H422" t="str">
        <f t="shared" si="12"/>
        <v>BOSP</v>
      </c>
      <c r="I422" t="str">
        <f t="shared" si="13"/>
        <v>BOSP</v>
      </c>
      <c r="J422" s="3">
        <f>(F422-VLOOKUP($A422,Runs!$A$2:$E$9,5,FALSE()))*1440</f>
        <v>90</v>
      </c>
      <c r="K422" s="3">
        <f>(G422-VLOOKUP($A422,Runs!$A$2:$E$9,5,FALSE()))*1440</f>
        <v>211.53333326568827</v>
      </c>
    </row>
    <row r="423" spans="1:11" ht="15" customHeight="1" x14ac:dyDescent="0.25">
      <c r="A423" t="s">
        <v>5</v>
      </c>
      <c r="B423">
        <v>1</v>
      </c>
      <c r="C423" t="s">
        <v>179</v>
      </c>
      <c r="D423" t="s">
        <v>85</v>
      </c>
      <c r="E423" t="s">
        <v>180</v>
      </c>
      <c r="F423" s="12">
        <v>45665</v>
      </c>
      <c r="G423" s="12">
        <v>45665.188101851898</v>
      </c>
      <c r="H423" t="str">
        <f t="shared" si="12"/>
        <v>BAT</v>
      </c>
      <c r="I423" t="str">
        <f t="shared" si="13"/>
        <v>BAT</v>
      </c>
      <c r="J423" s="3">
        <f>(F423-VLOOKUP($A423,Runs!$A$2:$E$9,5,FALSE()))*1440</f>
        <v>0</v>
      </c>
      <c r="K423" s="3">
        <f>(G423-VLOOKUP($A423,Runs!$A$2:$E$9,5,FALSE()))*1440</f>
        <v>270.86666673305444</v>
      </c>
    </row>
    <row r="424" spans="1:11" ht="15" customHeight="1" x14ac:dyDescent="0.25">
      <c r="A424" t="s">
        <v>5</v>
      </c>
      <c r="B424">
        <v>2</v>
      </c>
      <c r="C424" t="s">
        <v>92</v>
      </c>
      <c r="D424" t="s">
        <v>85</v>
      </c>
      <c r="E424" t="s">
        <v>178</v>
      </c>
      <c r="F424" s="12">
        <v>45665.0625</v>
      </c>
      <c r="G424" s="12">
        <v>45665.1891666667</v>
      </c>
      <c r="H424" t="str">
        <f t="shared" si="12"/>
        <v>BOSP</v>
      </c>
      <c r="I424" t="str">
        <f t="shared" si="13"/>
        <v>BOSP</v>
      </c>
      <c r="J424" s="3">
        <f>(F424-VLOOKUP($A424,Runs!$A$2:$E$9,5,FALSE()))*1440</f>
        <v>90</v>
      </c>
      <c r="K424" s="3">
        <f>(G424-VLOOKUP($A424,Runs!$A$2:$E$9,5,FALSE()))*1440</f>
        <v>272.40000004763715</v>
      </c>
    </row>
    <row r="425" spans="1:11" ht="15" customHeight="1" x14ac:dyDescent="0.25">
      <c r="A425" t="s">
        <v>5</v>
      </c>
      <c r="B425">
        <v>1</v>
      </c>
      <c r="C425" t="s">
        <v>88</v>
      </c>
      <c r="D425" t="s">
        <v>85</v>
      </c>
      <c r="E425" t="s">
        <v>181</v>
      </c>
      <c r="F425" s="12">
        <v>45665</v>
      </c>
      <c r="G425" s="12">
        <v>45665.209398148101</v>
      </c>
      <c r="H425" t="str">
        <f t="shared" si="12"/>
        <v>RT</v>
      </c>
      <c r="I425" t="str">
        <f t="shared" si="13"/>
        <v>RT</v>
      </c>
      <c r="J425" s="3">
        <f>(F425-VLOOKUP($A425,Runs!$A$2:$E$9,5,FALSE()))*1440</f>
        <v>0</v>
      </c>
      <c r="K425" s="3">
        <f>(G425-VLOOKUP($A425,Runs!$A$2:$E$9,5,FALSE()))*1440</f>
        <v>301.53333326568827</v>
      </c>
    </row>
    <row r="426" spans="1:11" ht="15" customHeight="1" x14ac:dyDescent="0.25">
      <c r="A426" t="s">
        <v>5</v>
      </c>
      <c r="B426">
        <v>1</v>
      </c>
      <c r="C426" t="s">
        <v>90</v>
      </c>
      <c r="D426" t="s">
        <v>85</v>
      </c>
      <c r="E426" t="s">
        <v>181</v>
      </c>
      <c r="F426" s="12">
        <v>45665</v>
      </c>
      <c r="G426" s="12">
        <v>45665.251180555599</v>
      </c>
      <c r="H426" t="str">
        <f t="shared" si="12"/>
        <v>RT</v>
      </c>
      <c r="I426" t="str">
        <f t="shared" si="13"/>
        <v>RT</v>
      </c>
      <c r="J426" s="3">
        <f>(F426-VLOOKUP($A426,Runs!$A$2:$E$9,5,FALSE()))*1440</f>
        <v>0</v>
      </c>
      <c r="K426" s="3">
        <f>(G426-VLOOKUP($A426,Runs!$A$2:$E$9,5,FALSE()))*1440</f>
        <v>361.70000006211922</v>
      </c>
    </row>
    <row r="427" spans="1:11" ht="15" customHeight="1" x14ac:dyDescent="0.25">
      <c r="A427" t="s">
        <v>5</v>
      </c>
      <c r="B427">
        <v>2</v>
      </c>
      <c r="C427" t="s">
        <v>182</v>
      </c>
      <c r="D427" t="s">
        <v>85</v>
      </c>
      <c r="E427" t="s">
        <v>180</v>
      </c>
      <c r="F427" s="12">
        <v>45665.0625</v>
      </c>
      <c r="G427" s="12">
        <v>45665.2522453704</v>
      </c>
      <c r="H427" t="str">
        <f t="shared" si="12"/>
        <v>BAT</v>
      </c>
      <c r="I427" t="str">
        <f t="shared" si="13"/>
        <v>BAT</v>
      </c>
      <c r="J427" s="3">
        <f>(F427-VLOOKUP($A427,Runs!$A$2:$E$9,5,FALSE()))*1440</f>
        <v>90</v>
      </c>
      <c r="K427" s="3">
        <f>(G427-VLOOKUP($A427,Runs!$A$2:$E$9,5,FALSE()))*1440</f>
        <v>363.23333337670192</v>
      </c>
    </row>
    <row r="428" spans="1:11" ht="15" customHeight="1" x14ac:dyDescent="0.25">
      <c r="A428" t="s">
        <v>5</v>
      </c>
      <c r="B428">
        <v>2</v>
      </c>
      <c r="C428" t="s">
        <v>93</v>
      </c>
      <c r="D428" t="s">
        <v>85</v>
      </c>
      <c r="E428" t="s">
        <v>181</v>
      </c>
      <c r="F428" s="12">
        <v>45665.0625</v>
      </c>
      <c r="G428" s="12">
        <v>45665.292847222197</v>
      </c>
      <c r="H428" t="str">
        <f t="shared" si="12"/>
        <v>RT</v>
      </c>
      <c r="I428" t="str">
        <f t="shared" si="13"/>
        <v>RT</v>
      </c>
      <c r="J428" s="3">
        <f>(F428-VLOOKUP($A428,Runs!$A$2:$E$9,5,FALSE()))*1440</f>
        <v>90</v>
      </c>
      <c r="K428" s="3">
        <f>(G428-VLOOKUP($A428,Runs!$A$2:$E$9,5,FALSE()))*1440</f>
        <v>421.69999996433035</v>
      </c>
    </row>
    <row r="429" spans="1:11" ht="15" customHeight="1" x14ac:dyDescent="0.25">
      <c r="A429" t="s">
        <v>5</v>
      </c>
      <c r="B429">
        <v>1</v>
      </c>
      <c r="C429" t="s">
        <v>184</v>
      </c>
      <c r="D429" t="s">
        <v>85</v>
      </c>
      <c r="E429" t="s">
        <v>185</v>
      </c>
      <c r="F429" s="12">
        <v>45665</v>
      </c>
      <c r="G429" s="12">
        <v>45665.313564814802</v>
      </c>
      <c r="H429" t="str">
        <f t="shared" si="12"/>
        <v>FT</v>
      </c>
      <c r="I429" t="str">
        <f t="shared" si="13"/>
        <v>FT</v>
      </c>
      <c r="J429" s="3">
        <f>(F429-VLOOKUP($A429,Runs!$A$2:$E$9,5,FALSE()))*1440</f>
        <v>0</v>
      </c>
      <c r="K429" s="3">
        <f>(G429-VLOOKUP($A429,Runs!$A$2:$E$9,5,FALSE()))*1440</f>
        <v>451.53333331458271</v>
      </c>
    </row>
    <row r="430" spans="1:11" ht="15" customHeight="1" x14ac:dyDescent="0.25">
      <c r="A430" t="s">
        <v>5</v>
      </c>
      <c r="B430">
        <v>2</v>
      </c>
      <c r="C430" t="s">
        <v>96</v>
      </c>
      <c r="D430" t="s">
        <v>85</v>
      </c>
      <c r="E430" t="s">
        <v>181</v>
      </c>
      <c r="F430" s="12">
        <v>45665.0625</v>
      </c>
      <c r="G430" s="12">
        <v>45665.334398148101</v>
      </c>
      <c r="H430" t="str">
        <f t="shared" si="12"/>
        <v>RT</v>
      </c>
      <c r="I430" t="str">
        <f t="shared" si="13"/>
        <v>RT</v>
      </c>
      <c r="J430" s="3">
        <f>(F430-VLOOKUP($A430,Runs!$A$2:$E$9,5,FALSE()))*1440</f>
        <v>90</v>
      </c>
      <c r="K430" s="3">
        <f>(G430-VLOOKUP($A430,Runs!$A$2:$E$9,5,FALSE()))*1440</f>
        <v>481.53333326568827</v>
      </c>
    </row>
    <row r="431" spans="1:11" ht="15" customHeight="1" x14ac:dyDescent="0.25">
      <c r="A431" t="s">
        <v>5</v>
      </c>
      <c r="B431">
        <v>1</v>
      </c>
      <c r="C431" t="s">
        <v>186</v>
      </c>
      <c r="D431" t="s">
        <v>85</v>
      </c>
      <c r="E431" t="s">
        <v>185</v>
      </c>
      <c r="F431" s="12">
        <v>45665</v>
      </c>
      <c r="G431" s="12">
        <v>45665.3772453704</v>
      </c>
      <c r="H431" t="str">
        <f t="shared" si="12"/>
        <v>FT</v>
      </c>
      <c r="I431" t="str">
        <f t="shared" si="13"/>
        <v>FT</v>
      </c>
      <c r="J431" s="3">
        <f>(F431-VLOOKUP($A431,Runs!$A$2:$E$9,5,FALSE()))*1440</f>
        <v>0</v>
      </c>
      <c r="K431" s="3">
        <f>(G431-VLOOKUP($A431,Runs!$A$2:$E$9,5,FALSE()))*1440</f>
        <v>543.23333337670192</v>
      </c>
    </row>
    <row r="432" spans="1:11" ht="15" customHeight="1" x14ac:dyDescent="0.25">
      <c r="A432" t="s">
        <v>5</v>
      </c>
      <c r="B432">
        <v>2</v>
      </c>
      <c r="C432" t="s">
        <v>187</v>
      </c>
      <c r="D432" t="s">
        <v>85</v>
      </c>
      <c r="E432" t="s">
        <v>185</v>
      </c>
      <c r="F432" s="12">
        <v>45665.0625</v>
      </c>
      <c r="G432" s="12">
        <v>45665.378310185202</v>
      </c>
      <c r="H432" t="str">
        <f t="shared" si="12"/>
        <v>FT</v>
      </c>
      <c r="I432" t="str">
        <f t="shared" si="13"/>
        <v>FT</v>
      </c>
      <c r="J432" s="3">
        <f>(F432-VLOOKUP($A432,Runs!$A$2:$E$9,5,FALSE()))*1440</f>
        <v>90</v>
      </c>
      <c r="K432" s="3">
        <f>(G432-VLOOKUP($A432,Runs!$A$2:$E$9,5,FALSE()))*1440</f>
        <v>544.76666669128463</v>
      </c>
    </row>
    <row r="433" spans="1:11" ht="15" customHeight="1" x14ac:dyDescent="0.25">
      <c r="A433" t="s">
        <v>5</v>
      </c>
      <c r="B433">
        <v>3</v>
      </c>
      <c r="C433" t="s">
        <v>97</v>
      </c>
      <c r="D433" t="s">
        <v>85</v>
      </c>
      <c r="E433" t="s">
        <v>178</v>
      </c>
      <c r="F433" s="12">
        <v>45665.125</v>
      </c>
      <c r="G433" s="12">
        <v>45665.418194444399</v>
      </c>
      <c r="H433" t="str">
        <f t="shared" si="12"/>
        <v>BOSP</v>
      </c>
      <c r="I433" t="str">
        <f t="shared" si="13"/>
        <v>BOSP</v>
      </c>
      <c r="J433" s="3">
        <f>(F433-VLOOKUP($A433,Runs!$A$2:$E$9,5,FALSE()))*1440</f>
        <v>180</v>
      </c>
      <c r="K433" s="3">
        <f>(G433-VLOOKUP($A433,Runs!$A$2:$E$9,5,FALSE()))*1440</f>
        <v>602.19999993452802</v>
      </c>
    </row>
    <row r="434" spans="1:11" ht="15" customHeight="1" x14ac:dyDescent="0.25">
      <c r="A434" t="s">
        <v>5</v>
      </c>
      <c r="B434">
        <v>2</v>
      </c>
      <c r="C434" t="s">
        <v>188</v>
      </c>
      <c r="D434" t="s">
        <v>85</v>
      </c>
      <c r="E434" t="s">
        <v>185</v>
      </c>
      <c r="F434" s="12">
        <v>45665.0625</v>
      </c>
      <c r="G434" s="12">
        <v>45665.439629629604</v>
      </c>
      <c r="H434" t="str">
        <f t="shared" si="12"/>
        <v>FT</v>
      </c>
      <c r="I434" t="str">
        <f t="shared" si="13"/>
        <v>FT</v>
      </c>
      <c r="J434" s="3">
        <f>(F434-VLOOKUP($A434,Runs!$A$2:$E$9,5,FALSE()))*1440</f>
        <v>90</v>
      </c>
      <c r="K434" s="3">
        <f>(G434-VLOOKUP($A434,Runs!$A$2:$E$9,5,FALSE()))*1440</f>
        <v>633.06666662916541</v>
      </c>
    </row>
    <row r="435" spans="1:11" ht="15" customHeight="1" x14ac:dyDescent="0.25">
      <c r="A435" t="s">
        <v>5</v>
      </c>
      <c r="B435">
        <v>3</v>
      </c>
      <c r="C435" t="s">
        <v>98</v>
      </c>
      <c r="D435" t="s">
        <v>85</v>
      </c>
      <c r="E435" t="s">
        <v>178</v>
      </c>
      <c r="F435" s="12">
        <v>45665.125</v>
      </c>
      <c r="G435" s="12">
        <v>45665.458935185197</v>
      </c>
      <c r="H435" t="str">
        <f t="shared" si="12"/>
        <v>BOSP</v>
      </c>
      <c r="I435" t="str">
        <f t="shared" si="13"/>
        <v>BOSP</v>
      </c>
      <c r="J435" s="3">
        <f>(F435-VLOOKUP($A435,Runs!$A$2:$E$9,5,FALSE()))*1440</f>
        <v>180</v>
      </c>
      <c r="K435" s="3">
        <f>(G435-VLOOKUP($A435,Runs!$A$2:$E$9,5,FALSE()))*1440</f>
        <v>660.86666668416001</v>
      </c>
    </row>
    <row r="436" spans="1:11" ht="15" customHeight="1" x14ac:dyDescent="0.25">
      <c r="A436" t="s">
        <v>5</v>
      </c>
      <c r="B436">
        <v>4</v>
      </c>
      <c r="C436" t="s">
        <v>107</v>
      </c>
      <c r="D436" t="s">
        <v>85</v>
      </c>
      <c r="E436" t="s">
        <v>178</v>
      </c>
      <c r="F436" s="12">
        <v>45665.1875</v>
      </c>
      <c r="G436" s="12">
        <v>45665.480694444399</v>
      </c>
      <c r="H436" t="str">
        <f t="shared" si="12"/>
        <v>BOSP</v>
      </c>
      <c r="I436" t="str">
        <f t="shared" si="13"/>
        <v>BOSP</v>
      </c>
      <c r="J436" s="3">
        <f>(F436-VLOOKUP($A436,Runs!$A$2:$E$9,5,FALSE()))*1440</f>
        <v>270</v>
      </c>
      <c r="K436" s="3">
        <f>(G436-VLOOKUP($A436,Runs!$A$2:$E$9,5,FALSE()))*1440</f>
        <v>692.19999993452802</v>
      </c>
    </row>
    <row r="437" spans="1:11" ht="15" customHeight="1" x14ac:dyDescent="0.25">
      <c r="A437" t="s">
        <v>5</v>
      </c>
      <c r="B437">
        <v>3</v>
      </c>
      <c r="C437" t="s">
        <v>183</v>
      </c>
      <c r="D437" t="s">
        <v>85</v>
      </c>
      <c r="E437" t="s">
        <v>180</v>
      </c>
      <c r="F437" s="12">
        <v>45665.125</v>
      </c>
      <c r="G437" s="12">
        <v>45665.521898148101</v>
      </c>
      <c r="H437" t="str">
        <f t="shared" si="12"/>
        <v>BAT</v>
      </c>
      <c r="I437" t="str">
        <f t="shared" si="13"/>
        <v>BAT</v>
      </c>
      <c r="J437" s="3">
        <f>(F437-VLOOKUP($A437,Runs!$A$2:$E$9,5,FALSE()))*1440</f>
        <v>180</v>
      </c>
      <c r="K437" s="3">
        <f>(G437-VLOOKUP($A437,Runs!$A$2:$E$9,5,FALSE()))*1440</f>
        <v>751.53333326568827</v>
      </c>
    </row>
    <row r="438" spans="1:11" ht="15" customHeight="1" x14ac:dyDescent="0.25">
      <c r="A438" t="s">
        <v>5</v>
      </c>
      <c r="B438">
        <v>4</v>
      </c>
      <c r="C438" t="s">
        <v>109</v>
      </c>
      <c r="D438" t="s">
        <v>85</v>
      </c>
      <c r="E438" t="s">
        <v>178</v>
      </c>
      <c r="F438" s="12">
        <v>45665.1875</v>
      </c>
      <c r="G438" s="12">
        <v>45665.522962962998</v>
      </c>
      <c r="H438" t="str">
        <f t="shared" si="12"/>
        <v>BOSP</v>
      </c>
      <c r="I438" t="str">
        <f t="shared" si="13"/>
        <v>BOSP</v>
      </c>
      <c r="J438" s="3">
        <f>(F438-VLOOKUP($A438,Runs!$A$2:$E$9,5,FALSE()))*1440</f>
        <v>270</v>
      </c>
      <c r="K438" s="3">
        <f>(G438-VLOOKUP($A438,Runs!$A$2:$E$9,5,FALSE()))*1440</f>
        <v>753.0666667164769</v>
      </c>
    </row>
    <row r="439" spans="1:11" ht="15" customHeight="1" x14ac:dyDescent="0.25">
      <c r="A439" t="s">
        <v>5</v>
      </c>
      <c r="B439">
        <v>3</v>
      </c>
      <c r="C439" t="s">
        <v>101</v>
      </c>
      <c r="D439" t="s">
        <v>85</v>
      </c>
      <c r="E439" t="s">
        <v>181</v>
      </c>
      <c r="F439" s="12">
        <v>45665.125</v>
      </c>
      <c r="G439" s="12">
        <v>45665.563564814802</v>
      </c>
      <c r="H439" t="str">
        <f t="shared" si="12"/>
        <v>RT</v>
      </c>
      <c r="I439" t="str">
        <f t="shared" si="13"/>
        <v>RT</v>
      </c>
      <c r="J439" s="3">
        <f>(F439-VLOOKUP($A439,Runs!$A$2:$E$9,5,FALSE()))*1440</f>
        <v>180</v>
      </c>
      <c r="K439" s="3">
        <f>(G439-VLOOKUP($A439,Runs!$A$2:$E$9,5,FALSE()))*1440</f>
        <v>811.53333331458271</v>
      </c>
    </row>
    <row r="440" spans="1:11" ht="15" customHeight="1" x14ac:dyDescent="0.25">
      <c r="A440" t="s">
        <v>5</v>
      </c>
      <c r="B440">
        <v>4</v>
      </c>
      <c r="C440" t="s">
        <v>113</v>
      </c>
      <c r="D440" t="s">
        <v>85</v>
      </c>
      <c r="E440" t="s">
        <v>180</v>
      </c>
      <c r="F440" s="12">
        <v>45665.1875</v>
      </c>
      <c r="G440" s="12">
        <v>45665.584398148101</v>
      </c>
      <c r="H440" t="str">
        <f t="shared" si="12"/>
        <v>BAT</v>
      </c>
      <c r="I440" t="str">
        <f t="shared" si="13"/>
        <v>BAT</v>
      </c>
      <c r="J440" s="3">
        <f>(F440-VLOOKUP($A440,Runs!$A$2:$E$9,5,FALSE()))*1440</f>
        <v>270</v>
      </c>
      <c r="K440" s="3">
        <f>(G440-VLOOKUP($A440,Runs!$A$2:$E$9,5,FALSE()))*1440</f>
        <v>841.53333326568827</v>
      </c>
    </row>
    <row r="441" spans="1:11" ht="15" customHeight="1" x14ac:dyDescent="0.25">
      <c r="A441" t="s">
        <v>5</v>
      </c>
      <c r="B441">
        <v>3</v>
      </c>
      <c r="C441" t="s">
        <v>102</v>
      </c>
      <c r="D441" t="s">
        <v>85</v>
      </c>
      <c r="E441" t="s">
        <v>181</v>
      </c>
      <c r="F441" s="12">
        <v>45665.125</v>
      </c>
      <c r="G441" s="12">
        <v>45665.605347222197</v>
      </c>
      <c r="H441" t="str">
        <f t="shared" si="12"/>
        <v>RT</v>
      </c>
      <c r="I441" t="str">
        <f t="shared" si="13"/>
        <v>RT</v>
      </c>
      <c r="J441" s="3">
        <f>(F441-VLOOKUP($A441,Runs!$A$2:$E$9,5,FALSE()))*1440</f>
        <v>180</v>
      </c>
      <c r="K441" s="3">
        <f>(G441-VLOOKUP($A441,Runs!$A$2:$E$9,5,FALSE()))*1440</f>
        <v>871.69999996433035</v>
      </c>
    </row>
    <row r="442" spans="1:11" ht="15" customHeight="1" x14ac:dyDescent="0.25">
      <c r="A442" t="s">
        <v>5</v>
      </c>
      <c r="B442">
        <v>4</v>
      </c>
      <c r="C442" t="s">
        <v>117</v>
      </c>
      <c r="D442" t="s">
        <v>85</v>
      </c>
      <c r="E442" t="s">
        <v>181</v>
      </c>
      <c r="F442" s="12">
        <v>45665.1875</v>
      </c>
      <c r="G442" s="12">
        <v>45665.626064814802</v>
      </c>
      <c r="H442" t="str">
        <f t="shared" si="12"/>
        <v>RT</v>
      </c>
      <c r="I442" t="str">
        <f t="shared" si="13"/>
        <v>RT</v>
      </c>
      <c r="J442" s="3">
        <f>(F442-VLOOKUP($A442,Runs!$A$2:$E$9,5,FALSE()))*1440</f>
        <v>270</v>
      </c>
      <c r="K442" s="3">
        <f>(G442-VLOOKUP($A442,Runs!$A$2:$E$9,5,FALSE()))*1440</f>
        <v>901.53333331458271</v>
      </c>
    </row>
    <row r="443" spans="1:11" ht="15" customHeight="1" x14ac:dyDescent="0.25">
      <c r="A443" t="s">
        <v>5</v>
      </c>
      <c r="B443">
        <v>1</v>
      </c>
      <c r="C443" t="s">
        <v>191</v>
      </c>
      <c r="D443" t="s">
        <v>85</v>
      </c>
      <c r="E443" t="s">
        <v>192</v>
      </c>
      <c r="F443" s="12">
        <v>45665</v>
      </c>
      <c r="G443" s="12">
        <v>45665.627129629604</v>
      </c>
      <c r="H443" t="str">
        <f t="shared" si="12"/>
        <v>SSA</v>
      </c>
      <c r="I443" t="str">
        <f t="shared" si="13"/>
        <v>SSA</v>
      </c>
      <c r="J443" s="3">
        <f>(F443-VLOOKUP($A443,Runs!$A$2:$E$9,5,FALSE()))*1440</f>
        <v>0</v>
      </c>
      <c r="K443" s="3">
        <f>(G443-VLOOKUP($A443,Runs!$A$2:$E$9,5,FALSE()))*1440</f>
        <v>903.06666662916541</v>
      </c>
    </row>
    <row r="444" spans="1:11" ht="15" customHeight="1" x14ac:dyDescent="0.25">
      <c r="A444" t="s">
        <v>5</v>
      </c>
      <c r="B444">
        <v>3</v>
      </c>
      <c r="C444" t="s">
        <v>189</v>
      </c>
      <c r="D444" t="s">
        <v>85</v>
      </c>
      <c r="E444" t="s">
        <v>185</v>
      </c>
      <c r="F444" s="12">
        <v>45665.125</v>
      </c>
      <c r="G444" s="12">
        <v>45665.646898148101</v>
      </c>
      <c r="H444" t="str">
        <f t="shared" si="12"/>
        <v>FT</v>
      </c>
      <c r="I444" t="str">
        <f t="shared" si="13"/>
        <v>FT</v>
      </c>
      <c r="J444" s="3">
        <f>(F444-VLOOKUP($A444,Runs!$A$2:$E$9,5,FALSE()))*1440</f>
        <v>180</v>
      </c>
      <c r="K444" s="3">
        <f>(G444-VLOOKUP($A444,Runs!$A$2:$E$9,5,FALSE()))*1440</f>
        <v>931.53333326568827</v>
      </c>
    </row>
    <row r="445" spans="1:11" ht="15" customHeight="1" x14ac:dyDescent="0.25">
      <c r="A445" t="s">
        <v>5</v>
      </c>
      <c r="B445">
        <v>4</v>
      </c>
      <c r="C445" t="s">
        <v>119</v>
      </c>
      <c r="D445" t="s">
        <v>85</v>
      </c>
      <c r="E445" t="s">
        <v>181</v>
      </c>
      <c r="F445" s="12">
        <v>45665.1875</v>
      </c>
      <c r="G445" s="12">
        <v>45665.667731481502</v>
      </c>
      <c r="H445" t="str">
        <f t="shared" si="12"/>
        <v>RT</v>
      </c>
      <c r="I445" t="str">
        <f t="shared" si="13"/>
        <v>RT</v>
      </c>
      <c r="J445" s="3">
        <f>(F445-VLOOKUP($A445,Runs!$A$2:$E$9,5,FALSE()))*1440</f>
        <v>270</v>
      </c>
      <c r="K445" s="3">
        <f>(G445-VLOOKUP($A445,Runs!$A$2:$E$9,5,FALSE()))*1440</f>
        <v>961.53333336347714</v>
      </c>
    </row>
    <row r="446" spans="1:11" ht="15" customHeight="1" x14ac:dyDescent="0.25">
      <c r="A446" t="s">
        <v>5</v>
      </c>
      <c r="B446">
        <v>1</v>
      </c>
      <c r="C446" t="s">
        <v>194</v>
      </c>
      <c r="D446" t="s">
        <v>85</v>
      </c>
      <c r="E446" t="s">
        <v>192</v>
      </c>
      <c r="F446" s="12">
        <v>45665</v>
      </c>
      <c r="G446" s="12">
        <v>45665.668796296297</v>
      </c>
      <c r="H446" t="str">
        <f t="shared" si="12"/>
        <v>SSA</v>
      </c>
      <c r="I446" t="str">
        <f t="shared" si="13"/>
        <v>SSA</v>
      </c>
      <c r="J446" s="3">
        <f>(F446-VLOOKUP($A446,Runs!$A$2:$E$9,5,FALSE()))*1440</f>
        <v>0</v>
      </c>
      <c r="K446" s="3">
        <f>(G446-VLOOKUP($A446,Runs!$A$2:$E$9,5,FALSE()))*1440</f>
        <v>963.06666666758247</v>
      </c>
    </row>
    <row r="447" spans="1:11" ht="15" customHeight="1" x14ac:dyDescent="0.25">
      <c r="A447" t="s">
        <v>5</v>
      </c>
      <c r="B447">
        <v>1</v>
      </c>
      <c r="C447" t="s">
        <v>196</v>
      </c>
      <c r="D447" t="s">
        <v>85</v>
      </c>
      <c r="E447" t="s">
        <v>197</v>
      </c>
      <c r="F447" s="12">
        <v>45665</v>
      </c>
      <c r="G447" s="12">
        <v>45665.6890277778</v>
      </c>
      <c r="H447" t="str">
        <f t="shared" si="12"/>
        <v>FAX</v>
      </c>
      <c r="I447" t="str">
        <f t="shared" si="13"/>
        <v>FAX</v>
      </c>
      <c r="J447" s="3">
        <f>(F447-VLOOKUP($A447,Runs!$A$2:$E$9,5,FALSE()))*1440</f>
        <v>0</v>
      </c>
      <c r="K447" s="3">
        <f>(G447-VLOOKUP($A447,Runs!$A$2:$E$9,5,FALSE()))*1440</f>
        <v>992.20000003231689</v>
      </c>
    </row>
    <row r="448" spans="1:11" ht="15" customHeight="1" x14ac:dyDescent="0.25">
      <c r="A448" t="s">
        <v>5</v>
      </c>
      <c r="B448">
        <v>2</v>
      </c>
      <c r="C448" t="s">
        <v>193</v>
      </c>
      <c r="D448" t="s">
        <v>85</v>
      </c>
      <c r="E448" t="s">
        <v>192</v>
      </c>
      <c r="F448" s="12">
        <v>45665.0625</v>
      </c>
      <c r="G448" s="12">
        <v>45665.690092592602</v>
      </c>
      <c r="H448" t="str">
        <f t="shared" si="12"/>
        <v>SSA</v>
      </c>
      <c r="I448" t="str">
        <f t="shared" si="13"/>
        <v>SSA</v>
      </c>
      <c r="J448" s="3">
        <f>(F448-VLOOKUP($A448,Runs!$A$2:$E$9,5,FALSE()))*1440</f>
        <v>90</v>
      </c>
      <c r="K448" s="3">
        <f>(G448-VLOOKUP($A448,Runs!$A$2:$E$9,5,FALSE()))*1440</f>
        <v>993.7333333468996</v>
      </c>
    </row>
    <row r="449" spans="1:11" ht="15" customHeight="1" x14ac:dyDescent="0.25">
      <c r="A449" t="s">
        <v>5</v>
      </c>
      <c r="B449">
        <v>3</v>
      </c>
      <c r="C449" t="s">
        <v>190</v>
      </c>
      <c r="D449" t="s">
        <v>85</v>
      </c>
      <c r="E449" t="s">
        <v>185</v>
      </c>
      <c r="F449" s="12">
        <v>45665.125</v>
      </c>
      <c r="G449" s="12">
        <v>45665.710462962998</v>
      </c>
      <c r="H449" t="str">
        <f t="shared" si="12"/>
        <v>FT</v>
      </c>
      <c r="I449" t="str">
        <f t="shared" si="13"/>
        <v>FT</v>
      </c>
      <c r="J449" s="3">
        <f>(F449-VLOOKUP($A449,Runs!$A$2:$E$9,5,FALSE()))*1440</f>
        <v>180</v>
      </c>
      <c r="K449" s="3">
        <f>(G449-VLOOKUP($A449,Runs!$A$2:$E$9,5,FALSE()))*1440</f>
        <v>1023.0666667164769</v>
      </c>
    </row>
    <row r="450" spans="1:11" ht="15" customHeight="1" x14ac:dyDescent="0.25">
      <c r="A450" t="s">
        <v>5</v>
      </c>
      <c r="B450">
        <v>4</v>
      </c>
      <c r="C450" t="s">
        <v>120</v>
      </c>
      <c r="D450" t="s">
        <v>85</v>
      </c>
      <c r="E450" t="s">
        <v>185</v>
      </c>
      <c r="F450" s="12">
        <v>45665.1875</v>
      </c>
      <c r="G450" s="12">
        <v>45665.711527777799</v>
      </c>
      <c r="H450" t="str">
        <f t="shared" ref="H450:H513" si="14">MID(E450,8,100)</f>
        <v>FT</v>
      </c>
      <c r="I450" t="str">
        <f t="shared" ref="I450:I513" si="15">IF(H450="CORE","CHS",H450)</f>
        <v>FT</v>
      </c>
      <c r="J450" s="3">
        <f>(F450-VLOOKUP($A450,Runs!$A$2:$E$9,5,FALSE()))*1440</f>
        <v>270</v>
      </c>
      <c r="K450" s="3">
        <f>(G450-VLOOKUP($A450,Runs!$A$2:$E$9,5,FALSE()))*1440</f>
        <v>1024.6000000310596</v>
      </c>
    </row>
    <row r="451" spans="1:11" ht="15" customHeight="1" x14ac:dyDescent="0.25">
      <c r="A451" t="s">
        <v>5</v>
      </c>
      <c r="B451">
        <v>2</v>
      </c>
      <c r="C451" t="s">
        <v>198</v>
      </c>
      <c r="D451" t="s">
        <v>85</v>
      </c>
      <c r="E451" t="s">
        <v>192</v>
      </c>
      <c r="F451" s="12">
        <v>45665.0625</v>
      </c>
      <c r="G451" s="12">
        <v>45665.730231481502</v>
      </c>
      <c r="H451" t="str">
        <f t="shared" si="14"/>
        <v>SSA</v>
      </c>
      <c r="I451" t="str">
        <f t="shared" si="15"/>
        <v>SSA</v>
      </c>
      <c r="J451" s="3">
        <f>(F451-VLOOKUP($A451,Runs!$A$2:$E$9,5,FALSE()))*1440</f>
        <v>90</v>
      </c>
      <c r="K451" s="3">
        <f>(G451-VLOOKUP($A451,Runs!$A$2:$E$9,5,FALSE()))*1440</f>
        <v>1051.5333333634771</v>
      </c>
    </row>
    <row r="452" spans="1:11" ht="15" customHeight="1" x14ac:dyDescent="0.25">
      <c r="A452" t="s">
        <v>5</v>
      </c>
      <c r="B452">
        <v>5</v>
      </c>
      <c r="C452" t="s">
        <v>213</v>
      </c>
      <c r="D452" t="s">
        <v>85</v>
      </c>
      <c r="E452" t="s">
        <v>178</v>
      </c>
      <c r="F452" s="12">
        <v>45665.25</v>
      </c>
      <c r="G452" s="12">
        <v>45665.752083333296</v>
      </c>
      <c r="H452" t="str">
        <f t="shared" si="14"/>
        <v>BOSP</v>
      </c>
      <c r="I452" t="str">
        <f t="shared" si="15"/>
        <v>BOSP</v>
      </c>
      <c r="J452" s="3">
        <f>(F452-VLOOKUP($A452,Runs!$A$2:$E$9,5,FALSE()))*1440</f>
        <v>360</v>
      </c>
      <c r="K452" s="3">
        <f>(G452-VLOOKUP($A452,Runs!$A$2:$E$9,5,FALSE()))*1440</f>
        <v>1082.9999999469146</v>
      </c>
    </row>
    <row r="453" spans="1:11" ht="15" customHeight="1" x14ac:dyDescent="0.25">
      <c r="A453" t="s">
        <v>5</v>
      </c>
      <c r="B453">
        <v>2</v>
      </c>
      <c r="C453" t="s">
        <v>200</v>
      </c>
      <c r="D453" t="s">
        <v>85</v>
      </c>
      <c r="E453" t="s">
        <v>197</v>
      </c>
      <c r="F453" s="12">
        <v>45665.0625</v>
      </c>
      <c r="G453" s="12">
        <v>45665.7531481482</v>
      </c>
      <c r="H453" t="str">
        <f t="shared" si="14"/>
        <v>FAX</v>
      </c>
      <c r="I453" t="str">
        <f t="shared" si="15"/>
        <v>FAX</v>
      </c>
      <c r="J453" s="3">
        <f>(F453-VLOOKUP($A453,Runs!$A$2:$E$9,5,FALSE()))*1440</f>
        <v>90</v>
      </c>
      <c r="K453" s="3">
        <f>(G453-VLOOKUP($A453,Runs!$A$2:$E$9,5,FALSE()))*1440</f>
        <v>1084.5333334081806</v>
      </c>
    </row>
    <row r="454" spans="1:11" ht="15" customHeight="1" x14ac:dyDescent="0.25">
      <c r="A454" t="s">
        <v>5</v>
      </c>
      <c r="B454">
        <v>4</v>
      </c>
      <c r="C454" t="s">
        <v>124</v>
      </c>
      <c r="D454" t="s">
        <v>85</v>
      </c>
      <c r="E454" t="s">
        <v>185</v>
      </c>
      <c r="F454" s="12">
        <v>45665.1875</v>
      </c>
      <c r="G454" s="12">
        <v>45665.772962962998</v>
      </c>
      <c r="H454" t="str">
        <f t="shared" si="14"/>
        <v>FT</v>
      </c>
      <c r="I454" t="str">
        <f t="shared" si="15"/>
        <v>FT</v>
      </c>
      <c r="J454" s="3">
        <f>(F454-VLOOKUP($A454,Runs!$A$2:$E$9,5,FALSE()))*1440</f>
        <v>270</v>
      </c>
      <c r="K454" s="3">
        <f>(G454-VLOOKUP($A454,Runs!$A$2:$E$9,5,FALSE()))*1440</f>
        <v>1113.0666667164769</v>
      </c>
    </row>
    <row r="455" spans="1:11" ht="15" customHeight="1" x14ac:dyDescent="0.25">
      <c r="A455" t="s">
        <v>5</v>
      </c>
      <c r="B455">
        <v>5</v>
      </c>
      <c r="C455" t="s">
        <v>214</v>
      </c>
      <c r="D455" t="s">
        <v>85</v>
      </c>
      <c r="E455" t="s">
        <v>178</v>
      </c>
      <c r="F455" s="12">
        <v>45665.25</v>
      </c>
      <c r="G455" s="12">
        <v>45665.792731481502</v>
      </c>
      <c r="H455" t="str">
        <f t="shared" si="14"/>
        <v>BOSP</v>
      </c>
      <c r="I455" t="str">
        <f t="shared" si="15"/>
        <v>BOSP</v>
      </c>
      <c r="J455" s="3">
        <f>(F455-VLOOKUP($A455,Runs!$A$2:$E$9,5,FALSE()))*1440</f>
        <v>360</v>
      </c>
      <c r="K455" s="3">
        <f>(G455-VLOOKUP($A455,Runs!$A$2:$E$9,5,FALSE()))*1440</f>
        <v>1141.5333333634771</v>
      </c>
    </row>
    <row r="456" spans="1:11" ht="15" customHeight="1" x14ac:dyDescent="0.25">
      <c r="A456" t="s">
        <v>5</v>
      </c>
      <c r="B456">
        <v>6</v>
      </c>
      <c r="C456" t="s">
        <v>133</v>
      </c>
      <c r="D456" t="s">
        <v>85</v>
      </c>
      <c r="E456" t="s">
        <v>178</v>
      </c>
      <c r="F456" s="12">
        <v>45665.3125</v>
      </c>
      <c r="G456" s="12">
        <v>45665.814189814802</v>
      </c>
      <c r="H456" t="str">
        <f t="shared" si="14"/>
        <v>BOSP</v>
      </c>
      <c r="I456" t="str">
        <f t="shared" si="15"/>
        <v>BOSP</v>
      </c>
      <c r="J456" s="3">
        <f>(F456-VLOOKUP($A456,Runs!$A$2:$E$9,5,FALSE()))*1440</f>
        <v>450</v>
      </c>
      <c r="K456" s="3">
        <f>(G456-VLOOKUP($A456,Runs!$A$2:$E$9,5,FALSE()))*1440</f>
        <v>1172.4333333154209</v>
      </c>
    </row>
    <row r="457" spans="1:11" ht="15" customHeight="1" x14ac:dyDescent="0.25">
      <c r="A457" t="s">
        <v>5</v>
      </c>
      <c r="B457">
        <v>1</v>
      </c>
      <c r="C457" t="s">
        <v>202</v>
      </c>
      <c r="D457" t="s">
        <v>85</v>
      </c>
      <c r="E457" t="s">
        <v>203</v>
      </c>
      <c r="F457" s="12">
        <v>45665</v>
      </c>
      <c r="G457" s="12">
        <v>45665.815254629597</v>
      </c>
      <c r="H457" t="str">
        <f t="shared" si="14"/>
        <v>CHS</v>
      </c>
      <c r="I457" t="str">
        <f t="shared" si="15"/>
        <v>CHS</v>
      </c>
      <c r="J457" s="3">
        <f>(F457-VLOOKUP($A457,Runs!$A$2:$E$9,5,FALSE()))*1440</f>
        <v>0</v>
      </c>
      <c r="K457" s="3">
        <f>(G457-VLOOKUP($A457,Runs!$A$2:$E$9,5,FALSE()))*1440</f>
        <v>1173.9666666195262</v>
      </c>
    </row>
    <row r="458" spans="1:11" ht="15" customHeight="1" x14ac:dyDescent="0.25">
      <c r="A458" t="s">
        <v>5</v>
      </c>
      <c r="B458">
        <v>5</v>
      </c>
      <c r="C458" t="s">
        <v>218</v>
      </c>
      <c r="D458" t="s">
        <v>85</v>
      </c>
      <c r="E458" t="s">
        <v>180</v>
      </c>
      <c r="F458" s="12">
        <v>45665.25</v>
      </c>
      <c r="G458" s="12">
        <v>45665.855231481502</v>
      </c>
      <c r="H458" t="str">
        <f t="shared" si="14"/>
        <v>BAT</v>
      </c>
      <c r="I458" t="str">
        <f t="shared" si="15"/>
        <v>BAT</v>
      </c>
      <c r="J458" s="3">
        <f>(F458-VLOOKUP($A458,Runs!$A$2:$E$9,5,FALSE()))*1440</f>
        <v>360</v>
      </c>
      <c r="K458" s="3">
        <f>(G458-VLOOKUP($A458,Runs!$A$2:$E$9,5,FALSE()))*1440</f>
        <v>1231.5333333634771</v>
      </c>
    </row>
    <row r="459" spans="1:11" ht="15" customHeight="1" x14ac:dyDescent="0.25">
      <c r="A459" t="s">
        <v>5</v>
      </c>
      <c r="B459">
        <v>6</v>
      </c>
      <c r="C459" t="s">
        <v>134</v>
      </c>
      <c r="D459" t="s">
        <v>85</v>
      </c>
      <c r="E459" t="s">
        <v>178</v>
      </c>
      <c r="F459" s="12">
        <v>45665.3125</v>
      </c>
      <c r="G459" s="12">
        <v>45665.856296296297</v>
      </c>
      <c r="H459" t="str">
        <f t="shared" si="14"/>
        <v>BOSP</v>
      </c>
      <c r="I459" t="str">
        <f t="shared" si="15"/>
        <v>BOSP</v>
      </c>
      <c r="J459" s="3">
        <f>(F459-VLOOKUP($A459,Runs!$A$2:$E$9,5,FALSE()))*1440</f>
        <v>450</v>
      </c>
      <c r="K459" s="3">
        <f>(G459-VLOOKUP($A459,Runs!$A$2:$E$9,5,FALSE()))*1440</f>
        <v>1233.0666666675825</v>
      </c>
    </row>
    <row r="460" spans="1:11" ht="15" customHeight="1" x14ac:dyDescent="0.25">
      <c r="A460" t="s">
        <v>5</v>
      </c>
      <c r="B460">
        <v>1</v>
      </c>
      <c r="C460" t="s">
        <v>99</v>
      </c>
      <c r="D460" t="s">
        <v>85</v>
      </c>
      <c r="E460" t="s">
        <v>206</v>
      </c>
      <c r="F460" s="12">
        <v>45665</v>
      </c>
      <c r="G460" s="12">
        <v>45665.857361111099</v>
      </c>
      <c r="H460" t="str">
        <f t="shared" si="14"/>
        <v>BSA</v>
      </c>
      <c r="I460" t="str">
        <f t="shared" si="15"/>
        <v>BSA</v>
      </c>
      <c r="J460" s="3">
        <f>(F460-VLOOKUP($A460,Runs!$A$2:$E$9,5,FALSE()))*1440</f>
        <v>0</v>
      </c>
      <c r="K460" s="3">
        <f>(G460-VLOOKUP($A460,Runs!$A$2:$E$9,5,FALSE()))*1440</f>
        <v>1234.5999999821652</v>
      </c>
    </row>
    <row r="461" spans="1:11" ht="15" customHeight="1" x14ac:dyDescent="0.25">
      <c r="A461" t="s">
        <v>5</v>
      </c>
      <c r="B461">
        <v>2</v>
      </c>
      <c r="C461" t="s">
        <v>207</v>
      </c>
      <c r="D461" t="s">
        <v>85</v>
      </c>
      <c r="E461" t="s">
        <v>203</v>
      </c>
      <c r="F461" s="12">
        <v>45665.0625</v>
      </c>
      <c r="G461" s="12">
        <v>45665.8765277778</v>
      </c>
      <c r="H461" t="str">
        <f t="shared" si="14"/>
        <v>CHS</v>
      </c>
      <c r="I461" t="str">
        <f t="shared" si="15"/>
        <v>CHS</v>
      </c>
      <c r="J461" s="3">
        <f>(F461-VLOOKUP($A461,Runs!$A$2:$E$9,5,FALSE()))*1440</f>
        <v>90</v>
      </c>
      <c r="K461" s="3">
        <f>(G461-VLOOKUP($A461,Runs!$A$2:$E$9,5,FALSE()))*1440</f>
        <v>1262.2000000323169</v>
      </c>
    </row>
    <row r="462" spans="1:11" ht="15" customHeight="1" x14ac:dyDescent="0.25">
      <c r="A462" t="s">
        <v>5</v>
      </c>
      <c r="B462">
        <v>5</v>
      </c>
      <c r="C462" t="s">
        <v>127</v>
      </c>
      <c r="D462" t="s">
        <v>85</v>
      </c>
      <c r="E462" t="s">
        <v>181</v>
      </c>
      <c r="F462" s="12">
        <v>45665.25</v>
      </c>
      <c r="G462" s="12">
        <v>45665.896898148101</v>
      </c>
      <c r="H462" t="str">
        <f t="shared" si="14"/>
        <v>RT</v>
      </c>
      <c r="I462" t="str">
        <f t="shared" si="15"/>
        <v>RT</v>
      </c>
      <c r="J462" s="3">
        <f>(F462-VLOOKUP($A462,Runs!$A$2:$E$9,5,FALSE()))*1440</f>
        <v>360</v>
      </c>
      <c r="K462" s="3">
        <f>(G462-VLOOKUP($A462,Runs!$A$2:$E$9,5,FALSE()))*1440</f>
        <v>1291.5333332656883</v>
      </c>
    </row>
    <row r="463" spans="1:11" ht="15" customHeight="1" x14ac:dyDescent="0.25">
      <c r="A463" t="s">
        <v>5</v>
      </c>
      <c r="B463">
        <v>6</v>
      </c>
      <c r="C463" t="s">
        <v>221</v>
      </c>
      <c r="D463" t="s">
        <v>85</v>
      </c>
      <c r="E463" t="s">
        <v>180</v>
      </c>
      <c r="F463" s="12">
        <v>45665.3125</v>
      </c>
      <c r="G463" s="12">
        <v>45665.917731481502</v>
      </c>
      <c r="H463" t="str">
        <f t="shared" si="14"/>
        <v>BAT</v>
      </c>
      <c r="I463" t="str">
        <f t="shared" si="15"/>
        <v>BAT</v>
      </c>
      <c r="J463" s="3">
        <f>(F463-VLOOKUP($A463,Runs!$A$2:$E$9,5,FALSE()))*1440</f>
        <v>450</v>
      </c>
      <c r="K463" s="3">
        <f>(G463-VLOOKUP($A463,Runs!$A$2:$E$9,5,FALSE()))*1440</f>
        <v>1321.5333333634771</v>
      </c>
    </row>
    <row r="464" spans="1:11" ht="15" customHeight="1" x14ac:dyDescent="0.25">
      <c r="A464" t="s">
        <v>5</v>
      </c>
      <c r="B464">
        <v>1</v>
      </c>
      <c r="C464" t="s">
        <v>104</v>
      </c>
      <c r="D464" t="s">
        <v>85</v>
      </c>
      <c r="E464" t="s">
        <v>206</v>
      </c>
      <c r="F464" s="12">
        <v>45665</v>
      </c>
      <c r="G464" s="12">
        <v>45665.918796296297</v>
      </c>
      <c r="H464" t="str">
        <f t="shared" si="14"/>
        <v>BSA</v>
      </c>
      <c r="I464" t="str">
        <f t="shared" si="15"/>
        <v>BSA</v>
      </c>
      <c r="J464" s="3">
        <f>(F464-VLOOKUP($A464,Runs!$A$2:$E$9,5,FALSE()))*1440</f>
        <v>0</v>
      </c>
      <c r="K464" s="3">
        <f>(G464-VLOOKUP($A464,Runs!$A$2:$E$9,5,FALSE()))*1440</f>
        <v>1323.0666666675825</v>
      </c>
    </row>
    <row r="465" spans="1:11" ht="15" customHeight="1" x14ac:dyDescent="0.25">
      <c r="A465" t="s">
        <v>5</v>
      </c>
      <c r="B465">
        <v>2</v>
      </c>
      <c r="C465" t="s">
        <v>110</v>
      </c>
      <c r="D465" t="s">
        <v>85</v>
      </c>
      <c r="E465" t="s">
        <v>206</v>
      </c>
      <c r="F465" s="12">
        <v>45665.0625</v>
      </c>
      <c r="G465" s="12">
        <v>45665.919861111099</v>
      </c>
      <c r="H465" t="str">
        <f t="shared" si="14"/>
        <v>BSA</v>
      </c>
      <c r="I465" t="str">
        <f t="shared" si="15"/>
        <v>BSA</v>
      </c>
      <c r="J465" s="3">
        <f>(F465-VLOOKUP($A465,Runs!$A$2:$E$9,5,FALSE()))*1440</f>
        <v>90</v>
      </c>
      <c r="K465" s="3">
        <f>(G465-VLOOKUP($A465,Runs!$A$2:$E$9,5,FALSE()))*1440</f>
        <v>1324.5999999821652</v>
      </c>
    </row>
    <row r="466" spans="1:11" ht="15" customHeight="1" x14ac:dyDescent="0.25">
      <c r="A466" t="s">
        <v>5</v>
      </c>
      <c r="B466">
        <v>5</v>
      </c>
      <c r="C466" t="s">
        <v>129</v>
      </c>
      <c r="D466" t="s">
        <v>85</v>
      </c>
      <c r="E466" t="s">
        <v>181</v>
      </c>
      <c r="F466" s="12">
        <v>45665.25</v>
      </c>
      <c r="G466" s="12">
        <v>45665.938564814802</v>
      </c>
      <c r="H466" t="str">
        <f t="shared" si="14"/>
        <v>RT</v>
      </c>
      <c r="I466" t="str">
        <f t="shared" si="15"/>
        <v>RT</v>
      </c>
      <c r="J466" s="3">
        <f>(F466-VLOOKUP($A466,Runs!$A$2:$E$9,5,FALSE()))*1440</f>
        <v>360</v>
      </c>
      <c r="K466" s="3">
        <f>(G466-VLOOKUP($A466,Runs!$A$2:$E$9,5,FALSE()))*1440</f>
        <v>1351.5333333145827</v>
      </c>
    </row>
    <row r="467" spans="1:11" ht="15" customHeight="1" x14ac:dyDescent="0.25">
      <c r="A467" t="s">
        <v>5</v>
      </c>
      <c r="B467">
        <v>1</v>
      </c>
      <c r="C467" t="s">
        <v>210</v>
      </c>
      <c r="D467" t="s">
        <v>85</v>
      </c>
      <c r="E467" t="s">
        <v>211</v>
      </c>
      <c r="F467" s="12">
        <v>45665</v>
      </c>
      <c r="G467" s="12">
        <v>45665.939629629604</v>
      </c>
      <c r="H467" t="str">
        <f t="shared" si="14"/>
        <v>RAX_HD</v>
      </c>
      <c r="I467" t="str">
        <f t="shared" si="15"/>
        <v>RAX_HD</v>
      </c>
      <c r="J467" s="3">
        <f>(F467-VLOOKUP($A467,Runs!$A$2:$E$9,5,FALSE()))*1440</f>
        <v>0</v>
      </c>
      <c r="K467" s="3">
        <f>(G467-VLOOKUP($A467,Runs!$A$2:$E$9,5,FALSE()))*1440</f>
        <v>1353.0666666291654</v>
      </c>
    </row>
    <row r="468" spans="1:11" ht="15" customHeight="1" x14ac:dyDescent="0.25">
      <c r="A468" t="s">
        <v>5</v>
      </c>
      <c r="B468">
        <v>6</v>
      </c>
      <c r="C468" t="s">
        <v>137</v>
      </c>
      <c r="D468" t="s">
        <v>85</v>
      </c>
      <c r="E468" t="s">
        <v>181</v>
      </c>
      <c r="F468" s="12">
        <v>45665.3125</v>
      </c>
      <c r="G468" s="12">
        <v>45665.959398148101</v>
      </c>
      <c r="H468" t="str">
        <f t="shared" si="14"/>
        <v>RT</v>
      </c>
      <c r="I468" t="str">
        <f t="shared" si="15"/>
        <v>RT</v>
      </c>
      <c r="J468" s="3">
        <f>(F468-VLOOKUP($A468,Runs!$A$2:$E$9,5,FALSE()))*1440</f>
        <v>450</v>
      </c>
      <c r="K468" s="3">
        <f>(G468-VLOOKUP($A468,Runs!$A$2:$E$9,5,FALSE()))*1440</f>
        <v>1381.5333332656883</v>
      </c>
    </row>
    <row r="469" spans="1:11" ht="15" customHeight="1" x14ac:dyDescent="0.25">
      <c r="A469" t="s">
        <v>5</v>
      </c>
      <c r="B469">
        <v>3</v>
      </c>
      <c r="C469" t="s">
        <v>195</v>
      </c>
      <c r="D469" t="s">
        <v>85</v>
      </c>
      <c r="E469" t="s">
        <v>192</v>
      </c>
      <c r="F469" s="12">
        <v>45665.125</v>
      </c>
      <c r="G469" s="12">
        <v>45665.960462962998</v>
      </c>
      <c r="H469" t="str">
        <f t="shared" si="14"/>
        <v>SSA</v>
      </c>
      <c r="I469" t="str">
        <f t="shared" si="15"/>
        <v>SSA</v>
      </c>
      <c r="J469" s="3">
        <f>(F469-VLOOKUP($A469,Runs!$A$2:$E$9,5,FALSE()))*1440</f>
        <v>180</v>
      </c>
      <c r="K469" s="3">
        <f>(G469-VLOOKUP($A469,Runs!$A$2:$E$9,5,FALSE()))*1440</f>
        <v>1383.0666667164769</v>
      </c>
    </row>
    <row r="470" spans="1:11" ht="15" customHeight="1" x14ac:dyDescent="0.25">
      <c r="A470" t="s">
        <v>5</v>
      </c>
      <c r="B470">
        <v>5</v>
      </c>
      <c r="C470" t="s">
        <v>130</v>
      </c>
      <c r="D470" t="s">
        <v>85</v>
      </c>
      <c r="E470" t="s">
        <v>185</v>
      </c>
      <c r="F470" s="12">
        <v>45665.25</v>
      </c>
      <c r="G470" s="12">
        <v>45665.980231481502</v>
      </c>
      <c r="H470" t="str">
        <f t="shared" si="14"/>
        <v>FT</v>
      </c>
      <c r="I470" t="str">
        <f t="shared" si="15"/>
        <v>FT</v>
      </c>
      <c r="J470" s="3">
        <f>(F470-VLOOKUP($A470,Runs!$A$2:$E$9,5,FALSE()))*1440</f>
        <v>360</v>
      </c>
      <c r="K470" s="3">
        <f>(G470-VLOOKUP($A470,Runs!$A$2:$E$9,5,FALSE()))*1440</f>
        <v>1411.5333333634771</v>
      </c>
    </row>
    <row r="471" spans="1:11" ht="15" customHeight="1" x14ac:dyDescent="0.25">
      <c r="A471" t="s">
        <v>5</v>
      </c>
      <c r="B471">
        <v>2</v>
      </c>
      <c r="C471" t="s">
        <v>112</v>
      </c>
      <c r="D471" t="s">
        <v>85</v>
      </c>
      <c r="E471" t="s">
        <v>206</v>
      </c>
      <c r="F471" s="12">
        <v>45665.0625</v>
      </c>
      <c r="G471" s="12">
        <v>45665.981296296297</v>
      </c>
      <c r="H471" t="str">
        <f t="shared" si="14"/>
        <v>BSA</v>
      </c>
      <c r="I471" t="str">
        <f t="shared" si="15"/>
        <v>BSA</v>
      </c>
      <c r="J471" s="3">
        <f>(F471-VLOOKUP($A471,Runs!$A$2:$E$9,5,FALSE()))*1440</f>
        <v>90</v>
      </c>
      <c r="K471" s="3">
        <f>(G471-VLOOKUP($A471,Runs!$A$2:$E$9,5,FALSE()))*1440</f>
        <v>1413.0666666675825</v>
      </c>
    </row>
    <row r="472" spans="1:11" ht="15" customHeight="1" x14ac:dyDescent="0.25">
      <c r="A472" t="s">
        <v>5</v>
      </c>
      <c r="B472">
        <v>6</v>
      </c>
      <c r="C472" t="s">
        <v>138</v>
      </c>
      <c r="D472" t="s">
        <v>85</v>
      </c>
      <c r="E472" t="s">
        <v>181</v>
      </c>
      <c r="F472" s="12">
        <v>45665.3125</v>
      </c>
      <c r="G472" s="12">
        <v>45666.001064814802</v>
      </c>
      <c r="H472" t="str">
        <f t="shared" si="14"/>
        <v>RT</v>
      </c>
      <c r="I472" t="str">
        <f t="shared" si="15"/>
        <v>RT</v>
      </c>
      <c r="J472" s="3">
        <f>(F472-VLOOKUP($A472,Runs!$A$2:$E$9,5,FALSE()))*1440</f>
        <v>450</v>
      </c>
      <c r="K472" s="3">
        <f>(G472-VLOOKUP($A472,Runs!$A$2:$E$9,5,FALSE()))*1440</f>
        <v>1441.5333333145827</v>
      </c>
    </row>
    <row r="473" spans="1:11" ht="15" customHeight="1" x14ac:dyDescent="0.25">
      <c r="A473" t="s">
        <v>5</v>
      </c>
      <c r="B473">
        <v>2</v>
      </c>
      <c r="C473" t="s">
        <v>215</v>
      </c>
      <c r="D473" t="s">
        <v>85</v>
      </c>
      <c r="E473" t="s">
        <v>211</v>
      </c>
      <c r="F473" s="12">
        <v>45665.0625</v>
      </c>
      <c r="G473" s="12">
        <v>45666.002129629604</v>
      </c>
      <c r="H473" t="str">
        <f t="shared" si="14"/>
        <v>RAX_HD</v>
      </c>
      <c r="I473" t="str">
        <f t="shared" si="15"/>
        <v>RAX_HD</v>
      </c>
      <c r="J473" s="3">
        <f>(F473-VLOOKUP($A473,Runs!$A$2:$E$9,5,FALSE()))*1440</f>
        <v>90</v>
      </c>
      <c r="K473" s="3">
        <f>(G473-VLOOKUP($A473,Runs!$A$2:$E$9,5,FALSE()))*1440</f>
        <v>1443.0666666291654</v>
      </c>
    </row>
    <row r="474" spans="1:11" ht="15" customHeight="1" x14ac:dyDescent="0.25">
      <c r="A474" t="s">
        <v>5</v>
      </c>
      <c r="B474">
        <v>3</v>
      </c>
      <c r="C474" t="s">
        <v>201</v>
      </c>
      <c r="D474" t="s">
        <v>85</v>
      </c>
      <c r="E474" t="s">
        <v>192</v>
      </c>
      <c r="F474" s="12">
        <v>45665.125</v>
      </c>
      <c r="G474" s="12">
        <v>45666.003194444398</v>
      </c>
      <c r="H474" t="str">
        <f t="shared" si="14"/>
        <v>SSA</v>
      </c>
      <c r="I474" t="str">
        <f t="shared" si="15"/>
        <v>SSA</v>
      </c>
      <c r="J474" s="3">
        <f>(F474-VLOOKUP($A474,Runs!$A$2:$E$9,5,FALSE()))*1440</f>
        <v>180</v>
      </c>
      <c r="K474" s="3">
        <f>(G474-VLOOKUP($A474,Runs!$A$2:$E$9,5,FALSE()))*1440</f>
        <v>1444.5999999332707</v>
      </c>
    </row>
    <row r="475" spans="1:11" ht="15" customHeight="1" x14ac:dyDescent="0.25">
      <c r="A475" t="s">
        <v>5</v>
      </c>
      <c r="B475">
        <v>3</v>
      </c>
      <c r="C475" t="s">
        <v>204</v>
      </c>
      <c r="D475" t="s">
        <v>85</v>
      </c>
      <c r="E475" t="s">
        <v>197</v>
      </c>
      <c r="F475" s="12">
        <v>45665.125</v>
      </c>
      <c r="G475" s="12">
        <v>45666.021898148101</v>
      </c>
      <c r="H475" t="str">
        <f t="shared" si="14"/>
        <v>FAX</v>
      </c>
      <c r="I475" t="str">
        <f t="shared" si="15"/>
        <v>FAX</v>
      </c>
      <c r="J475" s="3">
        <f>(F475-VLOOKUP($A475,Runs!$A$2:$E$9,5,FALSE()))*1440</f>
        <v>180</v>
      </c>
      <c r="K475" s="3">
        <f>(G475-VLOOKUP($A475,Runs!$A$2:$E$9,5,FALSE()))*1440</f>
        <v>1471.5333332656883</v>
      </c>
    </row>
    <row r="476" spans="1:11" ht="15" customHeight="1" x14ac:dyDescent="0.25">
      <c r="A476" t="s">
        <v>5</v>
      </c>
      <c r="B476">
        <v>5</v>
      </c>
      <c r="C476" t="s">
        <v>132</v>
      </c>
      <c r="D476" t="s">
        <v>85</v>
      </c>
      <c r="E476" t="s">
        <v>185</v>
      </c>
      <c r="F476" s="12">
        <v>45665.25</v>
      </c>
      <c r="G476" s="12">
        <v>45666.043796296297</v>
      </c>
      <c r="H476" t="str">
        <f t="shared" si="14"/>
        <v>FT</v>
      </c>
      <c r="I476" t="str">
        <f t="shared" si="15"/>
        <v>FT</v>
      </c>
      <c r="J476" s="3">
        <f>(F476-VLOOKUP($A476,Runs!$A$2:$E$9,5,FALSE()))*1440</f>
        <v>360</v>
      </c>
      <c r="K476" s="3">
        <f>(G476-VLOOKUP($A476,Runs!$A$2:$E$9,5,FALSE()))*1440</f>
        <v>1503.0666666675825</v>
      </c>
    </row>
    <row r="477" spans="1:11" ht="15" customHeight="1" x14ac:dyDescent="0.25">
      <c r="A477" t="s">
        <v>5</v>
      </c>
      <c r="B477">
        <v>6</v>
      </c>
      <c r="C477" t="s">
        <v>223</v>
      </c>
      <c r="D477" t="s">
        <v>85</v>
      </c>
      <c r="E477" t="s">
        <v>185</v>
      </c>
      <c r="F477" s="12">
        <v>45665.3125</v>
      </c>
      <c r="G477" s="12">
        <v>45666.044861111099</v>
      </c>
      <c r="H477" t="str">
        <f t="shared" si="14"/>
        <v>FT</v>
      </c>
      <c r="I477" t="str">
        <f t="shared" si="15"/>
        <v>FT</v>
      </c>
      <c r="J477" s="3">
        <f>(F477-VLOOKUP($A477,Runs!$A$2:$E$9,5,FALSE()))*1440</f>
        <v>450</v>
      </c>
      <c r="K477" s="3">
        <f>(G477-VLOOKUP($A477,Runs!$A$2:$E$9,5,FALSE()))*1440</f>
        <v>1504.5999999821652</v>
      </c>
    </row>
    <row r="478" spans="1:11" ht="15" customHeight="1" x14ac:dyDescent="0.25">
      <c r="A478" t="s">
        <v>5</v>
      </c>
      <c r="B478">
        <v>7</v>
      </c>
      <c r="C478" t="s">
        <v>140</v>
      </c>
      <c r="D478" t="s">
        <v>85</v>
      </c>
      <c r="E478" t="s">
        <v>178</v>
      </c>
      <c r="F478" s="12">
        <v>45665.416666666701</v>
      </c>
      <c r="G478" s="12">
        <v>45666.085023148204</v>
      </c>
      <c r="H478" t="str">
        <f t="shared" si="14"/>
        <v>BOSP</v>
      </c>
      <c r="I478" t="str">
        <f t="shared" si="15"/>
        <v>BOSP</v>
      </c>
      <c r="J478" s="3">
        <f>(F478-VLOOKUP($A478,Runs!$A$2:$E$9,5,FALSE()))*1440</f>
        <v>600.00000004889444</v>
      </c>
      <c r="K478" s="3">
        <f>(G478-VLOOKUP($A478,Runs!$A$2:$E$9,5,FALSE()))*1440</f>
        <v>1562.4333334132098</v>
      </c>
    </row>
    <row r="479" spans="1:11" ht="15" customHeight="1" x14ac:dyDescent="0.25">
      <c r="A479" t="s">
        <v>5</v>
      </c>
      <c r="B479">
        <v>6</v>
      </c>
      <c r="C479" t="s">
        <v>224</v>
      </c>
      <c r="D479" t="s">
        <v>85</v>
      </c>
      <c r="E479" t="s">
        <v>185</v>
      </c>
      <c r="F479" s="12">
        <v>45665.3125</v>
      </c>
      <c r="G479" s="12">
        <v>45666.106296296297</v>
      </c>
      <c r="H479" t="str">
        <f t="shared" si="14"/>
        <v>FT</v>
      </c>
      <c r="I479" t="str">
        <f t="shared" si="15"/>
        <v>FT</v>
      </c>
      <c r="J479" s="3">
        <f>(F479-VLOOKUP($A479,Runs!$A$2:$E$9,5,FALSE()))*1440</f>
        <v>450</v>
      </c>
      <c r="K479" s="3">
        <f>(G479-VLOOKUP($A479,Runs!$A$2:$E$9,5,FALSE()))*1440</f>
        <v>1593.0666666675825</v>
      </c>
    </row>
    <row r="480" spans="1:11" ht="15" customHeight="1" x14ac:dyDescent="0.25">
      <c r="A480" t="s">
        <v>5</v>
      </c>
      <c r="B480">
        <v>7</v>
      </c>
      <c r="C480" t="s">
        <v>143</v>
      </c>
      <c r="D480" t="s">
        <v>85</v>
      </c>
      <c r="E480" t="s">
        <v>178</v>
      </c>
      <c r="F480" s="12">
        <v>45665.416666666701</v>
      </c>
      <c r="G480" s="12">
        <v>45666.126064814802</v>
      </c>
      <c r="H480" t="str">
        <f t="shared" si="14"/>
        <v>BOSP</v>
      </c>
      <c r="I480" t="str">
        <f t="shared" si="15"/>
        <v>BOSP</v>
      </c>
      <c r="J480" s="3">
        <f>(F480-VLOOKUP($A480,Runs!$A$2:$E$9,5,FALSE()))*1440</f>
        <v>600.00000004889444</v>
      </c>
      <c r="K480" s="3">
        <f>(G480-VLOOKUP($A480,Runs!$A$2:$E$9,5,FALSE()))*1440</f>
        <v>1621.5333333145827</v>
      </c>
    </row>
    <row r="481" spans="1:11" ht="15" customHeight="1" x14ac:dyDescent="0.25">
      <c r="A481" t="s">
        <v>5</v>
      </c>
      <c r="B481">
        <v>4</v>
      </c>
      <c r="C481" t="s">
        <v>199</v>
      </c>
      <c r="D481" t="s">
        <v>85</v>
      </c>
      <c r="E481" t="s">
        <v>192</v>
      </c>
      <c r="F481" s="12">
        <v>45665.1875</v>
      </c>
      <c r="G481" s="12">
        <v>45666.127129629604</v>
      </c>
      <c r="H481" t="str">
        <f t="shared" si="14"/>
        <v>SSA</v>
      </c>
      <c r="I481" t="str">
        <f t="shared" si="15"/>
        <v>SSA</v>
      </c>
      <c r="J481" s="3">
        <f>(F481-VLOOKUP($A481,Runs!$A$2:$E$9,5,FALSE()))*1440</f>
        <v>270</v>
      </c>
      <c r="K481" s="3">
        <f>(G481-VLOOKUP($A481,Runs!$A$2:$E$9,5,FALSE()))*1440</f>
        <v>1623.0666666291654</v>
      </c>
    </row>
    <row r="482" spans="1:11" ht="15" customHeight="1" x14ac:dyDescent="0.25">
      <c r="A482" t="s">
        <v>5</v>
      </c>
      <c r="B482">
        <v>8</v>
      </c>
      <c r="C482" t="s">
        <v>150</v>
      </c>
      <c r="D482" t="s">
        <v>85</v>
      </c>
      <c r="E482" t="s">
        <v>178</v>
      </c>
      <c r="F482" s="12">
        <v>45665.5625</v>
      </c>
      <c r="G482" s="12">
        <v>45666.147523148204</v>
      </c>
      <c r="H482" t="str">
        <f t="shared" si="14"/>
        <v>BOSP</v>
      </c>
      <c r="I482" t="str">
        <f t="shared" si="15"/>
        <v>BOSP</v>
      </c>
      <c r="J482" s="3">
        <f>(F482-VLOOKUP($A482,Runs!$A$2:$E$9,5,FALSE()))*1440</f>
        <v>810</v>
      </c>
      <c r="K482" s="3">
        <f>(G482-VLOOKUP($A482,Runs!$A$2:$E$9,5,FALSE()))*1440</f>
        <v>1652.4333334132098</v>
      </c>
    </row>
    <row r="483" spans="1:11" ht="15" customHeight="1" x14ac:dyDescent="0.25">
      <c r="A483" t="s">
        <v>5</v>
      </c>
      <c r="B483">
        <v>3</v>
      </c>
      <c r="C483" t="s">
        <v>209</v>
      </c>
      <c r="D483" t="s">
        <v>85</v>
      </c>
      <c r="E483" t="s">
        <v>203</v>
      </c>
      <c r="F483" s="12">
        <v>45665.125</v>
      </c>
      <c r="G483" s="12">
        <v>45666.148587962998</v>
      </c>
      <c r="H483" t="str">
        <f t="shared" si="14"/>
        <v>CHS</v>
      </c>
      <c r="I483" t="str">
        <f t="shared" si="15"/>
        <v>CHS</v>
      </c>
      <c r="J483" s="3">
        <f>(F483-VLOOKUP($A483,Runs!$A$2:$E$9,5,FALSE()))*1440</f>
        <v>180</v>
      </c>
      <c r="K483" s="3">
        <f>(G483-VLOOKUP($A483,Runs!$A$2:$E$9,5,FALSE()))*1440</f>
        <v>1653.9666667173151</v>
      </c>
    </row>
    <row r="484" spans="1:11" ht="15" customHeight="1" x14ac:dyDescent="0.25">
      <c r="A484" t="s">
        <v>5</v>
      </c>
      <c r="B484">
        <v>4</v>
      </c>
      <c r="C484" t="s">
        <v>205</v>
      </c>
      <c r="D484" t="s">
        <v>85</v>
      </c>
      <c r="E484" t="s">
        <v>192</v>
      </c>
      <c r="F484" s="12">
        <v>45665.1875</v>
      </c>
      <c r="G484" s="12">
        <v>45666.167731481502</v>
      </c>
      <c r="H484" t="str">
        <f t="shared" si="14"/>
        <v>SSA</v>
      </c>
      <c r="I484" t="str">
        <f t="shared" si="15"/>
        <v>SSA</v>
      </c>
      <c r="J484" s="3">
        <f>(F484-VLOOKUP($A484,Runs!$A$2:$E$9,5,FALSE()))*1440</f>
        <v>270</v>
      </c>
      <c r="K484" s="3">
        <f>(G484-VLOOKUP($A484,Runs!$A$2:$E$9,5,FALSE()))*1440</f>
        <v>1681.5333333634771</v>
      </c>
    </row>
    <row r="485" spans="1:11" ht="15" customHeight="1" x14ac:dyDescent="0.25">
      <c r="A485" t="s">
        <v>5</v>
      </c>
      <c r="B485">
        <v>7</v>
      </c>
      <c r="C485" t="s">
        <v>222</v>
      </c>
      <c r="D485" t="s">
        <v>85</v>
      </c>
      <c r="E485" t="s">
        <v>180</v>
      </c>
      <c r="F485" s="12">
        <v>45665.416666666701</v>
      </c>
      <c r="G485" s="12">
        <v>45666.188564814802</v>
      </c>
      <c r="H485" t="str">
        <f t="shared" si="14"/>
        <v>BAT</v>
      </c>
      <c r="I485" t="str">
        <f t="shared" si="15"/>
        <v>BAT</v>
      </c>
      <c r="J485" s="3">
        <f>(F485-VLOOKUP($A485,Runs!$A$2:$E$9,5,FALSE()))*1440</f>
        <v>600.00000004889444</v>
      </c>
      <c r="K485" s="3">
        <f>(G485-VLOOKUP($A485,Runs!$A$2:$E$9,5,FALSE()))*1440</f>
        <v>1711.5333333145827</v>
      </c>
    </row>
    <row r="486" spans="1:11" ht="15" customHeight="1" x14ac:dyDescent="0.25">
      <c r="A486" t="s">
        <v>5</v>
      </c>
      <c r="B486">
        <v>8</v>
      </c>
      <c r="C486" t="s">
        <v>152</v>
      </c>
      <c r="D486" t="s">
        <v>85</v>
      </c>
      <c r="E486" t="s">
        <v>178</v>
      </c>
      <c r="F486" s="12">
        <v>45665.5625</v>
      </c>
      <c r="G486" s="12">
        <v>45666.189629629604</v>
      </c>
      <c r="H486" t="str">
        <f t="shared" si="14"/>
        <v>BOSP</v>
      </c>
      <c r="I486" t="str">
        <f t="shared" si="15"/>
        <v>BOSP</v>
      </c>
      <c r="J486" s="3">
        <f>(F486-VLOOKUP($A486,Runs!$A$2:$E$9,5,FALSE()))*1440</f>
        <v>810</v>
      </c>
      <c r="K486" s="3">
        <f>(G486-VLOOKUP($A486,Runs!$A$2:$E$9,5,FALSE()))*1440</f>
        <v>1713.0666666291654</v>
      </c>
    </row>
    <row r="487" spans="1:11" ht="15" customHeight="1" x14ac:dyDescent="0.25">
      <c r="A487" t="s">
        <v>5</v>
      </c>
      <c r="B487">
        <v>4</v>
      </c>
      <c r="C487" t="s">
        <v>208</v>
      </c>
      <c r="D487" t="s">
        <v>85</v>
      </c>
      <c r="E487" t="s">
        <v>197</v>
      </c>
      <c r="F487" s="12">
        <v>45665.1875</v>
      </c>
      <c r="G487" s="12">
        <v>45666.190694444398</v>
      </c>
      <c r="H487" t="str">
        <f t="shared" si="14"/>
        <v>FAX</v>
      </c>
      <c r="I487" t="str">
        <f t="shared" si="15"/>
        <v>FAX</v>
      </c>
      <c r="J487" s="3">
        <f>(F487-VLOOKUP($A487,Runs!$A$2:$E$9,5,FALSE()))*1440</f>
        <v>270</v>
      </c>
      <c r="K487" s="3">
        <f>(G487-VLOOKUP($A487,Runs!$A$2:$E$9,5,FALSE()))*1440</f>
        <v>1714.5999999332707</v>
      </c>
    </row>
    <row r="488" spans="1:11" ht="15" customHeight="1" x14ac:dyDescent="0.25">
      <c r="A488" t="s">
        <v>5</v>
      </c>
      <c r="B488">
        <v>3</v>
      </c>
      <c r="C488" t="s">
        <v>116</v>
      </c>
      <c r="D488" t="s">
        <v>85</v>
      </c>
      <c r="E488" t="s">
        <v>206</v>
      </c>
      <c r="F488" s="12">
        <v>45665.125</v>
      </c>
      <c r="G488" s="12">
        <v>45666.191759259302</v>
      </c>
      <c r="H488" t="str">
        <f t="shared" si="14"/>
        <v>BSA</v>
      </c>
      <c r="I488" t="str">
        <f t="shared" si="15"/>
        <v>BSA</v>
      </c>
      <c r="J488" s="3">
        <f>(F488-VLOOKUP($A488,Runs!$A$2:$E$9,5,FALSE()))*1440</f>
        <v>180</v>
      </c>
      <c r="K488" s="3">
        <f>(G488-VLOOKUP($A488,Runs!$A$2:$E$9,5,FALSE()))*1440</f>
        <v>1716.1333333945367</v>
      </c>
    </row>
    <row r="489" spans="1:11" ht="15" customHeight="1" x14ac:dyDescent="0.25">
      <c r="A489" t="s">
        <v>5</v>
      </c>
      <c r="B489">
        <v>7</v>
      </c>
      <c r="C489" t="s">
        <v>144</v>
      </c>
      <c r="D489" t="s">
        <v>85</v>
      </c>
      <c r="E489" t="s">
        <v>181</v>
      </c>
      <c r="F489" s="12">
        <v>45665.416666666701</v>
      </c>
      <c r="G489" s="12">
        <v>45666.230231481502</v>
      </c>
      <c r="H489" t="str">
        <f t="shared" si="14"/>
        <v>RT</v>
      </c>
      <c r="I489" t="str">
        <f t="shared" si="15"/>
        <v>RT</v>
      </c>
      <c r="J489" s="3">
        <f>(F489-VLOOKUP($A489,Runs!$A$2:$E$9,5,FALSE()))*1440</f>
        <v>600.00000004889444</v>
      </c>
      <c r="K489" s="3">
        <f>(G489-VLOOKUP($A489,Runs!$A$2:$E$9,5,FALSE()))*1440</f>
        <v>1771.5333333634771</v>
      </c>
    </row>
    <row r="490" spans="1:11" ht="15" customHeight="1" x14ac:dyDescent="0.25">
      <c r="A490" t="s">
        <v>5</v>
      </c>
      <c r="B490">
        <v>8</v>
      </c>
      <c r="C490" t="s">
        <v>156</v>
      </c>
      <c r="D490" t="s">
        <v>85</v>
      </c>
      <c r="E490" t="s">
        <v>180</v>
      </c>
      <c r="F490" s="12">
        <v>45665.5625</v>
      </c>
      <c r="G490" s="12">
        <v>45666.251064814802</v>
      </c>
      <c r="H490" t="str">
        <f t="shared" si="14"/>
        <v>BAT</v>
      </c>
      <c r="I490" t="str">
        <f t="shared" si="15"/>
        <v>BAT</v>
      </c>
      <c r="J490" s="3">
        <f>(F490-VLOOKUP($A490,Runs!$A$2:$E$9,5,FALSE()))*1440</f>
        <v>810</v>
      </c>
      <c r="K490" s="3">
        <f>(G490-VLOOKUP($A490,Runs!$A$2:$E$9,5,FALSE()))*1440</f>
        <v>1801.5333333145827</v>
      </c>
    </row>
    <row r="491" spans="1:11" ht="15" customHeight="1" x14ac:dyDescent="0.25">
      <c r="A491" t="s">
        <v>5</v>
      </c>
      <c r="B491">
        <v>3</v>
      </c>
      <c r="C491" t="s">
        <v>122</v>
      </c>
      <c r="D491" t="s">
        <v>85</v>
      </c>
      <c r="E491" t="s">
        <v>206</v>
      </c>
      <c r="F491" s="12">
        <v>45665.125</v>
      </c>
      <c r="G491" s="12">
        <v>45666.252129629604</v>
      </c>
      <c r="H491" t="str">
        <f t="shared" si="14"/>
        <v>BSA</v>
      </c>
      <c r="I491" t="str">
        <f t="shared" si="15"/>
        <v>BSA</v>
      </c>
      <c r="J491" s="3">
        <f>(F491-VLOOKUP($A491,Runs!$A$2:$E$9,5,FALSE()))*1440</f>
        <v>180</v>
      </c>
      <c r="K491" s="3">
        <f>(G491-VLOOKUP($A491,Runs!$A$2:$E$9,5,FALSE()))*1440</f>
        <v>1803.0666666291654</v>
      </c>
    </row>
    <row r="492" spans="1:11" ht="15" customHeight="1" x14ac:dyDescent="0.25">
      <c r="A492" t="s">
        <v>5</v>
      </c>
      <c r="B492">
        <v>7</v>
      </c>
      <c r="C492" t="s">
        <v>147</v>
      </c>
      <c r="D492" t="s">
        <v>85</v>
      </c>
      <c r="E492" t="s">
        <v>181</v>
      </c>
      <c r="F492" s="12">
        <v>45665.416666666701</v>
      </c>
      <c r="G492" s="12">
        <v>45666.271898148101</v>
      </c>
      <c r="H492" t="str">
        <f t="shared" si="14"/>
        <v>RT</v>
      </c>
      <c r="I492" t="str">
        <f t="shared" si="15"/>
        <v>RT</v>
      </c>
      <c r="J492" s="3">
        <f>(F492-VLOOKUP($A492,Runs!$A$2:$E$9,5,FALSE()))*1440</f>
        <v>600.00000004889444</v>
      </c>
      <c r="K492" s="3">
        <f>(G492-VLOOKUP($A492,Runs!$A$2:$E$9,5,FALSE()))*1440</f>
        <v>1831.5333332656883</v>
      </c>
    </row>
    <row r="493" spans="1:11" ht="15" customHeight="1" x14ac:dyDescent="0.25">
      <c r="A493" t="s">
        <v>5</v>
      </c>
      <c r="B493">
        <v>3</v>
      </c>
      <c r="C493" t="s">
        <v>217</v>
      </c>
      <c r="D493" t="s">
        <v>85</v>
      </c>
      <c r="E493" t="s">
        <v>211</v>
      </c>
      <c r="F493" s="12">
        <v>45665.125</v>
      </c>
      <c r="G493" s="12">
        <v>45666.272962962998</v>
      </c>
      <c r="H493" t="str">
        <f t="shared" si="14"/>
        <v>RAX_HD</v>
      </c>
      <c r="I493" t="str">
        <f t="shared" si="15"/>
        <v>RAX_HD</v>
      </c>
      <c r="J493" s="3">
        <f>(F493-VLOOKUP($A493,Runs!$A$2:$E$9,5,FALSE()))*1440</f>
        <v>180</v>
      </c>
      <c r="K493" s="3">
        <f>(G493-VLOOKUP($A493,Runs!$A$2:$E$9,5,FALSE()))*1440</f>
        <v>1833.0666667164769</v>
      </c>
    </row>
    <row r="494" spans="1:11" ht="15" customHeight="1" x14ac:dyDescent="0.25">
      <c r="A494" t="s">
        <v>5</v>
      </c>
      <c r="B494">
        <v>8</v>
      </c>
      <c r="C494" t="s">
        <v>157</v>
      </c>
      <c r="D494" t="s">
        <v>85</v>
      </c>
      <c r="E494" t="s">
        <v>181</v>
      </c>
      <c r="F494" s="12">
        <v>45665.5625</v>
      </c>
      <c r="G494" s="12">
        <v>45666.292731481502</v>
      </c>
      <c r="H494" t="str">
        <f t="shared" si="14"/>
        <v>RT</v>
      </c>
      <c r="I494" t="str">
        <f t="shared" si="15"/>
        <v>RT</v>
      </c>
      <c r="J494" s="3">
        <f>(F494-VLOOKUP($A494,Runs!$A$2:$E$9,5,FALSE()))*1440</f>
        <v>810</v>
      </c>
      <c r="K494" s="3">
        <f>(G494-VLOOKUP($A494,Runs!$A$2:$E$9,5,FALSE()))*1440</f>
        <v>1861.5333333634771</v>
      </c>
    </row>
    <row r="495" spans="1:11" ht="15" customHeight="1" x14ac:dyDescent="0.25">
      <c r="A495" t="s">
        <v>5</v>
      </c>
      <c r="B495">
        <v>5</v>
      </c>
      <c r="C495" t="s">
        <v>135</v>
      </c>
      <c r="D495" t="s">
        <v>85</v>
      </c>
      <c r="E495" t="s">
        <v>192</v>
      </c>
      <c r="F495" s="12">
        <v>45665.25</v>
      </c>
      <c r="G495" s="12">
        <v>45666.293796296297</v>
      </c>
      <c r="H495" t="str">
        <f t="shared" si="14"/>
        <v>SSA</v>
      </c>
      <c r="I495" t="str">
        <f t="shared" si="15"/>
        <v>SSA</v>
      </c>
      <c r="J495" s="3">
        <f>(F495-VLOOKUP($A495,Runs!$A$2:$E$9,5,FALSE()))*1440</f>
        <v>360</v>
      </c>
      <c r="K495" s="3">
        <f>(G495-VLOOKUP($A495,Runs!$A$2:$E$9,5,FALSE()))*1440</f>
        <v>1863.0666666675825</v>
      </c>
    </row>
    <row r="496" spans="1:11" ht="15" customHeight="1" x14ac:dyDescent="0.25">
      <c r="A496" t="s">
        <v>5</v>
      </c>
      <c r="B496">
        <v>7</v>
      </c>
      <c r="C496" t="s">
        <v>225</v>
      </c>
      <c r="D496" t="s">
        <v>85</v>
      </c>
      <c r="E496" t="s">
        <v>185</v>
      </c>
      <c r="F496" s="12">
        <v>45665.416666666701</v>
      </c>
      <c r="G496" s="12">
        <v>45666.313564814802</v>
      </c>
      <c r="H496" t="str">
        <f t="shared" si="14"/>
        <v>FT</v>
      </c>
      <c r="I496" t="str">
        <f t="shared" si="15"/>
        <v>FT</v>
      </c>
      <c r="J496" s="3">
        <f>(F496-VLOOKUP($A496,Runs!$A$2:$E$9,5,FALSE()))*1440</f>
        <v>600.00000004889444</v>
      </c>
      <c r="K496" s="3">
        <f>(G496-VLOOKUP($A496,Runs!$A$2:$E$9,5,FALSE()))*1440</f>
        <v>1891.5333333145827</v>
      </c>
    </row>
    <row r="497" spans="1:11" ht="15" customHeight="1" x14ac:dyDescent="0.25">
      <c r="A497" t="s">
        <v>5</v>
      </c>
      <c r="B497">
        <v>4</v>
      </c>
      <c r="C497" t="s">
        <v>212</v>
      </c>
      <c r="D497" t="s">
        <v>85</v>
      </c>
      <c r="E497" t="s">
        <v>203</v>
      </c>
      <c r="F497" s="12">
        <v>45665.1875</v>
      </c>
      <c r="G497" s="12">
        <v>45666.314629629604</v>
      </c>
      <c r="H497" t="str">
        <f t="shared" si="14"/>
        <v>CHS</v>
      </c>
      <c r="I497" t="str">
        <f t="shared" si="15"/>
        <v>CHS</v>
      </c>
      <c r="J497" s="3">
        <f>(F497-VLOOKUP($A497,Runs!$A$2:$E$9,5,FALSE()))*1440</f>
        <v>270</v>
      </c>
      <c r="K497" s="3">
        <f>(G497-VLOOKUP($A497,Runs!$A$2:$E$9,5,FALSE()))*1440</f>
        <v>1893.0666666291654</v>
      </c>
    </row>
    <row r="498" spans="1:11" ht="15" customHeight="1" x14ac:dyDescent="0.25">
      <c r="A498" t="s">
        <v>5</v>
      </c>
      <c r="B498">
        <v>8</v>
      </c>
      <c r="C498" t="s">
        <v>159</v>
      </c>
      <c r="D498" t="s">
        <v>85</v>
      </c>
      <c r="E498" t="s">
        <v>181</v>
      </c>
      <c r="F498" s="12">
        <v>45665.5625</v>
      </c>
      <c r="G498" s="12">
        <v>45666.334398148101</v>
      </c>
      <c r="H498" t="str">
        <f t="shared" si="14"/>
        <v>RT</v>
      </c>
      <c r="I498" t="str">
        <f t="shared" si="15"/>
        <v>RT</v>
      </c>
      <c r="J498" s="3">
        <f>(F498-VLOOKUP($A498,Runs!$A$2:$E$9,5,FALSE()))*1440</f>
        <v>810</v>
      </c>
      <c r="K498" s="3">
        <f>(G498-VLOOKUP($A498,Runs!$A$2:$E$9,5,FALSE()))*1440</f>
        <v>1921.5333332656883</v>
      </c>
    </row>
    <row r="499" spans="1:11" ht="15" customHeight="1" x14ac:dyDescent="0.25">
      <c r="A499" t="s">
        <v>5</v>
      </c>
      <c r="B499">
        <v>5</v>
      </c>
      <c r="C499" t="s">
        <v>139</v>
      </c>
      <c r="D499" t="s">
        <v>85</v>
      </c>
      <c r="E499" t="s">
        <v>192</v>
      </c>
      <c r="F499" s="12">
        <v>45665.25</v>
      </c>
      <c r="G499" s="12">
        <v>45666.335462962998</v>
      </c>
      <c r="H499" t="str">
        <f t="shared" si="14"/>
        <v>SSA</v>
      </c>
      <c r="I499" t="str">
        <f t="shared" si="15"/>
        <v>SSA</v>
      </c>
      <c r="J499" s="3">
        <f>(F499-VLOOKUP($A499,Runs!$A$2:$E$9,5,FALSE()))*1440</f>
        <v>360</v>
      </c>
      <c r="K499" s="3">
        <f>(G499-VLOOKUP($A499,Runs!$A$2:$E$9,5,FALSE()))*1440</f>
        <v>1923.0666667164769</v>
      </c>
    </row>
    <row r="500" spans="1:11" ht="15" customHeight="1" x14ac:dyDescent="0.25">
      <c r="A500" t="s">
        <v>5</v>
      </c>
      <c r="B500">
        <v>4</v>
      </c>
      <c r="C500" t="s">
        <v>216</v>
      </c>
      <c r="D500" t="s">
        <v>85</v>
      </c>
      <c r="E500" t="s">
        <v>206</v>
      </c>
      <c r="F500" s="12">
        <v>45665.1875</v>
      </c>
      <c r="G500" s="12">
        <v>45666.355231481502</v>
      </c>
      <c r="H500" t="str">
        <f t="shared" si="14"/>
        <v>BSA</v>
      </c>
      <c r="I500" t="str">
        <f t="shared" si="15"/>
        <v>BSA</v>
      </c>
      <c r="J500" s="3">
        <f>(F500-VLOOKUP($A500,Runs!$A$2:$E$9,5,FALSE()))*1440</f>
        <v>270</v>
      </c>
      <c r="K500" s="3">
        <f>(G500-VLOOKUP($A500,Runs!$A$2:$E$9,5,FALSE()))*1440</f>
        <v>1951.5333333634771</v>
      </c>
    </row>
    <row r="501" spans="1:11" ht="15" customHeight="1" x14ac:dyDescent="0.25">
      <c r="A501" t="s">
        <v>5</v>
      </c>
      <c r="B501">
        <v>5</v>
      </c>
      <c r="C501" t="s">
        <v>228</v>
      </c>
      <c r="D501" t="s">
        <v>85</v>
      </c>
      <c r="E501" t="s">
        <v>197</v>
      </c>
      <c r="F501" s="12">
        <v>45665.25</v>
      </c>
      <c r="G501" s="12">
        <v>45666.356296296297</v>
      </c>
      <c r="H501" t="str">
        <f t="shared" si="14"/>
        <v>FAX</v>
      </c>
      <c r="I501" t="str">
        <f t="shared" si="15"/>
        <v>FAX</v>
      </c>
      <c r="J501" s="3">
        <f>(F501-VLOOKUP($A501,Runs!$A$2:$E$9,5,FALSE()))*1440</f>
        <v>360</v>
      </c>
      <c r="K501" s="3">
        <f>(G501-VLOOKUP($A501,Runs!$A$2:$E$9,5,FALSE()))*1440</f>
        <v>1953.0666666675825</v>
      </c>
    </row>
    <row r="502" spans="1:11" ht="15" customHeight="1" x14ac:dyDescent="0.25">
      <c r="A502" t="s">
        <v>5</v>
      </c>
      <c r="B502">
        <v>7</v>
      </c>
      <c r="C502" t="s">
        <v>226</v>
      </c>
      <c r="D502" t="s">
        <v>85</v>
      </c>
      <c r="E502" t="s">
        <v>185</v>
      </c>
      <c r="F502" s="12">
        <v>45665.416666666701</v>
      </c>
      <c r="G502" s="12">
        <v>45666.377129629604</v>
      </c>
      <c r="H502" t="str">
        <f t="shared" si="14"/>
        <v>FT</v>
      </c>
      <c r="I502" t="str">
        <f t="shared" si="15"/>
        <v>FT</v>
      </c>
      <c r="J502" s="3">
        <f>(F502-VLOOKUP($A502,Runs!$A$2:$E$9,5,FALSE()))*1440</f>
        <v>600.00000004889444</v>
      </c>
      <c r="K502" s="3">
        <f>(G502-VLOOKUP($A502,Runs!$A$2:$E$9,5,FALSE()))*1440</f>
        <v>1983.0666666291654</v>
      </c>
    </row>
    <row r="503" spans="1:11" ht="15" customHeight="1" x14ac:dyDescent="0.25">
      <c r="A503" t="s">
        <v>5</v>
      </c>
      <c r="B503">
        <v>8</v>
      </c>
      <c r="C503" t="s">
        <v>160</v>
      </c>
      <c r="D503" t="s">
        <v>85</v>
      </c>
      <c r="E503" t="s">
        <v>185</v>
      </c>
      <c r="F503" s="12">
        <v>45665.5625</v>
      </c>
      <c r="G503" s="12">
        <v>45666.396898148101</v>
      </c>
      <c r="H503" t="str">
        <f t="shared" si="14"/>
        <v>FT</v>
      </c>
      <c r="I503" t="str">
        <f t="shared" si="15"/>
        <v>FT</v>
      </c>
      <c r="J503" s="3">
        <f>(F503-VLOOKUP($A503,Runs!$A$2:$E$9,5,FALSE()))*1440</f>
        <v>810</v>
      </c>
      <c r="K503" s="3">
        <f>(G503-VLOOKUP($A503,Runs!$A$2:$E$9,5,FALSE()))*1440</f>
        <v>2011.5333332656883</v>
      </c>
    </row>
    <row r="504" spans="1:11" ht="15" customHeight="1" x14ac:dyDescent="0.25">
      <c r="A504" t="s">
        <v>5</v>
      </c>
      <c r="B504">
        <v>9</v>
      </c>
      <c r="C504" t="s">
        <v>165</v>
      </c>
      <c r="D504" t="s">
        <v>85</v>
      </c>
      <c r="E504" t="s">
        <v>178</v>
      </c>
      <c r="F504" s="12">
        <v>45665.645833333299</v>
      </c>
      <c r="G504" s="12">
        <v>45666.418194444399</v>
      </c>
      <c r="H504" t="str">
        <f t="shared" si="14"/>
        <v>BOSP</v>
      </c>
      <c r="I504" t="str">
        <f t="shared" si="15"/>
        <v>BOSP</v>
      </c>
      <c r="J504" s="3">
        <f>(F504-VLOOKUP($A504,Runs!$A$2:$E$9,5,FALSE()))*1440</f>
        <v>929.99999995110556</v>
      </c>
      <c r="K504" s="3">
        <f>(G504-VLOOKUP($A504,Runs!$A$2:$E$9,5,FALSE()))*1440</f>
        <v>2042.199999934528</v>
      </c>
    </row>
    <row r="505" spans="1:11" ht="15" customHeight="1" x14ac:dyDescent="0.25">
      <c r="A505" t="s">
        <v>5</v>
      </c>
      <c r="B505">
        <v>4</v>
      </c>
      <c r="C505" t="s">
        <v>219</v>
      </c>
      <c r="D505" t="s">
        <v>85</v>
      </c>
      <c r="E505" t="s">
        <v>206</v>
      </c>
      <c r="F505" s="12">
        <v>45665.1875</v>
      </c>
      <c r="G505" s="12">
        <v>45666.419259259303</v>
      </c>
      <c r="H505" t="str">
        <f t="shared" si="14"/>
        <v>BSA</v>
      </c>
      <c r="I505" t="str">
        <f t="shared" si="15"/>
        <v>BSA</v>
      </c>
      <c r="J505" s="3">
        <f>(F505-VLOOKUP($A505,Runs!$A$2:$E$9,5,FALSE()))*1440</f>
        <v>270</v>
      </c>
      <c r="K505" s="3">
        <f>(G505-VLOOKUP($A505,Runs!$A$2:$E$9,5,FALSE()))*1440</f>
        <v>2043.733333395794</v>
      </c>
    </row>
    <row r="506" spans="1:11" ht="15" customHeight="1" x14ac:dyDescent="0.25">
      <c r="A506" t="s">
        <v>5</v>
      </c>
      <c r="B506">
        <v>8</v>
      </c>
      <c r="C506" t="s">
        <v>163</v>
      </c>
      <c r="D506" t="s">
        <v>85</v>
      </c>
      <c r="E506" t="s">
        <v>185</v>
      </c>
      <c r="F506" s="12">
        <v>45665.5625</v>
      </c>
      <c r="G506" s="12">
        <v>45666.439629629604</v>
      </c>
      <c r="H506" t="str">
        <f t="shared" si="14"/>
        <v>FT</v>
      </c>
      <c r="I506" t="str">
        <f t="shared" si="15"/>
        <v>FT</v>
      </c>
      <c r="J506" s="3">
        <f>(F506-VLOOKUP($A506,Runs!$A$2:$E$9,5,FALSE()))*1440</f>
        <v>810</v>
      </c>
      <c r="K506" s="3">
        <f>(G506-VLOOKUP($A506,Runs!$A$2:$E$9,5,FALSE()))*1440</f>
        <v>2073.0666666291654</v>
      </c>
    </row>
    <row r="507" spans="1:11" ht="15" customHeight="1" x14ac:dyDescent="0.25">
      <c r="A507" t="s">
        <v>5</v>
      </c>
      <c r="B507">
        <v>4</v>
      </c>
      <c r="C507" t="s">
        <v>220</v>
      </c>
      <c r="D507" t="s">
        <v>85</v>
      </c>
      <c r="E507" t="s">
        <v>211</v>
      </c>
      <c r="F507" s="12">
        <v>45665.1875</v>
      </c>
      <c r="G507" s="12">
        <v>45666.440694444398</v>
      </c>
      <c r="H507" t="str">
        <f t="shared" si="14"/>
        <v>RAX_HD</v>
      </c>
      <c r="I507" t="str">
        <f t="shared" si="15"/>
        <v>RAX_HD</v>
      </c>
      <c r="J507" s="3">
        <f>(F507-VLOOKUP($A507,Runs!$A$2:$E$9,5,FALSE()))*1440</f>
        <v>270</v>
      </c>
      <c r="K507" s="3">
        <f>(G507-VLOOKUP($A507,Runs!$A$2:$E$9,5,FALSE()))*1440</f>
        <v>2074.5999999332707</v>
      </c>
    </row>
    <row r="508" spans="1:11" ht="15" customHeight="1" x14ac:dyDescent="0.25">
      <c r="A508" t="s">
        <v>5</v>
      </c>
      <c r="B508">
        <v>9</v>
      </c>
      <c r="C508" t="s">
        <v>166</v>
      </c>
      <c r="D508" t="s">
        <v>85</v>
      </c>
      <c r="E508" t="s">
        <v>178</v>
      </c>
      <c r="F508" s="12">
        <v>45665.645833333299</v>
      </c>
      <c r="G508" s="12">
        <v>45666.459398148101</v>
      </c>
      <c r="H508" t="str">
        <f t="shared" si="14"/>
        <v>BOSP</v>
      </c>
      <c r="I508" t="str">
        <f t="shared" si="15"/>
        <v>BOSP</v>
      </c>
      <c r="J508" s="3">
        <f>(F508-VLOOKUP($A508,Runs!$A$2:$E$9,5,FALSE()))*1440</f>
        <v>929.99999995110556</v>
      </c>
      <c r="K508" s="3">
        <f>(G508-VLOOKUP($A508,Runs!$A$2:$E$9,5,FALSE()))*1440</f>
        <v>2101.5333332656883</v>
      </c>
    </row>
    <row r="509" spans="1:11" ht="15" customHeight="1" x14ac:dyDescent="0.25">
      <c r="A509" t="s">
        <v>5</v>
      </c>
      <c r="B509">
        <v>6</v>
      </c>
      <c r="C509" t="s">
        <v>227</v>
      </c>
      <c r="D509" t="s">
        <v>85</v>
      </c>
      <c r="E509" t="s">
        <v>192</v>
      </c>
      <c r="F509" s="12">
        <v>45665.3125</v>
      </c>
      <c r="G509" s="12">
        <v>45666.460462962998</v>
      </c>
      <c r="H509" t="str">
        <f t="shared" si="14"/>
        <v>SSA</v>
      </c>
      <c r="I509" t="str">
        <f t="shared" si="15"/>
        <v>SSA</v>
      </c>
      <c r="J509" s="3">
        <f>(F509-VLOOKUP($A509,Runs!$A$2:$E$9,5,FALSE()))*1440</f>
        <v>450</v>
      </c>
      <c r="K509" s="3">
        <f>(G509-VLOOKUP($A509,Runs!$A$2:$E$9,5,FALSE()))*1440</f>
        <v>2103.0666667164769</v>
      </c>
    </row>
    <row r="510" spans="1:11" ht="15" customHeight="1" x14ac:dyDescent="0.25">
      <c r="A510" t="s">
        <v>5</v>
      </c>
      <c r="B510">
        <v>10</v>
      </c>
      <c r="C510" t="s">
        <v>243</v>
      </c>
      <c r="D510" t="s">
        <v>85</v>
      </c>
      <c r="E510" t="s">
        <v>178</v>
      </c>
      <c r="F510" s="12">
        <v>45665.833333333299</v>
      </c>
      <c r="G510" s="12">
        <v>45666.480694444399</v>
      </c>
      <c r="H510" t="str">
        <f t="shared" si="14"/>
        <v>BOSP</v>
      </c>
      <c r="I510" t="str">
        <f t="shared" si="15"/>
        <v>BOSP</v>
      </c>
      <c r="J510" s="3">
        <f>(F510-VLOOKUP($A510,Runs!$A$2:$E$9,5,FALSE()))*1440</f>
        <v>1199.9999999511056</v>
      </c>
      <c r="K510" s="3">
        <f>(G510-VLOOKUP($A510,Runs!$A$2:$E$9,5,FALSE()))*1440</f>
        <v>2132.199999934528</v>
      </c>
    </row>
    <row r="511" spans="1:11" ht="15" customHeight="1" x14ac:dyDescent="0.25">
      <c r="A511" t="s">
        <v>5</v>
      </c>
      <c r="B511">
        <v>5</v>
      </c>
      <c r="C511" t="s">
        <v>234</v>
      </c>
      <c r="D511" t="s">
        <v>85</v>
      </c>
      <c r="E511" t="s">
        <v>203</v>
      </c>
      <c r="F511" s="12">
        <v>45665.25</v>
      </c>
      <c r="G511" s="12">
        <v>45666.481759259303</v>
      </c>
      <c r="H511" t="str">
        <f t="shared" si="14"/>
        <v>CHS</v>
      </c>
      <c r="I511" t="str">
        <f t="shared" si="15"/>
        <v>CHS</v>
      </c>
      <c r="J511" s="3">
        <f>(F511-VLOOKUP($A511,Runs!$A$2:$E$9,5,FALSE()))*1440</f>
        <v>360</v>
      </c>
      <c r="K511" s="3">
        <f>(G511-VLOOKUP($A511,Runs!$A$2:$E$9,5,FALSE()))*1440</f>
        <v>2133.733333395794</v>
      </c>
    </row>
    <row r="512" spans="1:11" ht="15" customHeight="1" x14ac:dyDescent="0.25">
      <c r="A512" t="s">
        <v>5</v>
      </c>
      <c r="B512">
        <v>6</v>
      </c>
      <c r="C512" t="s">
        <v>230</v>
      </c>
      <c r="D512" t="s">
        <v>85</v>
      </c>
      <c r="E512" t="s">
        <v>192</v>
      </c>
      <c r="F512" s="12">
        <v>45665.3125</v>
      </c>
      <c r="G512" s="12">
        <v>45666.501064814802</v>
      </c>
      <c r="H512" t="str">
        <f t="shared" si="14"/>
        <v>SSA</v>
      </c>
      <c r="I512" t="str">
        <f t="shared" si="15"/>
        <v>SSA</v>
      </c>
      <c r="J512" s="3">
        <f>(F512-VLOOKUP($A512,Runs!$A$2:$E$9,5,FALSE()))*1440</f>
        <v>450</v>
      </c>
      <c r="K512" s="3">
        <f>(G512-VLOOKUP($A512,Runs!$A$2:$E$9,5,FALSE()))*1440</f>
        <v>2161.5333333145827</v>
      </c>
    </row>
    <row r="513" spans="1:11" ht="15" customHeight="1" x14ac:dyDescent="0.25">
      <c r="A513" t="s">
        <v>5</v>
      </c>
      <c r="B513">
        <v>9</v>
      </c>
      <c r="C513" t="s">
        <v>246</v>
      </c>
      <c r="D513" t="s">
        <v>85</v>
      </c>
      <c r="E513" t="s">
        <v>180</v>
      </c>
      <c r="F513" s="12">
        <v>45665.645833333299</v>
      </c>
      <c r="G513" s="12">
        <v>45666.521898148101</v>
      </c>
      <c r="H513" t="str">
        <f t="shared" si="14"/>
        <v>BAT</v>
      </c>
      <c r="I513" t="str">
        <f t="shared" si="15"/>
        <v>BAT</v>
      </c>
      <c r="J513" s="3">
        <f>(F513-VLOOKUP($A513,Runs!$A$2:$E$9,5,FALSE()))*1440</f>
        <v>929.99999995110556</v>
      </c>
      <c r="K513" s="3">
        <f>(G513-VLOOKUP($A513,Runs!$A$2:$E$9,5,FALSE()))*1440</f>
        <v>2191.5333332656883</v>
      </c>
    </row>
    <row r="514" spans="1:11" ht="15" customHeight="1" x14ac:dyDescent="0.25">
      <c r="A514" t="s">
        <v>5</v>
      </c>
      <c r="B514">
        <v>10</v>
      </c>
      <c r="C514" t="s">
        <v>247</v>
      </c>
      <c r="D514" t="s">
        <v>85</v>
      </c>
      <c r="E514" t="s">
        <v>178</v>
      </c>
      <c r="F514" s="12">
        <v>45665.833333333299</v>
      </c>
      <c r="G514" s="12">
        <v>45666.522962962998</v>
      </c>
      <c r="H514" t="str">
        <f t="shared" ref="H514:H577" si="16">MID(E514,8,100)</f>
        <v>BOSP</v>
      </c>
      <c r="I514" t="str">
        <f t="shared" ref="I514:I577" si="17">IF(H514="CORE","CHS",H514)</f>
        <v>BOSP</v>
      </c>
      <c r="J514" s="3">
        <f>(F514-VLOOKUP($A514,Runs!$A$2:$E$9,5,FALSE()))*1440</f>
        <v>1199.9999999511056</v>
      </c>
      <c r="K514" s="3">
        <f>(G514-VLOOKUP($A514,Runs!$A$2:$E$9,5,FALSE()))*1440</f>
        <v>2193.0666667164769</v>
      </c>
    </row>
    <row r="515" spans="1:11" ht="15" customHeight="1" x14ac:dyDescent="0.25">
      <c r="A515" t="s">
        <v>5</v>
      </c>
      <c r="B515">
        <v>5</v>
      </c>
      <c r="C515" t="s">
        <v>141</v>
      </c>
      <c r="D515" t="s">
        <v>85</v>
      </c>
      <c r="E515" t="s">
        <v>206</v>
      </c>
      <c r="F515" s="12">
        <v>45665.25</v>
      </c>
      <c r="G515" s="12">
        <v>45666.524027777799</v>
      </c>
      <c r="H515" t="str">
        <f t="shared" si="16"/>
        <v>BSA</v>
      </c>
      <c r="I515" t="str">
        <f t="shared" si="17"/>
        <v>BSA</v>
      </c>
      <c r="J515" s="3">
        <f>(F515-VLOOKUP($A515,Runs!$A$2:$E$9,5,FALSE()))*1440</f>
        <v>360</v>
      </c>
      <c r="K515" s="3">
        <f>(G515-VLOOKUP($A515,Runs!$A$2:$E$9,5,FALSE()))*1440</f>
        <v>2194.6000000310596</v>
      </c>
    </row>
    <row r="516" spans="1:11" ht="15" customHeight="1" x14ac:dyDescent="0.25">
      <c r="A516" t="s">
        <v>5</v>
      </c>
      <c r="B516">
        <v>6</v>
      </c>
      <c r="C516" t="s">
        <v>231</v>
      </c>
      <c r="D516" t="s">
        <v>85</v>
      </c>
      <c r="E516" t="s">
        <v>197</v>
      </c>
      <c r="F516" s="12">
        <v>45665.3125</v>
      </c>
      <c r="G516" s="12">
        <v>45666.525092592601</v>
      </c>
      <c r="H516" t="str">
        <f t="shared" si="16"/>
        <v>FAX</v>
      </c>
      <c r="I516" t="str">
        <f t="shared" si="17"/>
        <v>FAX</v>
      </c>
      <c r="J516" s="3">
        <f>(F516-VLOOKUP($A516,Runs!$A$2:$E$9,5,FALSE()))*1440</f>
        <v>450</v>
      </c>
      <c r="K516" s="3">
        <f>(G516-VLOOKUP($A516,Runs!$A$2:$E$9,5,FALSE()))*1440</f>
        <v>2196.1333333456423</v>
      </c>
    </row>
    <row r="517" spans="1:11" ht="15" customHeight="1" x14ac:dyDescent="0.25">
      <c r="A517" t="s">
        <v>5</v>
      </c>
      <c r="B517">
        <v>9</v>
      </c>
      <c r="C517" t="s">
        <v>167</v>
      </c>
      <c r="D517" t="s">
        <v>85</v>
      </c>
      <c r="E517" t="s">
        <v>181</v>
      </c>
      <c r="F517" s="12">
        <v>45665.645833333299</v>
      </c>
      <c r="G517" s="12">
        <v>45666.563564814802</v>
      </c>
      <c r="H517" t="str">
        <f t="shared" si="16"/>
        <v>RT</v>
      </c>
      <c r="I517" t="str">
        <f t="shared" si="17"/>
        <v>RT</v>
      </c>
      <c r="J517" s="3">
        <f>(F517-VLOOKUP($A517,Runs!$A$2:$E$9,5,FALSE()))*1440</f>
        <v>929.99999995110556</v>
      </c>
      <c r="K517" s="3">
        <f>(G517-VLOOKUP($A517,Runs!$A$2:$E$9,5,FALSE()))*1440</f>
        <v>2251.5333333145827</v>
      </c>
    </row>
    <row r="518" spans="1:11" ht="15" customHeight="1" x14ac:dyDescent="0.25">
      <c r="A518" t="s">
        <v>5</v>
      </c>
      <c r="B518">
        <v>10</v>
      </c>
      <c r="C518" t="s">
        <v>248</v>
      </c>
      <c r="D518" t="s">
        <v>85</v>
      </c>
      <c r="E518" t="s">
        <v>180</v>
      </c>
      <c r="F518" s="12">
        <v>45665.833333333299</v>
      </c>
      <c r="G518" s="12">
        <v>45666.584398148101</v>
      </c>
      <c r="H518" t="str">
        <f t="shared" si="16"/>
        <v>BAT</v>
      </c>
      <c r="I518" t="str">
        <f t="shared" si="17"/>
        <v>BAT</v>
      </c>
      <c r="J518" s="3">
        <f>(F518-VLOOKUP($A518,Runs!$A$2:$E$9,5,FALSE()))*1440</f>
        <v>1199.9999999511056</v>
      </c>
      <c r="K518" s="3">
        <f>(G518-VLOOKUP($A518,Runs!$A$2:$E$9,5,FALSE()))*1440</f>
        <v>2281.5333332656883</v>
      </c>
    </row>
    <row r="519" spans="1:11" ht="15" customHeight="1" x14ac:dyDescent="0.25">
      <c r="A519" t="s">
        <v>5</v>
      </c>
      <c r="B519">
        <v>5</v>
      </c>
      <c r="C519" t="s">
        <v>146</v>
      </c>
      <c r="D519" t="s">
        <v>85</v>
      </c>
      <c r="E519" t="s">
        <v>206</v>
      </c>
      <c r="F519" s="12">
        <v>45665.25</v>
      </c>
      <c r="G519" s="12">
        <v>45666.585462962998</v>
      </c>
      <c r="H519" t="str">
        <f t="shared" si="16"/>
        <v>BSA</v>
      </c>
      <c r="I519" t="str">
        <f t="shared" si="17"/>
        <v>BSA</v>
      </c>
      <c r="J519" s="3">
        <f>(F519-VLOOKUP($A519,Runs!$A$2:$E$9,5,FALSE()))*1440</f>
        <v>360</v>
      </c>
      <c r="K519" s="3">
        <f>(G519-VLOOKUP($A519,Runs!$A$2:$E$9,5,FALSE()))*1440</f>
        <v>2283.0666667164769</v>
      </c>
    </row>
    <row r="520" spans="1:11" ht="15" customHeight="1" x14ac:dyDescent="0.25">
      <c r="A520" t="s">
        <v>5</v>
      </c>
      <c r="B520">
        <v>9</v>
      </c>
      <c r="C520" t="s">
        <v>168</v>
      </c>
      <c r="D520" t="s">
        <v>85</v>
      </c>
      <c r="E520" t="s">
        <v>181</v>
      </c>
      <c r="F520" s="12">
        <v>45665.645833333299</v>
      </c>
      <c r="G520" s="12">
        <v>45666.605231481502</v>
      </c>
      <c r="H520" t="str">
        <f t="shared" si="16"/>
        <v>RT</v>
      </c>
      <c r="I520" t="str">
        <f t="shared" si="17"/>
        <v>RT</v>
      </c>
      <c r="J520" s="3">
        <f>(F520-VLOOKUP($A520,Runs!$A$2:$E$9,5,FALSE()))*1440</f>
        <v>929.99999995110556</v>
      </c>
      <c r="K520" s="3">
        <f>(G520-VLOOKUP($A520,Runs!$A$2:$E$9,5,FALSE()))*1440</f>
        <v>2311.5333333634771</v>
      </c>
    </row>
    <row r="521" spans="1:11" ht="15" customHeight="1" x14ac:dyDescent="0.25">
      <c r="A521" t="s">
        <v>5</v>
      </c>
      <c r="B521">
        <v>5</v>
      </c>
      <c r="C521" t="s">
        <v>240</v>
      </c>
      <c r="D521" t="s">
        <v>85</v>
      </c>
      <c r="E521" t="s">
        <v>211</v>
      </c>
      <c r="F521" s="12">
        <v>45665.25</v>
      </c>
      <c r="G521" s="12">
        <v>45666.606296296297</v>
      </c>
      <c r="H521" t="str">
        <f t="shared" si="16"/>
        <v>RAX_HD</v>
      </c>
      <c r="I521" t="str">
        <f t="shared" si="17"/>
        <v>RAX_HD</v>
      </c>
      <c r="J521" s="3">
        <f>(F521-VLOOKUP($A521,Runs!$A$2:$E$9,5,FALSE()))*1440</f>
        <v>360</v>
      </c>
      <c r="K521" s="3">
        <f>(G521-VLOOKUP($A521,Runs!$A$2:$E$9,5,FALSE()))*1440</f>
        <v>2313.0666666675825</v>
      </c>
    </row>
    <row r="522" spans="1:11" ht="15" customHeight="1" x14ac:dyDescent="0.25">
      <c r="A522" t="s">
        <v>5</v>
      </c>
      <c r="B522">
        <v>10</v>
      </c>
      <c r="C522" t="s">
        <v>169</v>
      </c>
      <c r="D522" t="s">
        <v>85</v>
      </c>
      <c r="E522" t="s">
        <v>181</v>
      </c>
      <c r="F522" s="12">
        <v>45665.833333333299</v>
      </c>
      <c r="G522" s="12">
        <v>45666.626064814802</v>
      </c>
      <c r="H522" t="str">
        <f t="shared" si="16"/>
        <v>RT</v>
      </c>
      <c r="I522" t="str">
        <f t="shared" si="17"/>
        <v>RT</v>
      </c>
      <c r="J522" s="3">
        <f>(F522-VLOOKUP($A522,Runs!$A$2:$E$9,5,FALSE()))*1440</f>
        <v>1199.9999999511056</v>
      </c>
      <c r="K522" s="3">
        <f>(G522-VLOOKUP($A522,Runs!$A$2:$E$9,5,FALSE()))*1440</f>
        <v>2341.5333333145827</v>
      </c>
    </row>
    <row r="523" spans="1:11" ht="15" customHeight="1" x14ac:dyDescent="0.25">
      <c r="A523" t="s">
        <v>5</v>
      </c>
      <c r="B523">
        <v>7</v>
      </c>
      <c r="C523" t="s">
        <v>229</v>
      </c>
      <c r="D523" t="s">
        <v>85</v>
      </c>
      <c r="E523" t="s">
        <v>192</v>
      </c>
      <c r="F523" s="12">
        <v>45665.416666666701</v>
      </c>
      <c r="G523" s="12">
        <v>45666.627129629604</v>
      </c>
      <c r="H523" t="str">
        <f t="shared" si="16"/>
        <v>SSA</v>
      </c>
      <c r="I523" t="str">
        <f t="shared" si="17"/>
        <v>SSA</v>
      </c>
      <c r="J523" s="3">
        <f>(F523-VLOOKUP($A523,Runs!$A$2:$E$9,5,FALSE()))*1440</f>
        <v>600.00000004889444</v>
      </c>
      <c r="K523" s="3">
        <f>(G523-VLOOKUP($A523,Runs!$A$2:$E$9,5,FALSE()))*1440</f>
        <v>2343.0666666291654</v>
      </c>
    </row>
    <row r="524" spans="1:11" ht="15" customHeight="1" x14ac:dyDescent="0.25">
      <c r="A524" t="s">
        <v>5</v>
      </c>
      <c r="B524">
        <v>6</v>
      </c>
      <c r="C524" t="s">
        <v>237</v>
      </c>
      <c r="D524" t="s">
        <v>85</v>
      </c>
      <c r="E524" t="s">
        <v>203</v>
      </c>
      <c r="F524" s="12">
        <v>45665.3125</v>
      </c>
      <c r="G524" s="12">
        <v>45666.646898148101</v>
      </c>
      <c r="H524" t="str">
        <f t="shared" si="16"/>
        <v>CHS</v>
      </c>
      <c r="I524" t="str">
        <f t="shared" si="17"/>
        <v>CHS</v>
      </c>
      <c r="J524" s="3">
        <f>(F524-VLOOKUP($A524,Runs!$A$2:$E$9,5,FALSE()))*1440</f>
        <v>450</v>
      </c>
      <c r="K524" s="3">
        <f>(G524-VLOOKUP($A524,Runs!$A$2:$E$9,5,FALSE()))*1440</f>
        <v>2371.5333332656883</v>
      </c>
    </row>
    <row r="525" spans="1:11" ht="15" customHeight="1" x14ac:dyDescent="0.25">
      <c r="A525" t="s">
        <v>6</v>
      </c>
      <c r="B525">
        <v>1</v>
      </c>
      <c r="C525" t="s">
        <v>84</v>
      </c>
      <c r="D525" t="s">
        <v>85</v>
      </c>
      <c r="E525" t="s">
        <v>178</v>
      </c>
      <c r="F525" s="12">
        <v>45666</v>
      </c>
      <c r="G525" s="12">
        <v>45666.084513888898</v>
      </c>
      <c r="H525" t="str">
        <f t="shared" si="16"/>
        <v>BOSP</v>
      </c>
      <c r="I525" t="str">
        <f t="shared" si="17"/>
        <v>BOSP</v>
      </c>
      <c r="J525" s="3">
        <f>(F525-VLOOKUP($A525,Runs!$A$2:$E$9,5,FALSE()))*1440</f>
        <v>0</v>
      </c>
      <c r="K525" s="3">
        <f>(G525-VLOOKUP($A525,Runs!$A$2:$E$9,5,FALSE()))*1440</f>
        <v>121.70000001322478</v>
      </c>
    </row>
    <row r="526" spans="1:11" ht="15" customHeight="1" x14ac:dyDescent="0.25">
      <c r="A526" t="s">
        <v>6</v>
      </c>
      <c r="B526">
        <v>1</v>
      </c>
      <c r="C526" t="s">
        <v>87</v>
      </c>
      <c r="D526" t="s">
        <v>85</v>
      </c>
      <c r="E526" t="s">
        <v>178</v>
      </c>
      <c r="F526" s="12">
        <v>45666</v>
      </c>
      <c r="G526" s="12">
        <v>45666.1265277778</v>
      </c>
      <c r="H526" t="str">
        <f t="shared" si="16"/>
        <v>BOSP</v>
      </c>
      <c r="I526" t="str">
        <f t="shared" si="17"/>
        <v>BOSP</v>
      </c>
      <c r="J526" s="3">
        <f>(F526-VLOOKUP($A526,Runs!$A$2:$E$9,5,FALSE()))*1440</f>
        <v>0</v>
      </c>
      <c r="K526" s="3">
        <f>(G526-VLOOKUP($A526,Runs!$A$2:$E$9,5,FALSE()))*1440</f>
        <v>182.20000003231689</v>
      </c>
    </row>
    <row r="527" spans="1:11" ht="15" customHeight="1" x14ac:dyDescent="0.25">
      <c r="A527" t="s">
        <v>6</v>
      </c>
      <c r="B527">
        <v>2</v>
      </c>
      <c r="C527" t="s">
        <v>91</v>
      </c>
      <c r="D527" t="s">
        <v>85</v>
      </c>
      <c r="E527" t="s">
        <v>108</v>
      </c>
      <c r="F527" s="12">
        <v>45666.041666666701</v>
      </c>
      <c r="G527" s="12">
        <v>45666.127592592602</v>
      </c>
      <c r="H527" t="str">
        <f t="shared" si="16"/>
        <v>BOSP</v>
      </c>
      <c r="I527" t="str">
        <f t="shared" si="17"/>
        <v>BOSP</v>
      </c>
      <c r="J527" s="3">
        <f>(F527-VLOOKUP($A527,Runs!$A$2:$E$9,5,FALSE()))*1440</f>
        <v>60.000000048894435</v>
      </c>
      <c r="K527" s="3">
        <f>(G527-VLOOKUP($A527,Runs!$A$2:$E$9,5,FALSE()))*1440</f>
        <v>183.7333333468996</v>
      </c>
    </row>
    <row r="528" spans="1:11" ht="15" customHeight="1" x14ac:dyDescent="0.25">
      <c r="A528" t="s">
        <v>6</v>
      </c>
      <c r="B528">
        <v>1</v>
      </c>
      <c r="C528" t="s">
        <v>179</v>
      </c>
      <c r="D528" t="s">
        <v>85</v>
      </c>
      <c r="E528" t="s">
        <v>180</v>
      </c>
      <c r="F528" s="12">
        <v>45666</v>
      </c>
      <c r="G528" s="12">
        <v>45666.168356481503</v>
      </c>
      <c r="H528" t="str">
        <f t="shared" si="16"/>
        <v>BAT</v>
      </c>
      <c r="I528" t="str">
        <f t="shared" si="17"/>
        <v>BAT</v>
      </c>
      <c r="J528" s="3">
        <f>(F528-VLOOKUP($A528,Runs!$A$2:$E$9,5,FALSE()))*1440</f>
        <v>0</v>
      </c>
      <c r="K528" s="3">
        <f>(G528-VLOOKUP($A528,Runs!$A$2:$E$9,5,FALSE()))*1440</f>
        <v>242.43333336431533</v>
      </c>
    </row>
    <row r="529" spans="1:11" ht="15" customHeight="1" x14ac:dyDescent="0.25">
      <c r="A529" t="s">
        <v>6</v>
      </c>
      <c r="B529">
        <v>2</v>
      </c>
      <c r="C529" t="s">
        <v>92</v>
      </c>
      <c r="D529" t="s">
        <v>85</v>
      </c>
      <c r="E529" t="s">
        <v>108</v>
      </c>
      <c r="F529" s="12">
        <v>45666.041666666701</v>
      </c>
      <c r="G529" s="12">
        <v>45666.169421296298</v>
      </c>
      <c r="H529" t="str">
        <f t="shared" si="16"/>
        <v>BOSP</v>
      </c>
      <c r="I529" t="str">
        <f t="shared" si="17"/>
        <v>BOSP</v>
      </c>
      <c r="J529" s="3">
        <f>(F529-VLOOKUP($A529,Runs!$A$2:$E$9,5,FALSE()))*1440</f>
        <v>60.000000048894435</v>
      </c>
      <c r="K529" s="3">
        <f>(G529-VLOOKUP($A529,Runs!$A$2:$E$9,5,FALSE()))*1440</f>
        <v>243.96666666842066</v>
      </c>
    </row>
    <row r="530" spans="1:11" ht="15" customHeight="1" x14ac:dyDescent="0.25">
      <c r="A530" t="s">
        <v>6</v>
      </c>
      <c r="B530">
        <v>3</v>
      </c>
      <c r="C530" t="s">
        <v>97</v>
      </c>
      <c r="D530" t="s">
        <v>85</v>
      </c>
      <c r="E530" t="s">
        <v>178</v>
      </c>
      <c r="F530" s="12">
        <v>45666.083333333299</v>
      </c>
      <c r="G530" s="12">
        <v>45666.170486111099</v>
      </c>
      <c r="H530" t="str">
        <f t="shared" si="16"/>
        <v>BOSP</v>
      </c>
      <c r="I530" t="str">
        <f t="shared" si="17"/>
        <v>BOSP</v>
      </c>
      <c r="J530" s="3">
        <f>(F530-VLOOKUP($A530,Runs!$A$2:$E$9,5,FALSE()))*1440</f>
        <v>119.99999995110556</v>
      </c>
      <c r="K530" s="3">
        <f>(G530-VLOOKUP($A530,Runs!$A$2:$E$9,5,FALSE()))*1440</f>
        <v>245.49999998300336</v>
      </c>
    </row>
    <row r="531" spans="1:11" ht="15" customHeight="1" x14ac:dyDescent="0.25">
      <c r="A531" t="s">
        <v>6</v>
      </c>
      <c r="B531">
        <v>1</v>
      </c>
      <c r="C531" t="s">
        <v>88</v>
      </c>
      <c r="D531" t="s">
        <v>85</v>
      </c>
      <c r="E531" t="s">
        <v>181</v>
      </c>
      <c r="F531" s="12">
        <v>45666</v>
      </c>
      <c r="G531" s="12">
        <v>45666.210416666698</v>
      </c>
      <c r="H531" t="str">
        <f t="shared" si="16"/>
        <v>RT</v>
      </c>
      <c r="I531" t="str">
        <f t="shared" si="17"/>
        <v>RT</v>
      </c>
      <c r="J531" s="3">
        <f>(F531-VLOOKUP($A531,Runs!$A$2:$E$9,5,FALSE()))*1440</f>
        <v>0</v>
      </c>
      <c r="K531" s="3">
        <f>(G531-VLOOKUP($A531,Runs!$A$2:$E$9,5,FALSE()))*1440</f>
        <v>303.00000004470348</v>
      </c>
    </row>
    <row r="532" spans="1:11" ht="15" customHeight="1" x14ac:dyDescent="0.25">
      <c r="A532" t="s">
        <v>6</v>
      </c>
      <c r="B532">
        <v>2</v>
      </c>
      <c r="C532" t="s">
        <v>182</v>
      </c>
      <c r="D532" t="s">
        <v>85</v>
      </c>
      <c r="E532" t="s">
        <v>114</v>
      </c>
      <c r="F532" s="12">
        <v>45666.041666666701</v>
      </c>
      <c r="G532" s="12">
        <v>45666.2114814815</v>
      </c>
      <c r="H532" t="str">
        <f t="shared" si="16"/>
        <v>BAT</v>
      </c>
      <c r="I532" t="str">
        <f t="shared" si="17"/>
        <v>BAT</v>
      </c>
      <c r="J532" s="3">
        <f>(F532-VLOOKUP($A532,Runs!$A$2:$E$9,5,FALSE()))*1440</f>
        <v>60.000000048894435</v>
      </c>
      <c r="K532" s="3">
        <f>(G532-VLOOKUP($A532,Runs!$A$2:$E$9,5,FALSE()))*1440</f>
        <v>304.53333335928619</v>
      </c>
    </row>
    <row r="533" spans="1:11" ht="15" customHeight="1" x14ac:dyDescent="0.25">
      <c r="A533" t="s">
        <v>6</v>
      </c>
      <c r="B533">
        <v>3</v>
      </c>
      <c r="C533" t="s">
        <v>98</v>
      </c>
      <c r="D533" t="s">
        <v>85</v>
      </c>
      <c r="E533" t="s">
        <v>178</v>
      </c>
      <c r="F533" s="12">
        <v>45666.083333333299</v>
      </c>
      <c r="G533" s="12">
        <v>45666.212546296301</v>
      </c>
      <c r="H533" t="str">
        <f t="shared" si="16"/>
        <v>BOSP</v>
      </c>
      <c r="I533" t="str">
        <f t="shared" si="17"/>
        <v>BOSP</v>
      </c>
      <c r="J533" s="3">
        <f>(F533-VLOOKUP($A533,Runs!$A$2:$E$9,5,FALSE()))*1440</f>
        <v>119.99999995110556</v>
      </c>
      <c r="K533" s="3">
        <f>(G533-VLOOKUP($A533,Runs!$A$2:$E$9,5,FALSE()))*1440</f>
        <v>306.06666667386889</v>
      </c>
    </row>
    <row r="534" spans="1:11" ht="15" customHeight="1" x14ac:dyDescent="0.25">
      <c r="A534" t="s">
        <v>6</v>
      </c>
      <c r="B534">
        <v>4</v>
      </c>
      <c r="C534" t="s">
        <v>107</v>
      </c>
      <c r="D534" t="s">
        <v>85</v>
      </c>
      <c r="E534" t="s">
        <v>178</v>
      </c>
      <c r="F534" s="12">
        <v>45666.125</v>
      </c>
      <c r="G534" s="12">
        <v>45666.213611111103</v>
      </c>
      <c r="H534" t="str">
        <f t="shared" si="16"/>
        <v>BOSP</v>
      </c>
      <c r="I534" t="str">
        <f t="shared" si="17"/>
        <v>BOSP</v>
      </c>
      <c r="J534" s="3">
        <f>(F534-VLOOKUP($A534,Runs!$A$2:$E$9,5,FALSE()))*1440</f>
        <v>180</v>
      </c>
      <c r="K534" s="3">
        <f>(G534-VLOOKUP($A534,Runs!$A$2:$E$9,5,FALSE()))*1440</f>
        <v>307.5999999884516</v>
      </c>
    </row>
    <row r="535" spans="1:11" ht="15" customHeight="1" x14ac:dyDescent="0.25">
      <c r="A535" t="s">
        <v>6</v>
      </c>
      <c r="B535">
        <v>1</v>
      </c>
      <c r="C535" t="s">
        <v>90</v>
      </c>
      <c r="D535" t="s">
        <v>85</v>
      </c>
      <c r="E535" t="s">
        <v>181</v>
      </c>
      <c r="F535" s="12">
        <v>45666</v>
      </c>
      <c r="G535" s="12">
        <v>45666.230231481502</v>
      </c>
      <c r="H535" t="str">
        <f t="shared" si="16"/>
        <v>RT</v>
      </c>
      <c r="I535" t="str">
        <f t="shared" si="17"/>
        <v>RT</v>
      </c>
      <c r="J535" s="3">
        <f>(F535-VLOOKUP($A535,Runs!$A$2:$E$9,5,FALSE()))*1440</f>
        <v>0</v>
      </c>
      <c r="K535" s="3">
        <f>(G535-VLOOKUP($A535,Runs!$A$2:$E$9,5,FALSE()))*1440</f>
        <v>331.53333336347714</v>
      </c>
    </row>
    <row r="536" spans="1:11" ht="15" customHeight="1" x14ac:dyDescent="0.25">
      <c r="A536" t="s">
        <v>6</v>
      </c>
      <c r="B536">
        <v>5</v>
      </c>
      <c r="C536" t="s">
        <v>127</v>
      </c>
      <c r="D536" t="s">
        <v>85</v>
      </c>
      <c r="E536" t="s">
        <v>128</v>
      </c>
      <c r="F536" s="12">
        <v>45666.166666666701</v>
      </c>
      <c r="G536" s="12">
        <v>45666.231296296297</v>
      </c>
      <c r="H536" t="str">
        <f t="shared" si="16"/>
        <v>RT</v>
      </c>
      <c r="I536" t="str">
        <f t="shared" si="17"/>
        <v>RT</v>
      </c>
      <c r="J536" s="3">
        <f>(F536-VLOOKUP($A536,Runs!$A$2:$E$9,5,FALSE()))*1440</f>
        <v>240.00000004889444</v>
      </c>
      <c r="K536" s="3">
        <f>(G536-VLOOKUP($A536,Runs!$A$2:$E$9,5,FALSE()))*1440</f>
        <v>333.06666666758247</v>
      </c>
    </row>
    <row r="537" spans="1:11" ht="15" customHeight="1" x14ac:dyDescent="0.25">
      <c r="A537" t="s">
        <v>6</v>
      </c>
      <c r="B537">
        <v>2</v>
      </c>
      <c r="C537" t="s">
        <v>93</v>
      </c>
      <c r="D537" t="s">
        <v>85</v>
      </c>
      <c r="E537" t="s">
        <v>118</v>
      </c>
      <c r="F537" s="12">
        <v>45666.041666666701</v>
      </c>
      <c r="G537" s="12">
        <v>45666.251180555599</v>
      </c>
      <c r="H537" t="str">
        <f t="shared" si="16"/>
        <v>RT</v>
      </c>
      <c r="I537" t="str">
        <f t="shared" si="17"/>
        <v>RT</v>
      </c>
      <c r="J537" s="3">
        <f>(F537-VLOOKUP($A537,Runs!$A$2:$E$9,5,FALSE()))*1440</f>
        <v>60.000000048894435</v>
      </c>
      <c r="K537" s="3">
        <f>(G537-VLOOKUP($A537,Runs!$A$2:$E$9,5,FALSE()))*1440</f>
        <v>361.70000006211922</v>
      </c>
    </row>
    <row r="538" spans="1:11" ht="15" customHeight="1" x14ac:dyDescent="0.25">
      <c r="A538" t="s">
        <v>6</v>
      </c>
      <c r="B538">
        <v>3</v>
      </c>
      <c r="C538" t="s">
        <v>183</v>
      </c>
      <c r="D538" t="s">
        <v>85</v>
      </c>
      <c r="E538" t="s">
        <v>180</v>
      </c>
      <c r="F538" s="12">
        <v>45666.083333333299</v>
      </c>
      <c r="G538" s="12">
        <v>45666.2522453704</v>
      </c>
      <c r="H538" t="str">
        <f t="shared" si="16"/>
        <v>BAT</v>
      </c>
      <c r="I538" t="str">
        <f t="shared" si="17"/>
        <v>BAT</v>
      </c>
      <c r="J538" s="3">
        <f>(F538-VLOOKUP($A538,Runs!$A$2:$E$9,5,FALSE()))*1440</f>
        <v>119.99999995110556</v>
      </c>
      <c r="K538" s="3">
        <f>(G538-VLOOKUP($A538,Runs!$A$2:$E$9,5,FALSE()))*1440</f>
        <v>363.23333337670192</v>
      </c>
    </row>
    <row r="539" spans="1:11" ht="15" customHeight="1" x14ac:dyDescent="0.25">
      <c r="A539" t="s">
        <v>6</v>
      </c>
      <c r="B539">
        <v>4</v>
      </c>
      <c r="C539" t="s">
        <v>109</v>
      </c>
      <c r="D539" t="s">
        <v>85</v>
      </c>
      <c r="E539" t="s">
        <v>178</v>
      </c>
      <c r="F539" s="12">
        <v>45666.125</v>
      </c>
      <c r="G539" s="12">
        <v>45666.253310185202</v>
      </c>
      <c r="H539" t="str">
        <f t="shared" si="16"/>
        <v>BOSP</v>
      </c>
      <c r="I539" t="str">
        <f t="shared" si="17"/>
        <v>BOSP</v>
      </c>
      <c r="J539" s="3">
        <f>(F539-VLOOKUP($A539,Runs!$A$2:$E$9,5,FALSE()))*1440</f>
        <v>180</v>
      </c>
      <c r="K539" s="3">
        <f>(G539-VLOOKUP($A539,Runs!$A$2:$E$9,5,FALSE()))*1440</f>
        <v>364.76666669128463</v>
      </c>
    </row>
    <row r="540" spans="1:11" ht="15" customHeight="1" x14ac:dyDescent="0.25">
      <c r="A540" t="s">
        <v>6</v>
      </c>
      <c r="B540">
        <v>5</v>
      </c>
      <c r="C540" t="s">
        <v>129</v>
      </c>
      <c r="D540" t="s">
        <v>85</v>
      </c>
      <c r="E540" t="s">
        <v>128</v>
      </c>
      <c r="F540" s="12">
        <v>45666.166666666701</v>
      </c>
      <c r="G540" s="12">
        <v>45666.271898148101</v>
      </c>
      <c r="H540" t="str">
        <f t="shared" si="16"/>
        <v>RT</v>
      </c>
      <c r="I540" t="str">
        <f t="shared" si="17"/>
        <v>RT</v>
      </c>
      <c r="J540" s="3">
        <f>(F540-VLOOKUP($A540,Runs!$A$2:$E$9,5,FALSE()))*1440</f>
        <v>240.00000004889444</v>
      </c>
      <c r="K540" s="3">
        <f>(G540-VLOOKUP($A540,Runs!$A$2:$E$9,5,FALSE()))*1440</f>
        <v>391.53333326568827</v>
      </c>
    </row>
    <row r="541" spans="1:11" ht="15" customHeight="1" x14ac:dyDescent="0.25">
      <c r="A541" t="s">
        <v>6</v>
      </c>
      <c r="B541">
        <v>1</v>
      </c>
      <c r="C541" t="s">
        <v>184</v>
      </c>
      <c r="D541" t="s">
        <v>85</v>
      </c>
      <c r="E541" t="s">
        <v>185</v>
      </c>
      <c r="F541" s="12">
        <v>45666</v>
      </c>
      <c r="G541" s="12">
        <v>45666.292731481502</v>
      </c>
      <c r="H541" t="str">
        <f t="shared" si="16"/>
        <v>FT</v>
      </c>
      <c r="I541" t="str">
        <f t="shared" si="17"/>
        <v>FT</v>
      </c>
      <c r="J541" s="3">
        <f>(F541-VLOOKUP($A541,Runs!$A$2:$E$9,5,FALSE()))*1440</f>
        <v>0</v>
      </c>
      <c r="K541" s="3">
        <f>(G541-VLOOKUP($A541,Runs!$A$2:$E$9,5,FALSE()))*1440</f>
        <v>421.53333336347714</v>
      </c>
    </row>
    <row r="542" spans="1:11" ht="15" customHeight="1" x14ac:dyDescent="0.25">
      <c r="A542" t="s">
        <v>6</v>
      </c>
      <c r="B542">
        <v>2</v>
      </c>
      <c r="C542" t="s">
        <v>96</v>
      </c>
      <c r="D542" t="s">
        <v>85</v>
      </c>
      <c r="E542" t="s">
        <v>118</v>
      </c>
      <c r="F542" s="12">
        <v>45666.041666666701</v>
      </c>
      <c r="G542" s="12">
        <v>45666.293796296297</v>
      </c>
      <c r="H542" t="str">
        <f t="shared" si="16"/>
        <v>RT</v>
      </c>
      <c r="I542" t="str">
        <f t="shared" si="17"/>
        <v>RT</v>
      </c>
      <c r="J542" s="3">
        <f>(F542-VLOOKUP($A542,Runs!$A$2:$E$9,5,FALSE()))*1440</f>
        <v>60.000000048894435</v>
      </c>
      <c r="K542" s="3">
        <f>(G542-VLOOKUP($A542,Runs!$A$2:$E$9,5,FALSE()))*1440</f>
        <v>423.06666666758247</v>
      </c>
    </row>
    <row r="543" spans="1:11" ht="15" customHeight="1" x14ac:dyDescent="0.25">
      <c r="A543" t="s">
        <v>6</v>
      </c>
      <c r="B543">
        <v>3</v>
      </c>
      <c r="C543" t="s">
        <v>101</v>
      </c>
      <c r="D543" t="s">
        <v>85</v>
      </c>
      <c r="E543" t="s">
        <v>181</v>
      </c>
      <c r="F543" s="12">
        <v>45666.083333333299</v>
      </c>
      <c r="G543" s="12">
        <v>45666.294861111099</v>
      </c>
      <c r="H543" t="str">
        <f t="shared" si="16"/>
        <v>RT</v>
      </c>
      <c r="I543" t="str">
        <f t="shared" si="17"/>
        <v>RT</v>
      </c>
      <c r="J543" s="3">
        <f>(F543-VLOOKUP($A543,Runs!$A$2:$E$9,5,FALSE()))*1440</f>
        <v>119.99999995110556</v>
      </c>
      <c r="K543" s="3">
        <f>(G543-VLOOKUP($A543,Runs!$A$2:$E$9,5,FALSE()))*1440</f>
        <v>424.59999998216517</v>
      </c>
    </row>
    <row r="544" spans="1:11" ht="15" customHeight="1" x14ac:dyDescent="0.25">
      <c r="A544" t="s">
        <v>6</v>
      </c>
      <c r="B544">
        <v>4</v>
      </c>
      <c r="C544" t="s">
        <v>113</v>
      </c>
      <c r="D544" t="s">
        <v>85</v>
      </c>
      <c r="E544" t="s">
        <v>180</v>
      </c>
      <c r="F544" s="12">
        <v>45666.125</v>
      </c>
      <c r="G544" s="12">
        <v>45666.313564814802</v>
      </c>
      <c r="H544" t="str">
        <f t="shared" si="16"/>
        <v>BAT</v>
      </c>
      <c r="I544" t="str">
        <f t="shared" si="17"/>
        <v>BAT</v>
      </c>
      <c r="J544" s="3">
        <f>(F544-VLOOKUP($A544,Runs!$A$2:$E$9,5,FALSE()))*1440</f>
        <v>180</v>
      </c>
      <c r="K544" s="3">
        <f>(G544-VLOOKUP($A544,Runs!$A$2:$E$9,5,FALSE()))*1440</f>
        <v>451.53333331458271</v>
      </c>
    </row>
    <row r="545" spans="1:11" ht="15" customHeight="1" x14ac:dyDescent="0.25">
      <c r="A545" t="s">
        <v>6</v>
      </c>
      <c r="B545">
        <v>5</v>
      </c>
      <c r="C545" t="s">
        <v>130</v>
      </c>
      <c r="D545" t="s">
        <v>85</v>
      </c>
      <c r="E545" t="s">
        <v>131</v>
      </c>
      <c r="F545" s="12">
        <v>45666.166666666701</v>
      </c>
      <c r="G545" s="12">
        <v>45666.314629629604</v>
      </c>
      <c r="H545" t="str">
        <f t="shared" si="16"/>
        <v>FT</v>
      </c>
      <c r="I545" t="str">
        <f t="shared" si="17"/>
        <v>FT</v>
      </c>
      <c r="J545" s="3">
        <f>(F545-VLOOKUP($A545,Runs!$A$2:$E$9,5,FALSE()))*1440</f>
        <v>240.00000004889444</v>
      </c>
      <c r="K545" s="3">
        <f>(G545-VLOOKUP($A545,Runs!$A$2:$E$9,5,FALSE()))*1440</f>
        <v>453.06666662916541</v>
      </c>
    </row>
    <row r="546" spans="1:11" ht="15" customHeight="1" x14ac:dyDescent="0.25">
      <c r="A546" t="s">
        <v>6</v>
      </c>
      <c r="B546">
        <v>1</v>
      </c>
      <c r="C546" t="s">
        <v>186</v>
      </c>
      <c r="D546" t="s">
        <v>85</v>
      </c>
      <c r="E546" t="s">
        <v>185</v>
      </c>
      <c r="F546" s="12">
        <v>45666</v>
      </c>
      <c r="G546" s="12">
        <v>45666.334513888898</v>
      </c>
      <c r="H546" t="str">
        <f t="shared" si="16"/>
        <v>FT</v>
      </c>
      <c r="I546" t="str">
        <f t="shared" si="17"/>
        <v>FT</v>
      </c>
      <c r="J546" s="3">
        <f>(F546-VLOOKUP($A546,Runs!$A$2:$E$9,5,FALSE()))*1440</f>
        <v>0</v>
      </c>
      <c r="K546" s="3">
        <f>(G546-VLOOKUP($A546,Runs!$A$2:$E$9,5,FALSE()))*1440</f>
        <v>481.70000001322478</v>
      </c>
    </row>
    <row r="547" spans="1:11" ht="15" customHeight="1" x14ac:dyDescent="0.25">
      <c r="A547" t="s">
        <v>6</v>
      </c>
      <c r="B547">
        <v>2</v>
      </c>
      <c r="C547" t="s">
        <v>187</v>
      </c>
      <c r="D547" t="s">
        <v>85</v>
      </c>
      <c r="E547" t="s">
        <v>121</v>
      </c>
      <c r="F547" s="12">
        <v>45666.041666666701</v>
      </c>
      <c r="G547" s="12">
        <v>45666.3355787037</v>
      </c>
      <c r="H547" t="str">
        <f t="shared" si="16"/>
        <v>FT</v>
      </c>
      <c r="I547" t="str">
        <f t="shared" si="17"/>
        <v>FT</v>
      </c>
      <c r="J547" s="3">
        <f>(F547-VLOOKUP($A547,Runs!$A$2:$E$9,5,FALSE()))*1440</f>
        <v>60.000000048894435</v>
      </c>
      <c r="K547" s="3">
        <f>(G547-VLOOKUP($A547,Runs!$A$2:$E$9,5,FALSE()))*1440</f>
        <v>483.23333332780749</v>
      </c>
    </row>
    <row r="548" spans="1:11" ht="15" customHeight="1" x14ac:dyDescent="0.25">
      <c r="A548" t="s">
        <v>6</v>
      </c>
      <c r="B548">
        <v>3</v>
      </c>
      <c r="C548" t="s">
        <v>102</v>
      </c>
      <c r="D548" t="s">
        <v>85</v>
      </c>
      <c r="E548" t="s">
        <v>181</v>
      </c>
      <c r="F548" s="12">
        <v>45666.083333333299</v>
      </c>
      <c r="G548" s="12">
        <v>45666.336643518502</v>
      </c>
      <c r="H548" t="str">
        <f t="shared" si="16"/>
        <v>RT</v>
      </c>
      <c r="I548" t="str">
        <f t="shared" si="17"/>
        <v>RT</v>
      </c>
      <c r="J548" s="3">
        <f>(F548-VLOOKUP($A548,Runs!$A$2:$E$9,5,FALSE()))*1440</f>
        <v>119.99999995110556</v>
      </c>
      <c r="K548" s="3">
        <f>(G548-VLOOKUP($A548,Runs!$A$2:$E$9,5,FALSE()))*1440</f>
        <v>484.76666664239019</v>
      </c>
    </row>
    <row r="549" spans="1:11" ht="15" customHeight="1" x14ac:dyDescent="0.25">
      <c r="A549" t="s">
        <v>6</v>
      </c>
      <c r="B549">
        <v>4</v>
      </c>
      <c r="C549" t="s">
        <v>117</v>
      </c>
      <c r="D549" t="s">
        <v>85</v>
      </c>
      <c r="E549" t="s">
        <v>181</v>
      </c>
      <c r="F549" s="12">
        <v>45666.125</v>
      </c>
      <c r="G549" s="12">
        <v>45666.337708333303</v>
      </c>
      <c r="H549" t="str">
        <f t="shared" si="16"/>
        <v>RT</v>
      </c>
      <c r="I549" t="str">
        <f t="shared" si="17"/>
        <v>RT</v>
      </c>
      <c r="J549" s="3">
        <f>(F549-VLOOKUP($A549,Runs!$A$2:$E$9,5,FALSE()))*1440</f>
        <v>180</v>
      </c>
      <c r="K549" s="3">
        <f>(G549-VLOOKUP($A549,Runs!$A$2:$E$9,5,FALSE()))*1440</f>
        <v>486.2999999569729</v>
      </c>
    </row>
    <row r="550" spans="1:11" ht="15" customHeight="1" x14ac:dyDescent="0.25">
      <c r="A550" t="s">
        <v>6</v>
      </c>
      <c r="B550">
        <v>5</v>
      </c>
      <c r="C550" t="s">
        <v>132</v>
      </c>
      <c r="D550" t="s">
        <v>85</v>
      </c>
      <c r="E550" t="s">
        <v>131</v>
      </c>
      <c r="F550" s="12">
        <v>45666.166666666701</v>
      </c>
      <c r="G550" s="12">
        <v>45666.355925925898</v>
      </c>
      <c r="H550" t="str">
        <f t="shared" si="16"/>
        <v>FT</v>
      </c>
      <c r="I550" t="str">
        <f t="shared" si="17"/>
        <v>FT</v>
      </c>
      <c r="J550" s="3">
        <f>(F550-VLOOKUP($A550,Runs!$A$2:$E$9,5,FALSE()))*1440</f>
        <v>240.00000004889444</v>
      </c>
      <c r="K550" s="3">
        <f>(G550-VLOOKUP($A550,Runs!$A$2:$E$9,5,FALSE()))*1440</f>
        <v>512.53333329339512</v>
      </c>
    </row>
    <row r="551" spans="1:11" ht="15" customHeight="1" x14ac:dyDescent="0.25">
      <c r="A551" t="s">
        <v>6</v>
      </c>
      <c r="B551">
        <v>2</v>
      </c>
      <c r="C551" t="s">
        <v>188</v>
      </c>
      <c r="D551" t="s">
        <v>85</v>
      </c>
      <c r="E551" t="s">
        <v>121</v>
      </c>
      <c r="F551" s="12">
        <v>45666.041666666701</v>
      </c>
      <c r="G551" s="12">
        <v>45666.376064814802</v>
      </c>
      <c r="H551" t="str">
        <f t="shared" si="16"/>
        <v>FT</v>
      </c>
      <c r="I551" t="str">
        <f t="shared" si="17"/>
        <v>FT</v>
      </c>
      <c r="J551" s="3">
        <f>(F551-VLOOKUP($A551,Runs!$A$2:$E$9,5,FALSE()))*1440</f>
        <v>60.000000048894435</v>
      </c>
      <c r="K551" s="3">
        <f>(G551-VLOOKUP($A551,Runs!$A$2:$E$9,5,FALSE()))*1440</f>
        <v>541.53333331458271</v>
      </c>
    </row>
    <row r="552" spans="1:11" ht="15" customHeight="1" x14ac:dyDescent="0.25">
      <c r="A552" t="s">
        <v>6</v>
      </c>
      <c r="B552">
        <v>3</v>
      </c>
      <c r="C552" t="s">
        <v>189</v>
      </c>
      <c r="D552" t="s">
        <v>85</v>
      </c>
      <c r="E552" t="s">
        <v>185</v>
      </c>
      <c r="F552" s="12">
        <v>45666.083333333299</v>
      </c>
      <c r="G552" s="12">
        <v>45666.377129629604</v>
      </c>
      <c r="H552" t="str">
        <f t="shared" si="16"/>
        <v>FT</v>
      </c>
      <c r="I552" t="str">
        <f t="shared" si="17"/>
        <v>FT</v>
      </c>
      <c r="J552" s="3">
        <f>(F552-VLOOKUP($A552,Runs!$A$2:$E$9,5,FALSE()))*1440</f>
        <v>119.99999995110556</v>
      </c>
      <c r="K552" s="3">
        <f>(G552-VLOOKUP($A552,Runs!$A$2:$E$9,5,FALSE()))*1440</f>
        <v>543.06666662916541</v>
      </c>
    </row>
    <row r="553" spans="1:11" ht="15" customHeight="1" x14ac:dyDescent="0.25">
      <c r="A553" t="s">
        <v>6</v>
      </c>
      <c r="B553">
        <v>4</v>
      </c>
      <c r="C553" t="s">
        <v>119</v>
      </c>
      <c r="D553" t="s">
        <v>85</v>
      </c>
      <c r="E553" t="s">
        <v>181</v>
      </c>
      <c r="F553" s="12">
        <v>45666.125</v>
      </c>
      <c r="G553" s="12">
        <v>45666.378194444398</v>
      </c>
      <c r="H553" t="str">
        <f t="shared" si="16"/>
        <v>RT</v>
      </c>
      <c r="I553" t="str">
        <f t="shared" si="17"/>
        <v>RT</v>
      </c>
      <c r="J553" s="3">
        <f>(F553-VLOOKUP($A553,Runs!$A$2:$E$9,5,FALSE()))*1440</f>
        <v>180</v>
      </c>
      <c r="K553" s="3">
        <f>(G553-VLOOKUP($A553,Runs!$A$2:$E$9,5,FALSE()))*1440</f>
        <v>544.59999993327074</v>
      </c>
    </row>
    <row r="554" spans="1:11" ht="15" customHeight="1" x14ac:dyDescent="0.25">
      <c r="A554" t="s">
        <v>6</v>
      </c>
      <c r="B554">
        <v>2</v>
      </c>
      <c r="C554" t="s">
        <v>253</v>
      </c>
      <c r="D554" t="s">
        <v>85</v>
      </c>
      <c r="E554" t="s">
        <v>126</v>
      </c>
      <c r="F554" s="12">
        <v>45666.041666666701</v>
      </c>
      <c r="G554" s="12">
        <v>45666.396898148101</v>
      </c>
      <c r="H554" t="str">
        <f t="shared" si="16"/>
        <v>CRE</v>
      </c>
      <c r="I554" t="str">
        <f t="shared" si="17"/>
        <v>CRE</v>
      </c>
      <c r="J554" s="3">
        <f>(F554-VLOOKUP($A554,Runs!$A$2:$E$9,5,FALSE()))*1440</f>
        <v>60.000000048894435</v>
      </c>
      <c r="K554" s="3">
        <f>(G554-VLOOKUP($A554,Runs!$A$2:$E$9,5,FALSE()))*1440</f>
        <v>571.53333326568827</v>
      </c>
    </row>
    <row r="555" spans="1:11" ht="15" customHeight="1" x14ac:dyDescent="0.25">
      <c r="A555" t="s">
        <v>6</v>
      </c>
      <c r="B555">
        <v>5</v>
      </c>
      <c r="C555" t="s">
        <v>135</v>
      </c>
      <c r="D555" t="s">
        <v>85</v>
      </c>
      <c r="E555" t="s">
        <v>136</v>
      </c>
      <c r="F555" s="12">
        <v>45666.166666666701</v>
      </c>
      <c r="G555" s="12">
        <v>45666.397962962998</v>
      </c>
      <c r="H555" t="str">
        <f t="shared" si="16"/>
        <v>SSA</v>
      </c>
      <c r="I555" t="str">
        <f t="shared" si="17"/>
        <v>SSA</v>
      </c>
      <c r="J555" s="3">
        <f>(F555-VLOOKUP($A555,Runs!$A$2:$E$9,5,FALSE()))*1440</f>
        <v>240.00000004889444</v>
      </c>
      <c r="K555" s="3">
        <f>(G555-VLOOKUP($A555,Runs!$A$2:$E$9,5,FALSE()))*1440</f>
        <v>573.0666667164769</v>
      </c>
    </row>
    <row r="556" spans="1:11" ht="15" customHeight="1" x14ac:dyDescent="0.25">
      <c r="A556" t="s">
        <v>6</v>
      </c>
      <c r="B556">
        <v>7</v>
      </c>
      <c r="C556" t="s">
        <v>140</v>
      </c>
      <c r="D556" t="s">
        <v>85</v>
      </c>
      <c r="E556" t="s">
        <v>178</v>
      </c>
      <c r="F556" s="12">
        <v>45666.291666666701</v>
      </c>
      <c r="G556" s="12">
        <v>45666.418194444399</v>
      </c>
      <c r="H556" t="str">
        <f t="shared" si="16"/>
        <v>BOSP</v>
      </c>
      <c r="I556" t="str">
        <f t="shared" si="17"/>
        <v>BOSP</v>
      </c>
      <c r="J556" s="3">
        <f>(F556-VLOOKUP($A556,Runs!$A$2:$E$9,5,FALSE()))*1440</f>
        <v>420.00000004889444</v>
      </c>
      <c r="K556" s="3">
        <f>(G556-VLOOKUP($A556,Runs!$A$2:$E$9,5,FALSE()))*1440</f>
        <v>602.19999993452802</v>
      </c>
    </row>
    <row r="557" spans="1:11" ht="15" customHeight="1" x14ac:dyDescent="0.25">
      <c r="A557" t="s">
        <v>6</v>
      </c>
      <c r="B557">
        <v>3</v>
      </c>
      <c r="C557" t="s">
        <v>190</v>
      </c>
      <c r="D557" t="s">
        <v>85</v>
      </c>
      <c r="E557" t="s">
        <v>185</v>
      </c>
      <c r="F557" s="12">
        <v>45666.083333333299</v>
      </c>
      <c r="G557" s="12">
        <v>45666.419259259303</v>
      </c>
      <c r="H557" t="str">
        <f t="shared" si="16"/>
        <v>FT</v>
      </c>
      <c r="I557" t="str">
        <f t="shared" si="17"/>
        <v>FT</v>
      </c>
      <c r="J557" s="3">
        <f>(F557-VLOOKUP($A557,Runs!$A$2:$E$9,5,FALSE()))*1440</f>
        <v>119.99999995110556</v>
      </c>
      <c r="K557" s="3">
        <f>(G557-VLOOKUP($A557,Runs!$A$2:$E$9,5,FALSE()))*1440</f>
        <v>603.73333339579403</v>
      </c>
    </row>
    <row r="558" spans="1:11" ht="15" customHeight="1" x14ac:dyDescent="0.25">
      <c r="A558" t="s">
        <v>6</v>
      </c>
      <c r="B558">
        <v>4</v>
      </c>
      <c r="C558" t="s">
        <v>120</v>
      </c>
      <c r="D558" t="s">
        <v>85</v>
      </c>
      <c r="E558" t="s">
        <v>185</v>
      </c>
      <c r="F558" s="12">
        <v>45666.125</v>
      </c>
      <c r="G558" s="12">
        <v>45666.420324074097</v>
      </c>
      <c r="H558" t="str">
        <f t="shared" si="16"/>
        <v>FT</v>
      </c>
      <c r="I558" t="str">
        <f t="shared" si="17"/>
        <v>FT</v>
      </c>
      <c r="J558" s="3">
        <f>(F558-VLOOKUP($A558,Runs!$A$2:$E$9,5,FALSE()))*1440</f>
        <v>180</v>
      </c>
      <c r="K558" s="3">
        <f>(G558-VLOOKUP($A558,Runs!$A$2:$E$9,5,FALSE()))*1440</f>
        <v>605.26666669989936</v>
      </c>
    </row>
    <row r="559" spans="1:11" ht="15" customHeight="1" x14ac:dyDescent="0.25">
      <c r="A559" t="s">
        <v>6</v>
      </c>
      <c r="B559">
        <v>5</v>
      </c>
      <c r="C559" t="s">
        <v>139</v>
      </c>
      <c r="D559" t="s">
        <v>85</v>
      </c>
      <c r="E559" t="s">
        <v>136</v>
      </c>
      <c r="F559" s="12">
        <v>45666.166666666701</v>
      </c>
      <c r="G559" s="12">
        <v>45666.438564814802</v>
      </c>
      <c r="H559" t="str">
        <f t="shared" si="16"/>
        <v>SSA</v>
      </c>
      <c r="I559" t="str">
        <f t="shared" si="17"/>
        <v>SSA</v>
      </c>
      <c r="J559" s="3">
        <f>(F559-VLOOKUP($A559,Runs!$A$2:$E$9,5,FALSE()))*1440</f>
        <v>240.00000004889444</v>
      </c>
      <c r="K559" s="3">
        <f>(G559-VLOOKUP($A559,Runs!$A$2:$E$9,5,FALSE()))*1440</f>
        <v>631.53333331458271</v>
      </c>
    </row>
    <row r="560" spans="1:11" ht="15" customHeight="1" x14ac:dyDescent="0.25">
      <c r="A560" t="s">
        <v>6</v>
      </c>
      <c r="B560">
        <v>7</v>
      </c>
      <c r="C560" t="s">
        <v>143</v>
      </c>
      <c r="D560" t="s">
        <v>85</v>
      </c>
      <c r="E560" t="s">
        <v>178</v>
      </c>
      <c r="F560" s="12">
        <v>45666.291666666701</v>
      </c>
      <c r="G560" s="12">
        <v>45666.460023148204</v>
      </c>
      <c r="H560" t="str">
        <f t="shared" si="16"/>
        <v>BOSP</v>
      </c>
      <c r="I560" t="str">
        <f t="shared" si="17"/>
        <v>BOSP</v>
      </c>
      <c r="J560" s="3">
        <f>(F560-VLOOKUP($A560,Runs!$A$2:$E$9,5,FALSE()))*1440</f>
        <v>420.00000004889444</v>
      </c>
      <c r="K560" s="3">
        <f>(G560-VLOOKUP($A560,Runs!$A$2:$E$9,5,FALSE()))*1440</f>
        <v>662.43333341320977</v>
      </c>
    </row>
    <row r="561" spans="1:11" ht="15" customHeight="1" x14ac:dyDescent="0.25">
      <c r="A561" t="s">
        <v>6</v>
      </c>
      <c r="B561">
        <v>4</v>
      </c>
      <c r="C561" t="s">
        <v>124</v>
      </c>
      <c r="D561" t="s">
        <v>85</v>
      </c>
      <c r="E561" t="s">
        <v>185</v>
      </c>
      <c r="F561" s="12">
        <v>45666.125</v>
      </c>
      <c r="G561" s="12">
        <v>45666.461087962998</v>
      </c>
      <c r="H561" t="str">
        <f t="shared" si="16"/>
        <v>FT</v>
      </c>
      <c r="I561" t="str">
        <f t="shared" si="17"/>
        <v>FT</v>
      </c>
      <c r="J561" s="3">
        <f>(F561-VLOOKUP($A561,Runs!$A$2:$E$9,5,FALSE()))*1440</f>
        <v>180</v>
      </c>
      <c r="K561" s="3">
        <f>(G561-VLOOKUP($A561,Runs!$A$2:$E$9,5,FALSE()))*1440</f>
        <v>663.96666671731509</v>
      </c>
    </row>
    <row r="562" spans="1:11" ht="15" customHeight="1" x14ac:dyDescent="0.25">
      <c r="A562" t="s">
        <v>6</v>
      </c>
      <c r="B562">
        <v>1</v>
      </c>
      <c r="C562" t="s">
        <v>191</v>
      </c>
      <c r="D562" t="s">
        <v>85</v>
      </c>
      <c r="E562" t="s">
        <v>192</v>
      </c>
      <c r="F562" s="12">
        <v>45666</v>
      </c>
      <c r="G562" s="12">
        <v>45666.480231481502</v>
      </c>
      <c r="H562" t="str">
        <f t="shared" si="16"/>
        <v>SSA</v>
      </c>
      <c r="I562" t="str">
        <f t="shared" si="17"/>
        <v>SSA</v>
      </c>
      <c r="J562" s="3">
        <f>(F562-VLOOKUP($A562,Runs!$A$2:$E$9,5,FALSE()))*1440</f>
        <v>0</v>
      </c>
      <c r="K562" s="3">
        <f>(G562-VLOOKUP($A562,Runs!$A$2:$E$9,5,FALSE()))*1440</f>
        <v>691.53333336347714</v>
      </c>
    </row>
    <row r="563" spans="1:11" ht="15" customHeight="1" x14ac:dyDescent="0.25">
      <c r="A563" t="s">
        <v>6</v>
      </c>
      <c r="B563">
        <v>5</v>
      </c>
      <c r="C563" t="s">
        <v>141</v>
      </c>
      <c r="D563" t="s">
        <v>85</v>
      </c>
      <c r="E563" t="s">
        <v>142</v>
      </c>
      <c r="F563" s="12">
        <v>45666.166666666701</v>
      </c>
      <c r="G563" s="12">
        <v>45666.481296296297</v>
      </c>
      <c r="H563" t="str">
        <f t="shared" si="16"/>
        <v>BSA</v>
      </c>
      <c r="I563" t="str">
        <f t="shared" si="17"/>
        <v>BSA</v>
      </c>
      <c r="J563" s="3">
        <f>(F563-VLOOKUP($A563,Runs!$A$2:$E$9,5,FALSE()))*1440</f>
        <v>240.00000004889444</v>
      </c>
      <c r="K563" s="3">
        <f>(G563-VLOOKUP($A563,Runs!$A$2:$E$9,5,FALSE()))*1440</f>
        <v>693.06666666758247</v>
      </c>
    </row>
    <row r="564" spans="1:11" ht="15" customHeight="1" x14ac:dyDescent="0.25">
      <c r="A564" t="s">
        <v>6</v>
      </c>
      <c r="B564">
        <v>1</v>
      </c>
      <c r="C564" t="s">
        <v>194</v>
      </c>
      <c r="D564" t="s">
        <v>85</v>
      </c>
      <c r="E564" t="s">
        <v>192</v>
      </c>
      <c r="F564" s="12">
        <v>45666</v>
      </c>
      <c r="G564" s="12">
        <v>45666.521898148101</v>
      </c>
      <c r="H564" t="str">
        <f t="shared" si="16"/>
        <v>SSA</v>
      </c>
      <c r="I564" t="str">
        <f t="shared" si="17"/>
        <v>SSA</v>
      </c>
      <c r="J564" s="3">
        <f>(F564-VLOOKUP($A564,Runs!$A$2:$E$9,5,FALSE()))*1440</f>
        <v>0</v>
      </c>
      <c r="K564" s="3">
        <f>(G564-VLOOKUP($A564,Runs!$A$2:$E$9,5,FALSE()))*1440</f>
        <v>751.53333326568827</v>
      </c>
    </row>
    <row r="565" spans="1:11" ht="15" customHeight="1" x14ac:dyDescent="0.25">
      <c r="A565" t="s">
        <v>6</v>
      </c>
      <c r="B565">
        <v>7</v>
      </c>
      <c r="C565" t="s">
        <v>222</v>
      </c>
      <c r="D565" t="s">
        <v>85</v>
      </c>
      <c r="E565" t="s">
        <v>180</v>
      </c>
      <c r="F565" s="12">
        <v>45666.291666666701</v>
      </c>
      <c r="G565" s="12">
        <v>45666.522962962998</v>
      </c>
      <c r="H565" t="str">
        <f t="shared" si="16"/>
        <v>BAT</v>
      </c>
      <c r="I565" t="str">
        <f t="shared" si="17"/>
        <v>BAT</v>
      </c>
      <c r="J565" s="3">
        <f>(F565-VLOOKUP($A565,Runs!$A$2:$E$9,5,FALSE()))*1440</f>
        <v>420.00000004889444</v>
      </c>
      <c r="K565" s="3">
        <f>(G565-VLOOKUP($A565,Runs!$A$2:$E$9,5,FALSE()))*1440</f>
        <v>753.0666667164769</v>
      </c>
    </row>
    <row r="566" spans="1:11" ht="15" customHeight="1" x14ac:dyDescent="0.25">
      <c r="A566" t="s">
        <v>6</v>
      </c>
      <c r="B566">
        <v>5</v>
      </c>
      <c r="C566" t="s">
        <v>146</v>
      </c>
      <c r="D566" t="s">
        <v>85</v>
      </c>
      <c r="E566" t="s">
        <v>142</v>
      </c>
      <c r="F566" s="12">
        <v>45666.166666666701</v>
      </c>
      <c r="G566" s="12">
        <v>45666.524027777799</v>
      </c>
      <c r="H566" t="str">
        <f t="shared" si="16"/>
        <v>BSA</v>
      </c>
      <c r="I566" t="str">
        <f t="shared" si="17"/>
        <v>BSA</v>
      </c>
      <c r="J566" s="3">
        <f>(F566-VLOOKUP($A566,Runs!$A$2:$E$9,5,FALSE()))*1440</f>
        <v>240.00000004889444</v>
      </c>
      <c r="K566" s="3">
        <f>(G566-VLOOKUP($A566,Runs!$A$2:$E$9,5,FALSE()))*1440</f>
        <v>754.60000003105961</v>
      </c>
    </row>
    <row r="567" spans="1:11" ht="15" customHeight="1" x14ac:dyDescent="0.25">
      <c r="A567" t="s">
        <v>6</v>
      </c>
      <c r="B567">
        <v>1</v>
      </c>
      <c r="C567" t="s">
        <v>196</v>
      </c>
      <c r="D567" t="s">
        <v>85</v>
      </c>
      <c r="E567" t="s">
        <v>197</v>
      </c>
      <c r="F567" s="12">
        <v>45666</v>
      </c>
      <c r="G567" s="12">
        <v>45666.542731481502</v>
      </c>
      <c r="H567" t="str">
        <f t="shared" si="16"/>
        <v>FAX</v>
      </c>
      <c r="I567" t="str">
        <f t="shared" si="17"/>
        <v>FAX</v>
      </c>
      <c r="J567" s="3">
        <f>(F567-VLOOKUP($A567,Runs!$A$2:$E$9,5,FALSE()))*1440</f>
        <v>0</v>
      </c>
      <c r="K567" s="3">
        <f>(G567-VLOOKUP($A567,Runs!$A$2:$E$9,5,FALSE()))*1440</f>
        <v>781.53333336347714</v>
      </c>
    </row>
    <row r="568" spans="1:11" ht="15" customHeight="1" x14ac:dyDescent="0.25">
      <c r="A568" t="s">
        <v>6</v>
      </c>
      <c r="B568">
        <v>7</v>
      </c>
      <c r="C568" t="s">
        <v>144</v>
      </c>
      <c r="D568" t="s">
        <v>85</v>
      </c>
      <c r="E568" t="s">
        <v>181</v>
      </c>
      <c r="F568" s="12">
        <v>45666.291666666701</v>
      </c>
      <c r="G568" s="12">
        <v>45666.543796296297</v>
      </c>
      <c r="H568" t="str">
        <f t="shared" si="16"/>
        <v>RT</v>
      </c>
      <c r="I568" t="str">
        <f t="shared" si="17"/>
        <v>RT</v>
      </c>
      <c r="J568" s="3">
        <f>(F568-VLOOKUP($A568,Runs!$A$2:$E$9,5,FALSE()))*1440</f>
        <v>420.00000004889444</v>
      </c>
      <c r="K568" s="3">
        <f>(G568-VLOOKUP($A568,Runs!$A$2:$E$9,5,FALSE()))*1440</f>
        <v>783.06666666758247</v>
      </c>
    </row>
    <row r="569" spans="1:11" ht="15" customHeight="1" x14ac:dyDescent="0.25">
      <c r="A569" t="s">
        <v>6</v>
      </c>
      <c r="B569">
        <v>5</v>
      </c>
      <c r="C569" t="s">
        <v>148</v>
      </c>
      <c r="D569" t="s">
        <v>85</v>
      </c>
      <c r="E569" t="s">
        <v>149</v>
      </c>
      <c r="F569" s="12">
        <v>45666.166666666701</v>
      </c>
      <c r="G569" s="12">
        <v>45666.544861111099</v>
      </c>
      <c r="H569" t="str">
        <f t="shared" si="16"/>
        <v>CSEB-NABS</v>
      </c>
      <c r="I569" t="str">
        <f t="shared" si="17"/>
        <v>CSEB-NABS</v>
      </c>
      <c r="J569" s="3">
        <f>(F569-VLOOKUP($A569,Runs!$A$2:$E$9,5,FALSE()))*1440</f>
        <v>240.00000004889444</v>
      </c>
      <c r="K569" s="3">
        <f>(G569-VLOOKUP($A569,Runs!$A$2:$E$9,5,FALSE()))*1440</f>
        <v>784.59999998216517</v>
      </c>
    </row>
    <row r="570" spans="1:11" ht="15" customHeight="1" x14ac:dyDescent="0.25">
      <c r="A570" t="s">
        <v>6</v>
      </c>
      <c r="B570">
        <v>3</v>
      </c>
      <c r="C570" t="s">
        <v>195</v>
      </c>
      <c r="D570" t="s">
        <v>85</v>
      </c>
      <c r="E570" t="s">
        <v>192</v>
      </c>
      <c r="F570" s="12">
        <v>45666.083333333299</v>
      </c>
      <c r="G570" s="12">
        <v>45666.563564814802</v>
      </c>
      <c r="H570" t="str">
        <f t="shared" si="16"/>
        <v>SSA</v>
      </c>
      <c r="I570" t="str">
        <f t="shared" si="17"/>
        <v>SSA</v>
      </c>
      <c r="J570" s="3">
        <f>(F570-VLOOKUP($A570,Runs!$A$2:$E$9,5,FALSE()))*1440</f>
        <v>119.99999995110556</v>
      </c>
      <c r="K570" s="3">
        <f>(G570-VLOOKUP($A570,Runs!$A$2:$E$9,5,FALSE()))*1440</f>
        <v>811.53333331458271</v>
      </c>
    </row>
    <row r="571" spans="1:11" ht="15" customHeight="1" x14ac:dyDescent="0.25">
      <c r="A571" t="s">
        <v>6</v>
      </c>
      <c r="B571">
        <v>10</v>
      </c>
      <c r="C571" t="s">
        <v>243</v>
      </c>
      <c r="D571" t="s">
        <v>85</v>
      </c>
      <c r="E571" t="s">
        <v>178</v>
      </c>
      <c r="F571" s="12">
        <v>45666.416666666701</v>
      </c>
      <c r="G571" s="12">
        <v>45666.564629629604</v>
      </c>
      <c r="H571" t="str">
        <f t="shared" si="16"/>
        <v>BOSP</v>
      </c>
      <c r="I571" t="str">
        <f t="shared" si="17"/>
        <v>BOSP</v>
      </c>
      <c r="J571" s="3">
        <f>(F571-VLOOKUP($A571,Runs!$A$2:$E$9,5,FALSE()))*1440</f>
        <v>600.00000004889444</v>
      </c>
      <c r="K571" s="3">
        <f>(G571-VLOOKUP($A571,Runs!$A$2:$E$9,5,FALSE()))*1440</f>
        <v>813.06666662916541</v>
      </c>
    </row>
    <row r="572" spans="1:11" ht="15" customHeight="1" x14ac:dyDescent="0.25">
      <c r="A572" t="s">
        <v>6</v>
      </c>
      <c r="B572">
        <v>7</v>
      </c>
      <c r="C572" t="s">
        <v>147</v>
      </c>
      <c r="D572" t="s">
        <v>85</v>
      </c>
      <c r="E572" t="s">
        <v>181</v>
      </c>
      <c r="F572" s="12">
        <v>45666.291666666701</v>
      </c>
      <c r="G572" s="12">
        <v>45666.584398148101</v>
      </c>
      <c r="H572" t="str">
        <f t="shared" si="16"/>
        <v>RT</v>
      </c>
      <c r="I572" t="str">
        <f t="shared" si="17"/>
        <v>RT</v>
      </c>
      <c r="J572" s="3">
        <f>(F572-VLOOKUP($A572,Runs!$A$2:$E$9,5,FALSE()))*1440</f>
        <v>420.00000004889444</v>
      </c>
      <c r="K572" s="3">
        <f>(G572-VLOOKUP($A572,Runs!$A$2:$E$9,5,FALSE()))*1440</f>
        <v>841.53333326568827</v>
      </c>
    </row>
    <row r="573" spans="1:11" ht="15" customHeight="1" x14ac:dyDescent="0.25">
      <c r="A573" t="s">
        <v>6</v>
      </c>
      <c r="B573">
        <v>3</v>
      </c>
      <c r="C573" t="s">
        <v>201</v>
      </c>
      <c r="D573" t="s">
        <v>85</v>
      </c>
      <c r="E573" t="s">
        <v>192</v>
      </c>
      <c r="F573" s="12">
        <v>45666.083333333299</v>
      </c>
      <c r="G573" s="12">
        <v>45666.605231481502</v>
      </c>
      <c r="H573" t="str">
        <f t="shared" si="16"/>
        <v>SSA</v>
      </c>
      <c r="I573" t="str">
        <f t="shared" si="17"/>
        <v>SSA</v>
      </c>
      <c r="J573" s="3">
        <f>(F573-VLOOKUP($A573,Runs!$A$2:$E$9,5,FALSE()))*1440</f>
        <v>119.99999995110556</v>
      </c>
      <c r="K573" s="3">
        <f>(G573-VLOOKUP($A573,Runs!$A$2:$E$9,5,FALSE()))*1440</f>
        <v>871.53333336347714</v>
      </c>
    </row>
    <row r="574" spans="1:11" ht="15" customHeight="1" x14ac:dyDescent="0.25">
      <c r="A574" t="s">
        <v>6</v>
      </c>
      <c r="B574">
        <v>4</v>
      </c>
      <c r="C574" t="s">
        <v>199</v>
      </c>
      <c r="D574" t="s">
        <v>85</v>
      </c>
      <c r="E574" t="s">
        <v>192</v>
      </c>
      <c r="F574" s="12">
        <v>45666.125</v>
      </c>
      <c r="G574" s="12">
        <v>45666.606296296297</v>
      </c>
      <c r="H574" t="str">
        <f t="shared" si="16"/>
        <v>SSA</v>
      </c>
      <c r="I574" t="str">
        <f t="shared" si="17"/>
        <v>SSA</v>
      </c>
      <c r="J574" s="3">
        <f>(F574-VLOOKUP($A574,Runs!$A$2:$E$9,5,FALSE()))*1440</f>
        <v>180</v>
      </c>
      <c r="K574" s="3">
        <f>(G574-VLOOKUP($A574,Runs!$A$2:$E$9,5,FALSE()))*1440</f>
        <v>873.06666666758247</v>
      </c>
    </row>
    <row r="575" spans="1:11" ht="15" customHeight="1" x14ac:dyDescent="0.25">
      <c r="A575" t="s">
        <v>6</v>
      </c>
      <c r="B575">
        <v>10</v>
      </c>
      <c r="C575" t="s">
        <v>247</v>
      </c>
      <c r="D575" t="s">
        <v>85</v>
      </c>
      <c r="E575" t="s">
        <v>178</v>
      </c>
      <c r="F575" s="12">
        <v>45666.416666666701</v>
      </c>
      <c r="G575" s="12">
        <v>45666.607361111099</v>
      </c>
      <c r="H575" t="str">
        <f t="shared" si="16"/>
        <v>BOSP</v>
      </c>
      <c r="I575" t="str">
        <f t="shared" si="17"/>
        <v>BOSP</v>
      </c>
      <c r="J575" s="3">
        <f>(F575-VLOOKUP($A575,Runs!$A$2:$E$9,5,FALSE()))*1440</f>
        <v>600.00000004889444</v>
      </c>
      <c r="K575" s="3">
        <f>(G575-VLOOKUP($A575,Runs!$A$2:$E$9,5,FALSE()))*1440</f>
        <v>874.59999998216517</v>
      </c>
    </row>
    <row r="576" spans="1:11" ht="15" customHeight="1" x14ac:dyDescent="0.25">
      <c r="A576" t="s">
        <v>6</v>
      </c>
      <c r="B576">
        <v>7</v>
      </c>
      <c r="C576" t="s">
        <v>225</v>
      </c>
      <c r="D576" t="s">
        <v>85</v>
      </c>
      <c r="E576" t="s">
        <v>185</v>
      </c>
      <c r="F576" s="12">
        <v>45666.291666666701</v>
      </c>
      <c r="G576" s="12">
        <v>45666.626064814802</v>
      </c>
      <c r="H576" t="str">
        <f t="shared" si="16"/>
        <v>FT</v>
      </c>
      <c r="I576" t="str">
        <f t="shared" si="17"/>
        <v>FT</v>
      </c>
      <c r="J576" s="3">
        <f>(F576-VLOOKUP($A576,Runs!$A$2:$E$9,5,FALSE()))*1440</f>
        <v>420.00000004889444</v>
      </c>
      <c r="K576" s="3">
        <f>(G576-VLOOKUP($A576,Runs!$A$2:$E$9,5,FALSE()))*1440</f>
        <v>901.53333331458271</v>
      </c>
    </row>
    <row r="577" spans="1:11" ht="15" customHeight="1" x14ac:dyDescent="0.25">
      <c r="A577" t="s">
        <v>6</v>
      </c>
      <c r="B577">
        <v>3</v>
      </c>
      <c r="C577" t="s">
        <v>204</v>
      </c>
      <c r="D577" t="s">
        <v>85</v>
      </c>
      <c r="E577" t="s">
        <v>197</v>
      </c>
      <c r="F577" s="12">
        <v>45666.083333333299</v>
      </c>
      <c r="G577" s="12">
        <v>45666.627129629604</v>
      </c>
      <c r="H577" t="str">
        <f t="shared" si="16"/>
        <v>FAX</v>
      </c>
      <c r="I577" t="str">
        <f t="shared" si="17"/>
        <v>FAX</v>
      </c>
      <c r="J577" s="3">
        <f>(F577-VLOOKUP($A577,Runs!$A$2:$E$9,5,FALSE()))*1440</f>
        <v>119.99999995110556</v>
      </c>
      <c r="K577" s="3">
        <f>(G577-VLOOKUP($A577,Runs!$A$2:$E$9,5,FALSE()))*1440</f>
        <v>903.06666662916541</v>
      </c>
    </row>
    <row r="578" spans="1:11" ht="15" customHeight="1" x14ac:dyDescent="0.25">
      <c r="A578" t="s">
        <v>6</v>
      </c>
      <c r="B578">
        <v>1</v>
      </c>
      <c r="C578" t="s">
        <v>202</v>
      </c>
      <c r="D578" t="s">
        <v>85</v>
      </c>
      <c r="E578" t="s">
        <v>203</v>
      </c>
      <c r="F578" s="12">
        <v>45666</v>
      </c>
      <c r="G578" s="12">
        <v>45666.646898148101</v>
      </c>
      <c r="H578" t="str">
        <f t="shared" ref="H578:H641" si="18">MID(E578,8,100)</f>
        <v>CHS</v>
      </c>
      <c r="I578" t="str">
        <f t="shared" ref="I578:I641" si="19">IF(H578="CORE","CHS",H578)</f>
        <v>CHS</v>
      </c>
      <c r="J578" s="3">
        <f>(F578-VLOOKUP($A578,Runs!$A$2:$E$9,5,FALSE()))*1440</f>
        <v>0</v>
      </c>
      <c r="K578" s="3">
        <f>(G578-VLOOKUP($A578,Runs!$A$2:$E$9,5,FALSE()))*1440</f>
        <v>931.53333326568827</v>
      </c>
    </row>
    <row r="579" spans="1:11" ht="15" customHeight="1" x14ac:dyDescent="0.25">
      <c r="A579" t="s">
        <v>6</v>
      </c>
      <c r="B579">
        <v>4</v>
      </c>
      <c r="C579" t="s">
        <v>205</v>
      </c>
      <c r="D579" t="s">
        <v>85</v>
      </c>
      <c r="E579" t="s">
        <v>192</v>
      </c>
      <c r="F579" s="12">
        <v>45666.125</v>
      </c>
      <c r="G579" s="12">
        <v>45666.647962962998</v>
      </c>
      <c r="H579" t="str">
        <f t="shared" si="18"/>
        <v>SSA</v>
      </c>
      <c r="I579" t="str">
        <f t="shared" si="19"/>
        <v>SSA</v>
      </c>
      <c r="J579" s="3">
        <f>(F579-VLOOKUP($A579,Runs!$A$2:$E$9,5,FALSE()))*1440</f>
        <v>180</v>
      </c>
      <c r="K579" s="3">
        <f>(G579-VLOOKUP($A579,Runs!$A$2:$E$9,5,FALSE()))*1440</f>
        <v>933.0666667164769</v>
      </c>
    </row>
    <row r="580" spans="1:11" ht="15" customHeight="1" x14ac:dyDescent="0.25">
      <c r="A580" t="s">
        <v>6</v>
      </c>
      <c r="B580">
        <v>7</v>
      </c>
      <c r="C580" t="s">
        <v>226</v>
      </c>
      <c r="D580" t="s">
        <v>85</v>
      </c>
      <c r="E580" t="s">
        <v>185</v>
      </c>
      <c r="F580" s="12">
        <v>45666.291666666701</v>
      </c>
      <c r="G580" s="12">
        <v>45666.667731481502</v>
      </c>
      <c r="H580" t="str">
        <f t="shared" si="18"/>
        <v>FT</v>
      </c>
      <c r="I580" t="str">
        <f t="shared" si="19"/>
        <v>FT</v>
      </c>
      <c r="J580" s="3">
        <f>(F580-VLOOKUP($A580,Runs!$A$2:$E$9,5,FALSE()))*1440</f>
        <v>420.00000004889444</v>
      </c>
      <c r="K580" s="3">
        <f>(G580-VLOOKUP($A580,Runs!$A$2:$E$9,5,FALSE()))*1440</f>
        <v>961.53333336347714</v>
      </c>
    </row>
    <row r="581" spans="1:11" ht="15" customHeight="1" x14ac:dyDescent="0.25">
      <c r="A581" t="s">
        <v>6</v>
      </c>
      <c r="B581">
        <v>4</v>
      </c>
      <c r="C581" t="s">
        <v>208</v>
      </c>
      <c r="D581" t="s">
        <v>85</v>
      </c>
      <c r="E581" t="s">
        <v>197</v>
      </c>
      <c r="F581" s="12">
        <v>45666.125</v>
      </c>
      <c r="G581" s="12">
        <v>45666.668796296297</v>
      </c>
      <c r="H581" t="str">
        <f t="shared" si="18"/>
        <v>FAX</v>
      </c>
      <c r="I581" t="str">
        <f t="shared" si="19"/>
        <v>FAX</v>
      </c>
      <c r="J581" s="3">
        <f>(F581-VLOOKUP($A581,Runs!$A$2:$E$9,5,FALSE()))*1440</f>
        <v>180</v>
      </c>
      <c r="K581" s="3">
        <f>(G581-VLOOKUP($A581,Runs!$A$2:$E$9,5,FALSE()))*1440</f>
        <v>963.06666666758247</v>
      </c>
    </row>
    <row r="582" spans="1:11" ht="15" customHeight="1" x14ac:dyDescent="0.25">
      <c r="A582" t="s">
        <v>6</v>
      </c>
      <c r="B582">
        <v>10</v>
      </c>
      <c r="C582" t="s">
        <v>248</v>
      </c>
      <c r="D582" t="s">
        <v>85</v>
      </c>
      <c r="E582" t="s">
        <v>180</v>
      </c>
      <c r="F582" s="12">
        <v>45666.416666666701</v>
      </c>
      <c r="G582" s="12">
        <v>45666.669861111099</v>
      </c>
      <c r="H582" t="str">
        <f t="shared" si="18"/>
        <v>BAT</v>
      </c>
      <c r="I582" t="str">
        <f t="shared" si="19"/>
        <v>BAT</v>
      </c>
      <c r="J582" s="3">
        <f>(F582-VLOOKUP($A582,Runs!$A$2:$E$9,5,FALSE()))*1440</f>
        <v>600.00000004889444</v>
      </c>
      <c r="K582" s="3">
        <f>(G582-VLOOKUP($A582,Runs!$A$2:$E$9,5,FALSE()))*1440</f>
        <v>964.59999998216517</v>
      </c>
    </row>
    <row r="583" spans="1:11" ht="15" customHeight="1" x14ac:dyDescent="0.25">
      <c r="A583" t="s">
        <v>6</v>
      </c>
      <c r="B583">
        <v>1</v>
      </c>
      <c r="C583" t="s">
        <v>99</v>
      </c>
      <c r="D583" t="s">
        <v>85</v>
      </c>
      <c r="E583" t="s">
        <v>206</v>
      </c>
      <c r="F583" s="12">
        <v>45666</v>
      </c>
      <c r="G583" s="12">
        <v>45666.688564814802</v>
      </c>
      <c r="H583" t="str">
        <f t="shared" si="18"/>
        <v>BSA</v>
      </c>
      <c r="I583" t="str">
        <f t="shared" si="19"/>
        <v>BSA</v>
      </c>
      <c r="J583" s="3">
        <f>(F583-VLOOKUP($A583,Runs!$A$2:$E$9,5,FALSE()))*1440</f>
        <v>0</v>
      </c>
      <c r="K583" s="3">
        <f>(G583-VLOOKUP($A583,Runs!$A$2:$E$9,5,FALSE()))*1440</f>
        <v>991.53333331458271</v>
      </c>
    </row>
    <row r="584" spans="1:11" ht="15" customHeight="1" x14ac:dyDescent="0.25">
      <c r="A584" t="s">
        <v>6</v>
      </c>
      <c r="B584">
        <v>10</v>
      </c>
      <c r="C584" t="s">
        <v>169</v>
      </c>
      <c r="D584" t="s">
        <v>85</v>
      </c>
      <c r="E584" t="s">
        <v>181</v>
      </c>
      <c r="F584" s="12">
        <v>45666.416666666701</v>
      </c>
      <c r="G584" s="12">
        <v>45666.689629629604</v>
      </c>
      <c r="H584" t="str">
        <f t="shared" si="18"/>
        <v>RT</v>
      </c>
      <c r="I584" t="str">
        <f t="shared" si="19"/>
        <v>RT</v>
      </c>
      <c r="J584" s="3">
        <f>(F584-VLOOKUP($A584,Runs!$A$2:$E$9,5,FALSE()))*1440</f>
        <v>600.00000004889444</v>
      </c>
      <c r="K584" s="3">
        <f>(G584-VLOOKUP($A584,Runs!$A$2:$E$9,5,FALSE()))*1440</f>
        <v>993.06666662916541</v>
      </c>
    </row>
    <row r="585" spans="1:11" ht="15" customHeight="1" x14ac:dyDescent="0.25">
      <c r="A585" t="s">
        <v>6</v>
      </c>
      <c r="B585">
        <v>1</v>
      </c>
      <c r="C585" t="s">
        <v>104</v>
      </c>
      <c r="D585" t="s">
        <v>85</v>
      </c>
      <c r="E585" t="s">
        <v>206</v>
      </c>
      <c r="F585" s="12">
        <v>45666</v>
      </c>
      <c r="G585" s="12">
        <v>45666.730231481502</v>
      </c>
      <c r="H585" t="str">
        <f t="shared" si="18"/>
        <v>BSA</v>
      </c>
      <c r="I585" t="str">
        <f t="shared" si="19"/>
        <v>BSA</v>
      </c>
      <c r="J585" s="3">
        <f>(F585-VLOOKUP($A585,Runs!$A$2:$E$9,5,FALSE()))*1440</f>
        <v>0</v>
      </c>
      <c r="K585" s="3">
        <f>(G585-VLOOKUP($A585,Runs!$A$2:$E$9,5,FALSE()))*1440</f>
        <v>1051.5333333634771</v>
      </c>
    </row>
    <row r="586" spans="1:11" ht="15" customHeight="1" x14ac:dyDescent="0.25">
      <c r="A586" t="s">
        <v>6</v>
      </c>
      <c r="B586">
        <v>3</v>
      </c>
      <c r="C586" t="s">
        <v>209</v>
      </c>
      <c r="D586" t="s">
        <v>85</v>
      </c>
      <c r="E586" t="s">
        <v>203</v>
      </c>
      <c r="F586" s="12">
        <v>45666.083333333299</v>
      </c>
      <c r="G586" s="12">
        <v>45666.731296296297</v>
      </c>
      <c r="H586" t="str">
        <f t="shared" si="18"/>
        <v>CHS</v>
      </c>
      <c r="I586" t="str">
        <f t="shared" si="19"/>
        <v>CHS</v>
      </c>
      <c r="J586" s="3">
        <f>(F586-VLOOKUP($A586,Runs!$A$2:$E$9,5,FALSE()))*1440</f>
        <v>119.99999995110556</v>
      </c>
      <c r="K586" s="3">
        <f>(G586-VLOOKUP($A586,Runs!$A$2:$E$9,5,FALSE()))*1440</f>
        <v>1053.0666666675825</v>
      </c>
    </row>
    <row r="587" spans="1:11" ht="15" customHeight="1" x14ac:dyDescent="0.25">
      <c r="A587" t="s">
        <v>6</v>
      </c>
      <c r="B587">
        <v>10</v>
      </c>
      <c r="C587" t="s">
        <v>170</v>
      </c>
      <c r="D587" t="s">
        <v>85</v>
      </c>
      <c r="E587" t="s">
        <v>181</v>
      </c>
      <c r="F587" s="12">
        <v>45666.416666666701</v>
      </c>
      <c r="G587" s="12">
        <v>45666.732361111099</v>
      </c>
      <c r="H587" t="str">
        <f t="shared" si="18"/>
        <v>RT</v>
      </c>
      <c r="I587" t="str">
        <f t="shared" si="19"/>
        <v>RT</v>
      </c>
      <c r="J587" s="3">
        <f>(F587-VLOOKUP($A587,Runs!$A$2:$E$9,5,FALSE()))*1440</f>
        <v>600.00000004889444</v>
      </c>
      <c r="K587" s="3">
        <f>(G587-VLOOKUP($A587,Runs!$A$2:$E$9,5,FALSE()))*1440</f>
        <v>1054.5999999821652</v>
      </c>
    </row>
    <row r="588" spans="1:11" ht="15" customHeight="1" x14ac:dyDescent="0.25">
      <c r="A588" t="s">
        <v>6</v>
      </c>
      <c r="B588">
        <v>1</v>
      </c>
      <c r="C588" t="s">
        <v>210</v>
      </c>
      <c r="D588" t="s">
        <v>85</v>
      </c>
      <c r="E588" t="s">
        <v>211</v>
      </c>
      <c r="F588" s="12">
        <v>45666</v>
      </c>
      <c r="G588" s="12">
        <v>45666.751064814802</v>
      </c>
      <c r="H588" t="str">
        <f t="shared" si="18"/>
        <v>RAX_HD</v>
      </c>
      <c r="I588" t="str">
        <f t="shared" si="19"/>
        <v>RAX_HD</v>
      </c>
      <c r="J588" s="3">
        <f>(F588-VLOOKUP($A588,Runs!$A$2:$E$9,5,FALSE()))*1440</f>
        <v>0</v>
      </c>
      <c r="K588" s="3">
        <f>(G588-VLOOKUP($A588,Runs!$A$2:$E$9,5,FALSE()))*1440</f>
        <v>1081.5333333145827</v>
      </c>
    </row>
    <row r="589" spans="1:11" ht="15" customHeight="1" x14ac:dyDescent="0.25">
      <c r="A589" t="s">
        <v>6</v>
      </c>
      <c r="B589">
        <v>6</v>
      </c>
      <c r="C589" t="s">
        <v>133</v>
      </c>
      <c r="D589" t="s">
        <v>85</v>
      </c>
      <c r="E589" t="s">
        <v>86</v>
      </c>
      <c r="F589" s="12">
        <v>45666.208333333299</v>
      </c>
      <c r="G589" s="12">
        <v>45666.771898148101</v>
      </c>
      <c r="H589" t="str">
        <f t="shared" si="18"/>
        <v>BOSP</v>
      </c>
      <c r="I589" t="str">
        <f t="shared" si="19"/>
        <v>BOSP</v>
      </c>
      <c r="J589" s="3">
        <f>(F589-VLOOKUP($A589,Runs!$A$2:$E$9,5,FALSE()))*1440</f>
        <v>299.99999995110556</v>
      </c>
      <c r="K589" s="3">
        <f>(G589-VLOOKUP($A589,Runs!$A$2:$E$9,5,FALSE()))*1440</f>
        <v>1111.5333332656883</v>
      </c>
    </row>
    <row r="590" spans="1:11" ht="15" customHeight="1" x14ac:dyDescent="0.25">
      <c r="A590" t="s">
        <v>6</v>
      </c>
      <c r="B590">
        <v>3</v>
      </c>
      <c r="C590" t="s">
        <v>116</v>
      </c>
      <c r="D590" t="s">
        <v>85</v>
      </c>
      <c r="E590" t="s">
        <v>206</v>
      </c>
      <c r="F590" s="12">
        <v>45666.083333333299</v>
      </c>
      <c r="G590" s="12">
        <v>45666.772962962998</v>
      </c>
      <c r="H590" t="str">
        <f t="shared" si="18"/>
        <v>BSA</v>
      </c>
      <c r="I590" t="str">
        <f t="shared" si="19"/>
        <v>BSA</v>
      </c>
      <c r="J590" s="3">
        <f>(F590-VLOOKUP($A590,Runs!$A$2:$E$9,5,FALSE()))*1440</f>
        <v>119.99999995110556</v>
      </c>
      <c r="K590" s="3">
        <f>(G590-VLOOKUP($A590,Runs!$A$2:$E$9,5,FALSE()))*1440</f>
        <v>1113.0666667164769</v>
      </c>
    </row>
    <row r="591" spans="1:11" ht="15" customHeight="1" x14ac:dyDescent="0.25">
      <c r="A591" t="s">
        <v>6</v>
      </c>
      <c r="B591">
        <v>4</v>
      </c>
      <c r="C591" t="s">
        <v>212</v>
      </c>
      <c r="D591" t="s">
        <v>85</v>
      </c>
      <c r="E591" t="s">
        <v>203</v>
      </c>
      <c r="F591" s="12">
        <v>45666.125</v>
      </c>
      <c r="G591" s="12">
        <v>45666.774027777799</v>
      </c>
      <c r="H591" t="str">
        <f t="shared" si="18"/>
        <v>CHS</v>
      </c>
      <c r="I591" t="str">
        <f t="shared" si="19"/>
        <v>CHS</v>
      </c>
      <c r="J591" s="3">
        <f>(F591-VLOOKUP($A591,Runs!$A$2:$E$9,5,FALSE()))*1440</f>
        <v>180</v>
      </c>
      <c r="K591" s="3">
        <f>(G591-VLOOKUP($A591,Runs!$A$2:$E$9,5,FALSE()))*1440</f>
        <v>1114.6000000310596</v>
      </c>
    </row>
    <row r="592" spans="1:11" ht="15" customHeight="1" x14ac:dyDescent="0.25">
      <c r="A592" t="s">
        <v>6</v>
      </c>
      <c r="B592">
        <v>10</v>
      </c>
      <c r="C592" t="s">
        <v>171</v>
      </c>
      <c r="D592" t="s">
        <v>85</v>
      </c>
      <c r="E592" t="s">
        <v>185</v>
      </c>
      <c r="F592" s="12">
        <v>45666.416666666701</v>
      </c>
      <c r="G592" s="12">
        <v>45666.775092592601</v>
      </c>
      <c r="H592" t="str">
        <f t="shared" si="18"/>
        <v>FT</v>
      </c>
      <c r="I592" t="str">
        <f t="shared" si="19"/>
        <v>FT</v>
      </c>
      <c r="J592" s="3">
        <f>(F592-VLOOKUP($A592,Runs!$A$2:$E$9,5,FALSE()))*1440</f>
        <v>600.00000004889444</v>
      </c>
      <c r="K592" s="3">
        <f>(G592-VLOOKUP($A592,Runs!$A$2:$E$9,5,FALSE()))*1440</f>
        <v>1116.1333333456423</v>
      </c>
    </row>
    <row r="593" spans="1:11" ht="15" customHeight="1" x14ac:dyDescent="0.25">
      <c r="A593" t="s">
        <v>6</v>
      </c>
      <c r="B593">
        <v>6</v>
      </c>
      <c r="C593" t="s">
        <v>134</v>
      </c>
      <c r="D593" t="s">
        <v>85</v>
      </c>
      <c r="E593" t="s">
        <v>86</v>
      </c>
      <c r="F593" s="12">
        <v>45666.208333333299</v>
      </c>
      <c r="G593" s="12">
        <v>45666.813564814802</v>
      </c>
      <c r="H593" t="str">
        <f t="shared" si="18"/>
        <v>BOSP</v>
      </c>
      <c r="I593" t="str">
        <f t="shared" si="19"/>
        <v>BOSP</v>
      </c>
      <c r="J593" s="3">
        <f>(F593-VLOOKUP($A593,Runs!$A$2:$E$9,5,FALSE()))*1440</f>
        <v>299.99999995110556</v>
      </c>
      <c r="K593" s="3">
        <f>(G593-VLOOKUP($A593,Runs!$A$2:$E$9,5,FALSE()))*1440</f>
        <v>1171.5333333145827</v>
      </c>
    </row>
    <row r="594" spans="1:11" ht="15" customHeight="1" x14ac:dyDescent="0.25">
      <c r="A594" t="s">
        <v>6</v>
      </c>
      <c r="B594">
        <v>7</v>
      </c>
      <c r="C594" t="s">
        <v>229</v>
      </c>
      <c r="D594" t="s">
        <v>85</v>
      </c>
      <c r="E594" t="s">
        <v>192</v>
      </c>
      <c r="F594" s="12">
        <v>45666.291666666701</v>
      </c>
      <c r="G594" s="12">
        <v>45666.814629629604</v>
      </c>
      <c r="H594" t="str">
        <f t="shared" si="18"/>
        <v>SSA</v>
      </c>
      <c r="I594" t="str">
        <f t="shared" si="19"/>
        <v>SSA</v>
      </c>
      <c r="J594" s="3">
        <f>(F594-VLOOKUP($A594,Runs!$A$2:$E$9,5,FALSE()))*1440</f>
        <v>420.00000004889444</v>
      </c>
      <c r="K594" s="3">
        <f>(G594-VLOOKUP($A594,Runs!$A$2:$E$9,5,FALSE()))*1440</f>
        <v>1173.0666666291654</v>
      </c>
    </row>
    <row r="595" spans="1:11" ht="15" customHeight="1" x14ac:dyDescent="0.25">
      <c r="A595" t="s">
        <v>6</v>
      </c>
      <c r="B595">
        <v>3</v>
      </c>
      <c r="C595" t="s">
        <v>122</v>
      </c>
      <c r="D595" t="s">
        <v>85</v>
      </c>
      <c r="E595" t="s">
        <v>206</v>
      </c>
      <c r="F595" s="12">
        <v>45666.083333333299</v>
      </c>
      <c r="G595" s="12">
        <v>45666.815694444398</v>
      </c>
      <c r="H595" t="str">
        <f t="shared" si="18"/>
        <v>BSA</v>
      </c>
      <c r="I595" t="str">
        <f t="shared" si="19"/>
        <v>BSA</v>
      </c>
      <c r="J595" s="3">
        <f>(F595-VLOOKUP($A595,Runs!$A$2:$E$9,5,FALSE()))*1440</f>
        <v>119.99999995110556</v>
      </c>
      <c r="K595" s="3">
        <f>(G595-VLOOKUP($A595,Runs!$A$2:$E$9,5,FALSE()))*1440</f>
        <v>1174.5999999332707</v>
      </c>
    </row>
    <row r="596" spans="1:11" ht="15" customHeight="1" x14ac:dyDescent="0.25">
      <c r="A596" t="s">
        <v>6</v>
      </c>
      <c r="B596">
        <v>4</v>
      </c>
      <c r="C596" t="s">
        <v>216</v>
      </c>
      <c r="D596" t="s">
        <v>85</v>
      </c>
      <c r="E596" t="s">
        <v>206</v>
      </c>
      <c r="F596" s="12">
        <v>45666.125</v>
      </c>
      <c r="G596" s="12">
        <v>45666.816759259302</v>
      </c>
      <c r="H596" t="str">
        <f t="shared" si="18"/>
        <v>BSA</v>
      </c>
      <c r="I596" t="str">
        <f t="shared" si="19"/>
        <v>BSA</v>
      </c>
      <c r="J596" s="3">
        <f>(F596-VLOOKUP($A596,Runs!$A$2:$E$9,5,FALSE()))*1440</f>
        <v>180</v>
      </c>
      <c r="K596" s="3">
        <f>(G596-VLOOKUP($A596,Runs!$A$2:$E$9,5,FALSE()))*1440</f>
        <v>1176.1333333945367</v>
      </c>
    </row>
    <row r="597" spans="1:11" ht="15" customHeight="1" x14ac:dyDescent="0.25">
      <c r="A597" t="s">
        <v>6</v>
      </c>
      <c r="B597">
        <v>10</v>
      </c>
      <c r="C597" t="s">
        <v>173</v>
      </c>
      <c r="D597" t="s">
        <v>85</v>
      </c>
      <c r="E597" t="s">
        <v>185</v>
      </c>
      <c r="F597" s="12">
        <v>45666.416666666701</v>
      </c>
      <c r="G597" s="12">
        <v>45666.817824074104</v>
      </c>
      <c r="H597" t="str">
        <f t="shared" si="18"/>
        <v>FT</v>
      </c>
      <c r="I597" t="str">
        <f t="shared" si="19"/>
        <v>FT</v>
      </c>
      <c r="J597" s="3">
        <f>(F597-VLOOKUP($A597,Runs!$A$2:$E$9,5,FALSE()))*1440</f>
        <v>600.00000004889444</v>
      </c>
      <c r="K597" s="3">
        <f>(G597-VLOOKUP($A597,Runs!$A$2:$E$9,5,FALSE()))*1440</f>
        <v>1177.6666667091195</v>
      </c>
    </row>
    <row r="598" spans="1:11" ht="15" customHeight="1" x14ac:dyDescent="0.25">
      <c r="A598" t="s">
        <v>6</v>
      </c>
      <c r="B598">
        <v>6</v>
      </c>
      <c r="C598" t="s">
        <v>137</v>
      </c>
      <c r="D598" t="s">
        <v>85</v>
      </c>
      <c r="E598" t="s">
        <v>89</v>
      </c>
      <c r="F598" s="12">
        <v>45666.208333333299</v>
      </c>
      <c r="G598" s="12">
        <v>45666.834398148101</v>
      </c>
      <c r="H598" t="str">
        <f t="shared" si="18"/>
        <v>RT</v>
      </c>
      <c r="I598" t="str">
        <f t="shared" si="19"/>
        <v>RT</v>
      </c>
      <c r="J598" s="3">
        <f>(F598-VLOOKUP($A598,Runs!$A$2:$E$9,5,FALSE()))*1440</f>
        <v>299.99999995110556</v>
      </c>
      <c r="K598" s="3">
        <f>(G598-VLOOKUP($A598,Runs!$A$2:$E$9,5,FALSE()))*1440</f>
        <v>1201.5333332656883</v>
      </c>
    </row>
    <row r="599" spans="1:11" ht="15" customHeight="1" x14ac:dyDescent="0.25">
      <c r="A599" t="s">
        <v>6</v>
      </c>
      <c r="B599">
        <v>3</v>
      </c>
      <c r="C599" t="s">
        <v>217</v>
      </c>
      <c r="D599" t="s">
        <v>85</v>
      </c>
      <c r="E599" t="s">
        <v>211</v>
      </c>
      <c r="F599" s="12">
        <v>45666.083333333299</v>
      </c>
      <c r="G599" s="12">
        <v>45666.835462962998</v>
      </c>
      <c r="H599" t="str">
        <f t="shared" si="18"/>
        <v>RAX_HD</v>
      </c>
      <c r="I599" t="str">
        <f t="shared" si="19"/>
        <v>RAX_HD</v>
      </c>
      <c r="J599" s="3">
        <f>(F599-VLOOKUP($A599,Runs!$A$2:$E$9,5,FALSE()))*1440</f>
        <v>119.99999995110556</v>
      </c>
      <c r="K599" s="3">
        <f>(G599-VLOOKUP($A599,Runs!$A$2:$E$9,5,FALSE()))*1440</f>
        <v>1203.0666667164769</v>
      </c>
    </row>
    <row r="600" spans="1:11" ht="15" customHeight="1" x14ac:dyDescent="0.25">
      <c r="A600" t="s">
        <v>6</v>
      </c>
      <c r="B600">
        <v>7</v>
      </c>
      <c r="C600" t="s">
        <v>233</v>
      </c>
      <c r="D600" t="s">
        <v>85</v>
      </c>
      <c r="E600" t="s">
        <v>192</v>
      </c>
      <c r="F600" s="12">
        <v>45666.291666666701</v>
      </c>
      <c r="G600" s="12">
        <v>45666.855231481502</v>
      </c>
      <c r="H600" t="str">
        <f t="shared" si="18"/>
        <v>SSA</v>
      </c>
      <c r="I600" t="str">
        <f t="shared" si="19"/>
        <v>SSA</v>
      </c>
      <c r="J600" s="3">
        <f>(F600-VLOOKUP($A600,Runs!$A$2:$E$9,5,FALSE()))*1440</f>
        <v>420.00000004889444</v>
      </c>
      <c r="K600" s="3">
        <f>(G600-VLOOKUP($A600,Runs!$A$2:$E$9,5,FALSE()))*1440</f>
        <v>1231.5333333634771</v>
      </c>
    </row>
    <row r="601" spans="1:11" ht="15" customHeight="1" x14ac:dyDescent="0.25">
      <c r="A601" t="s">
        <v>6</v>
      </c>
      <c r="B601">
        <v>8</v>
      </c>
      <c r="C601" t="s">
        <v>150</v>
      </c>
      <c r="D601" t="s">
        <v>85</v>
      </c>
      <c r="E601" t="s">
        <v>86</v>
      </c>
      <c r="F601" s="12">
        <v>45666.291666666701</v>
      </c>
      <c r="G601" s="12">
        <v>45666.856296296297</v>
      </c>
      <c r="H601" t="str">
        <f t="shared" si="18"/>
        <v>BOSP</v>
      </c>
      <c r="I601" t="str">
        <f t="shared" si="19"/>
        <v>BOSP</v>
      </c>
      <c r="J601" s="3">
        <f>(F601-VLOOKUP($A601,Runs!$A$2:$E$9,5,FALSE()))*1440</f>
        <v>420.00000004889444</v>
      </c>
      <c r="K601" s="3">
        <f>(G601-VLOOKUP($A601,Runs!$A$2:$E$9,5,FALSE()))*1440</f>
        <v>1233.0666666675825</v>
      </c>
    </row>
    <row r="602" spans="1:11" ht="15" customHeight="1" x14ac:dyDescent="0.25">
      <c r="A602" t="s">
        <v>6</v>
      </c>
      <c r="B602">
        <v>4</v>
      </c>
      <c r="C602" t="s">
        <v>219</v>
      </c>
      <c r="D602" t="s">
        <v>85</v>
      </c>
      <c r="E602" t="s">
        <v>206</v>
      </c>
      <c r="F602" s="12">
        <v>45666.125</v>
      </c>
      <c r="G602" s="12">
        <v>45666.857361111099</v>
      </c>
      <c r="H602" t="str">
        <f t="shared" si="18"/>
        <v>BSA</v>
      </c>
      <c r="I602" t="str">
        <f t="shared" si="19"/>
        <v>BSA</v>
      </c>
      <c r="J602" s="3">
        <f>(F602-VLOOKUP($A602,Runs!$A$2:$E$9,5,FALSE()))*1440</f>
        <v>180</v>
      </c>
      <c r="K602" s="3">
        <f>(G602-VLOOKUP($A602,Runs!$A$2:$E$9,5,FALSE()))*1440</f>
        <v>1234.5999999821652</v>
      </c>
    </row>
    <row r="603" spans="1:11" ht="15" customHeight="1" x14ac:dyDescent="0.25">
      <c r="A603" t="s">
        <v>6</v>
      </c>
      <c r="B603">
        <v>6</v>
      </c>
      <c r="C603" t="s">
        <v>138</v>
      </c>
      <c r="D603" t="s">
        <v>85</v>
      </c>
      <c r="E603" t="s">
        <v>89</v>
      </c>
      <c r="F603" s="12">
        <v>45666.208333333299</v>
      </c>
      <c r="G603" s="12">
        <v>45666.876064814802</v>
      </c>
      <c r="H603" t="str">
        <f t="shared" si="18"/>
        <v>RT</v>
      </c>
      <c r="I603" t="str">
        <f t="shared" si="19"/>
        <v>RT</v>
      </c>
      <c r="J603" s="3">
        <f>(F603-VLOOKUP($A603,Runs!$A$2:$E$9,5,FALSE()))*1440</f>
        <v>299.99999995110556</v>
      </c>
      <c r="K603" s="3">
        <f>(G603-VLOOKUP($A603,Runs!$A$2:$E$9,5,FALSE()))*1440</f>
        <v>1261.5333333145827</v>
      </c>
    </row>
    <row r="604" spans="1:11" ht="15" customHeight="1" x14ac:dyDescent="0.25">
      <c r="A604" t="s">
        <v>6</v>
      </c>
      <c r="B604">
        <v>7</v>
      </c>
      <c r="C604" t="s">
        <v>235</v>
      </c>
      <c r="D604" t="s">
        <v>85</v>
      </c>
      <c r="E604" t="s">
        <v>197</v>
      </c>
      <c r="F604" s="12">
        <v>45666.291666666701</v>
      </c>
      <c r="G604" s="12">
        <v>45666.877129629604</v>
      </c>
      <c r="H604" t="str">
        <f t="shared" si="18"/>
        <v>FAX</v>
      </c>
      <c r="I604" t="str">
        <f t="shared" si="19"/>
        <v>FAX</v>
      </c>
      <c r="J604" s="3">
        <f>(F604-VLOOKUP($A604,Runs!$A$2:$E$9,5,FALSE()))*1440</f>
        <v>420.00000004889444</v>
      </c>
      <c r="K604" s="3">
        <f>(G604-VLOOKUP($A604,Runs!$A$2:$E$9,5,FALSE()))*1440</f>
        <v>1263.0666666291654</v>
      </c>
    </row>
    <row r="605" spans="1:11" ht="15" customHeight="1" x14ac:dyDescent="0.25">
      <c r="A605" t="s">
        <v>6</v>
      </c>
      <c r="B605">
        <v>4</v>
      </c>
      <c r="C605" t="s">
        <v>220</v>
      </c>
      <c r="D605" t="s">
        <v>85</v>
      </c>
      <c r="E605" t="s">
        <v>211</v>
      </c>
      <c r="F605" s="12">
        <v>45666.125</v>
      </c>
      <c r="G605" s="12">
        <v>45666.878194444398</v>
      </c>
      <c r="H605" t="str">
        <f t="shared" si="18"/>
        <v>RAX_HD</v>
      </c>
      <c r="I605" t="str">
        <f t="shared" si="19"/>
        <v>RAX_HD</v>
      </c>
      <c r="J605" s="3">
        <f>(F605-VLOOKUP($A605,Runs!$A$2:$E$9,5,FALSE()))*1440</f>
        <v>180</v>
      </c>
      <c r="K605" s="3">
        <f>(G605-VLOOKUP($A605,Runs!$A$2:$E$9,5,FALSE()))*1440</f>
        <v>1264.5999999332707</v>
      </c>
    </row>
    <row r="606" spans="1:11" ht="15" customHeight="1" x14ac:dyDescent="0.25">
      <c r="A606" t="s">
        <v>6</v>
      </c>
      <c r="B606">
        <v>8</v>
      </c>
      <c r="C606" t="s">
        <v>152</v>
      </c>
      <c r="D606" t="s">
        <v>85</v>
      </c>
      <c r="E606" t="s">
        <v>86</v>
      </c>
      <c r="F606" s="12">
        <v>45666.291666666701</v>
      </c>
      <c r="G606" s="12">
        <v>45666.896898148101</v>
      </c>
      <c r="H606" t="str">
        <f t="shared" si="18"/>
        <v>BOSP</v>
      </c>
      <c r="I606" t="str">
        <f t="shared" si="19"/>
        <v>BOSP</v>
      </c>
      <c r="J606" s="3">
        <f>(F606-VLOOKUP($A606,Runs!$A$2:$E$9,5,FALSE()))*1440</f>
        <v>420.00000004889444</v>
      </c>
      <c r="K606" s="3">
        <f>(G606-VLOOKUP($A606,Runs!$A$2:$E$9,5,FALSE()))*1440</f>
        <v>1291.5333332656883</v>
      </c>
    </row>
    <row r="607" spans="1:11" ht="15" customHeight="1" x14ac:dyDescent="0.25">
      <c r="A607" t="s">
        <v>6</v>
      </c>
      <c r="B607">
        <v>9</v>
      </c>
      <c r="C607" t="s">
        <v>165</v>
      </c>
      <c r="D607" t="s">
        <v>85</v>
      </c>
      <c r="E607" t="s">
        <v>178</v>
      </c>
      <c r="F607" s="12">
        <v>45666.375</v>
      </c>
      <c r="G607" s="12">
        <v>45666.897962962998</v>
      </c>
      <c r="H607" t="str">
        <f t="shared" si="18"/>
        <v>BOSP</v>
      </c>
      <c r="I607" t="str">
        <f t="shared" si="19"/>
        <v>BOSP</v>
      </c>
      <c r="J607" s="3">
        <f>(F607-VLOOKUP($A607,Runs!$A$2:$E$9,5,FALSE()))*1440</f>
        <v>540</v>
      </c>
      <c r="K607" s="3">
        <f>(G607-VLOOKUP($A607,Runs!$A$2:$E$9,5,FALSE()))*1440</f>
        <v>1293.0666667164769</v>
      </c>
    </row>
    <row r="608" spans="1:11" ht="15" customHeight="1" x14ac:dyDescent="0.25">
      <c r="A608" t="s">
        <v>6</v>
      </c>
      <c r="B608">
        <v>8</v>
      </c>
      <c r="C608" t="s">
        <v>157</v>
      </c>
      <c r="D608" t="s">
        <v>85</v>
      </c>
      <c r="E608" t="s">
        <v>89</v>
      </c>
      <c r="F608" s="12">
        <v>45666.291666666701</v>
      </c>
      <c r="G608" s="12">
        <v>45666.917731481502</v>
      </c>
      <c r="H608" t="str">
        <f t="shared" si="18"/>
        <v>RT</v>
      </c>
      <c r="I608" t="str">
        <f t="shared" si="19"/>
        <v>RT</v>
      </c>
      <c r="J608" s="3">
        <f>(F608-VLOOKUP($A608,Runs!$A$2:$E$9,5,FALSE()))*1440</f>
        <v>420.00000004889444</v>
      </c>
      <c r="K608" s="3">
        <f>(G608-VLOOKUP($A608,Runs!$A$2:$E$9,5,FALSE()))*1440</f>
        <v>1321.5333333634771</v>
      </c>
    </row>
    <row r="609" spans="1:11" ht="15" customHeight="1" x14ac:dyDescent="0.25">
      <c r="A609" t="s">
        <v>6</v>
      </c>
      <c r="B609">
        <v>9</v>
      </c>
      <c r="C609" t="s">
        <v>166</v>
      </c>
      <c r="D609" t="s">
        <v>85</v>
      </c>
      <c r="E609" t="s">
        <v>178</v>
      </c>
      <c r="F609" s="12">
        <v>45666.375</v>
      </c>
      <c r="G609" s="12">
        <v>45666.938564814802</v>
      </c>
      <c r="H609" t="str">
        <f t="shared" si="18"/>
        <v>BOSP</v>
      </c>
      <c r="I609" t="str">
        <f t="shared" si="19"/>
        <v>BOSP</v>
      </c>
      <c r="J609" s="3">
        <f>(F609-VLOOKUP($A609,Runs!$A$2:$E$9,5,FALSE()))*1440</f>
        <v>540</v>
      </c>
      <c r="K609" s="3">
        <f>(G609-VLOOKUP($A609,Runs!$A$2:$E$9,5,FALSE()))*1440</f>
        <v>1351.5333333145827</v>
      </c>
    </row>
    <row r="610" spans="1:11" ht="15" customHeight="1" x14ac:dyDescent="0.25">
      <c r="A610" t="s">
        <v>6</v>
      </c>
      <c r="B610">
        <v>8</v>
      </c>
      <c r="C610" t="s">
        <v>159</v>
      </c>
      <c r="D610" t="s">
        <v>85</v>
      </c>
      <c r="E610" t="s">
        <v>89</v>
      </c>
      <c r="F610" s="12">
        <v>45666.291666666701</v>
      </c>
      <c r="G610" s="12">
        <v>45666.959398148101</v>
      </c>
      <c r="H610" t="str">
        <f t="shared" si="18"/>
        <v>RT</v>
      </c>
      <c r="I610" t="str">
        <f t="shared" si="19"/>
        <v>RT</v>
      </c>
      <c r="J610" s="3">
        <f>(F610-VLOOKUP($A610,Runs!$A$2:$E$9,5,FALSE()))*1440</f>
        <v>420.00000004889444</v>
      </c>
      <c r="K610" s="3">
        <f>(G610-VLOOKUP($A610,Runs!$A$2:$E$9,5,FALSE()))*1440</f>
        <v>1381.5333332656883</v>
      </c>
    </row>
    <row r="611" spans="1:11" ht="15" customHeight="1" x14ac:dyDescent="0.25">
      <c r="A611" t="s">
        <v>6</v>
      </c>
      <c r="B611">
        <v>10</v>
      </c>
      <c r="C611" t="s">
        <v>177</v>
      </c>
      <c r="D611" t="s">
        <v>85</v>
      </c>
      <c r="E611" t="s">
        <v>192</v>
      </c>
      <c r="F611" s="12">
        <v>45666.416666666701</v>
      </c>
      <c r="G611" s="12">
        <v>45666.960462962998</v>
      </c>
      <c r="H611" t="str">
        <f t="shared" si="18"/>
        <v>SSA</v>
      </c>
      <c r="I611" t="str">
        <f t="shared" si="19"/>
        <v>SSA</v>
      </c>
      <c r="J611" s="3">
        <f>(F611-VLOOKUP($A611,Runs!$A$2:$E$9,5,FALSE()))*1440</f>
        <v>600.00000004889444</v>
      </c>
      <c r="K611" s="3">
        <f>(G611-VLOOKUP($A611,Runs!$A$2:$E$9,5,FALSE()))*1440</f>
        <v>1383.0666667164769</v>
      </c>
    </row>
    <row r="612" spans="1:11" ht="15" customHeight="1" x14ac:dyDescent="0.25">
      <c r="A612" t="s">
        <v>6</v>
      </c>
      <c r="B612">
        <v>7</v>
      </c>
      <c r="C612" t="s">
        <v>239</v>
      </c>
      <c r="D612" t="s">
        <v>85</v>
      </c>
      <c r="E612" t="s">
        <v>203</v>
      </c>
      <c r="F612" s="12">
        <v>45666.291666666701</v>
      </c>
      <c r="G612" s="12">
        <v>45666.980231481502</v>
      </c>
      <c r="H612" t="str">
        <f t="shared" si="18"/>
        <v>CHS</v>
      </c>
      <c r="I612" t="str">
        <f t="shared" si="19"/>
        <v>CHS</v>
      </c>
      <c r="J612" s="3">
        <f>(F612-VLOOKUP($A612,Runs!$A$2:$E$9,5,FALSE()))*1440</f>
        <v>420.00000004889444</v>
      </c>
      <c r="K612" s="3">
        <f>(G612-VLOOKUP($A612,Runs!$A$2:$E$9,5,FALSE()))*1440</f>
        <v>1411.5333333634771</v>
      </c>
    </row>
    <row r="613" spans="1:11" ht="15" customHeight="1" x14ac:dyDescent="0.25">
      <c r="A613" t="s">
        <v>6</v>
      </c>
      <c r="B613">
        <v>6</v>
      </c>
      <c r="C613" t="s">
        <v>145</v>
      </c>
      <c r="D613" t="s">
        <v>85</v>
      </c>
      <c r="E613" t="s">
        <v>95</v>
      </c>
      <c r="F613" s="12">
        <v>45666.208333333299</v>
      </c>
      <c r="G613" s="12">
        <v>45667.001064814802</v>
      </c>
      <c r="H613" t="str">
        <f t="shared" si="18"/>
        <v>CORE</v>
      </c>
      <c r="I613" t="str">
        <f t="shared" si="19"/>
        <v>CHS</v>
      </c>
      <c r="J613" s="3">
        <f>(F613-VLOOKUP($A613,Runs!$A$2:$E$9,5,FALSE()))*1440</f>
        <v>299.99999995110556</v>
      </c>
      <c r="K613" s="3">
        <f>(G613-VLOOKUP($A613,Runs!$A$2:$E$9,5,FALSE()))*1440</f>
        <v>1441.5333333145827</v>
      </c>
    </row>
    <row r="614" spans="1:11" ht="15" customHeight="1" x14ac:dyDescent="0.25">
      <c r="A614" t="s">
        <v>6</v>
      </c>
      <c r="B614">
        <v>9</v>
      </c>
      <c r="C614" t="s">
        <v>246</v>
      </c>
      <c r="D614" t="s">
        <v>85</v>
      </c>
      <c r="E614" t="s">
        <v>180</v>
      </c>
      <c r="F614" s="12">
        <v>45666.375</v>
      </c>
      <c r="G614" s="12">
        <v>45667.002129629604</v>
      </c>
      <c r="H614" t="str">
        <f t="shared" si="18"/>
        <v>BAT</v>
      </c>
      <c r="I614" t="str">
        <f t="shared" si="19"/>
        <v>BAT</v>
      </c>
      <c r="J614" s="3">
        <f>(F614-VLOOKUP($A614,Runs!$A$2:$E$9,5,FALSE()))*1440</f>
        <v>540</v>
      </c>
      <c r="K614" s="3">
        <f>(G614-VLOOKUP($A614,Runs!$A$2:$E$9,5,FALSE()))*1440</f>
        <v>1443.0666666291654</v>
      </c>
    </row>
    <row r="615" spans="1:11" ht="15" customHeight="1" x14ac:dyDescent="0.25">
      <c r="A615" t="s">
        <v>6</v>
      </c>
      <c r="B615">
        <v>10</v>
      </c>
      <c r="C615" t="s">
        <v>254</v>
      </c>
      <c r="D615" t="s">
        <v>85</v>
      </c>
      <c r="E615" t="s">
        <v>192</v>
      </c>
      <c r="F615" s="12">
        <v>45666.416666666701</v>
      </c>
      <c r="G615" s="12">
        <v>45667.003194444398</v>
      </c>
      <c r="H615" t="str">
        <f t="shared" si="18"/>
        <v>SSA</v>
      </c>
      <c r="I615" t="str">
        <f t="shared" si="19"/>
        <v>SSA</v>
      </c>
      <c r="J615" s="3">
        <f>(F615-VLOOKUP($A615,Runs!$A$2:$E$9,5,FALSE()))*1440</f>
        <v>600.00000004889444</v>
      </c>
      <c r="K615" s="3">
        <f>(G615-VLOOKUP($A615,Runs!$A$2:$E$9,5,FALSE()))*1440</f>
        <v>1444.5999999332707</v>
      </c>
    </row>
    <row r="616" spans="1:11" ht="15" customHeight="1" x14ac:dyDescent="0.25">
      <c r="A616" t="s">
        <v>6</v>
      </c>
      <c r="B616">
        <v>7</v>
      </c>
      <c r="C616" t="s">
        <v>158</v>
      </c>
      <c r="D616" t="s">
        <v>85</v>
      </c>
      <c r="E616" t="s">
        <v>206</v>
      </c>
      <c r="F616" s="12">
        <v>45666.291666666701</v>
      </c>
      <c r="G616" s="12">
        <v>45667.021898148101</v>
      </c>
      <c r="H616" t="str">
        <f t="shared" si="18"/>
        <v>BSA</v>
      </c>
      <c r="I616" t="str">
        <f t="shared" si="19"/>
        <v>BSA</v>
      </c>
      <c r="J616" s="3">
        <f>(F616-VLOOKUP($A616,Runs!$A$2:$E$9,5,FALSE()))*1440</f>
        <v>420.00000004889444</v>
      </c>
      <c r="K616" s="3">
        <f>(G616-VLOOKUP($A616,Runs!$A$2:$E$9,5,FALSE()))*1440</f>
        <v>1471.5333332656883</v>
      </c>
    </row>
    <row r="617" spans="1:11" ht="15" customHeight="1" x14ac:dyDescent="0.25">
      <c r="A617" t="s">
        <v>6</v>
      </c>
      <c r="B617">
        <v>9</v>
      </c>
      <c r="C617" t="s">
        <v>167</v>
      </c>
      <c r="D617" t="s">
        <v>85</v>
      </c>
      <c r="E617" t="s">
        <v>181</v>
      </c>
      <c r="F617" s="12">
        <v>45666.375</v>
      </c>
      <c r="G617" s="12">
        <v>45667.022962962998</v>
      </c>
      <c r="H617" t="str">
        <f t="shared" si="18"/>
        <v>RT</v>
      </c>
      <c r="I617" t="str">
        <f t="shared" si="19"/>
        <v>RT</v>
      </c>
      <c r="J617" s="3">
        <f>(F617-VLOOKUP($A617,Runs!$A$2:$E$9,5,FALSE()))*1440</f>
        <v>540</v>
      </c>
      <c r="K617" s="3">
        <f>(G617-VLOOKUP($A617,Runs!$A$2:$E$9,5,FALSE()))*1440</f>
        <v>1473.0666667164769</v>
      </c>
    </row>
    <row r="618" spans="1:11" ht="15" customHeight="1" x14ac:dyDescent="0.25">
      <c r="A618" t="s">
        <v>6</v>
      </c>
      <c r="B618">
        <v>10</v>
      </c>
      <c r="C618" t="s">
        <v>255</v>
      </c>
      <c r="D618" t="s">
        <v>85</v>
      </c>
      <c r="E618" t="s">
        <v>197</v>
      </c>
      <c r="F618" s="12">
        <v>45666.416666666701</v>
      </c>
      <c r="G618" s="12">
        <v>45667.024027777799</v>
      </c>
      <c r="H618" t="str">
        <f t="shared" si="18"/>
        <v>FAX</v>
      </c>
      <c r="I618" t="str">
        <f t="shared" si="19"/>
        <v>FAX</v>
      </c>
      <c r="J618" s="3">
        <f>(F618-VLOOKUP($A618,Runs!$A$2:$E$9,5,FALSE()))*1440</f>
        <v>600.00000004889444</v>
      </c>
      <c r="K618" s="3">
        <f>(G618-VLOOKUP($A618,Runs!$A$2:$E$9,5,FALSE()))*1440</f>
        <v>1474.6000000310596</v>
      </c>
    </row>
    <row r="619" spans="1:11" ht="15" customHeight="1" x14ac:dyDescent="0.25">
      <c r="A619" t="s">
        <v>6</v>
      </c>
      <c r="B619">
        <v>6</v>
      </c>
      <c r="C619" t="s">
        <v>151</v>
      </c>
      <c r="D619" t="s">
        <v>85</v>
      </c>
      <c r="E619" t="s">
        <v>100</v>
      </c>
      <c r="F619" s="12">
        <v>45666.208333333299</v>
      </c>
      <c r="G619" s="12">
        <v>45667.042731481502</v>
      </c>
      <c r="H619" t="str">
        <f t="shared" si="18"/>
        <v>BSA</v>
      </c>
      <c r="I619" t="str">
        <f t="shared" si="19"/>
        <v>BSA</v>
      </c>
      <c r="J619" s="3">
        <f>(F619-VLOOKUP($A619,Runs!$A$2:$E$9,5,FALSE()))*1440</f>
        <v>299.99999995110556</v>
      </c>
      <c r="K619" s="3">
        <f>(G619-VLOOKUP($A619,Runs!$A$2:$E$9,5,FALSE()))*1440</f>
        <v>1501.5333333634771</v>
      </c>
    </row>
    <row r="620" spans="1:11" ht="15" customHeight="1" x14ac:dyDescent="0.25">
      <c r="A620" t="s">
        <v>6</v>
      </c>
      <c r="B620">
        <v>7</v>
      </c>
      <c r="C620" t="s">
        <v>161</v>
      </c>
      <c r="D620" t="s">
        <v>85</v>
      </c>
      <c r="E620" t="s">
        <v>206</v>
      </c>
      <c r="F620" s="12">
        <v>45666.291666666701</v>
      </c>
      <c r="G620" s="12">
        <v>45667.063564814802</v>
      </c>
      <c r="H620" t="str">
        <f t="shared" si="18"/>
        <v>BSA</v>
      </c>
      <c r="I620" t="str">
        <f t="shared" si="19"/>
        <v>BSA</v>
      </c>
      <c r="J620" s="3">
        <f>(F620-VLOOKUP($A620,Runs!$A$2:$E$9,5,FALSE()))*1440</f>
        <v>420.00000004889444</v>
      </c>
      <c r="K620" s="3">
        <f>(G620-VLOOKUP($A620,Runs!$A$2:$E$9,5,FALSE()))*1440</f>
        <v>1531.5333333145827</v>
      </c>
    </row>
    <row r="621" spans="1:11" ht="15" customHeight="1" x14ac:dyDescent="0.25">
      <c r="A621" t="s">
        <v>6</v>
      </c>
      <c r="B621">
        <v>9</v>
      </c>
      <c r="C621" t="s">
        <v>168</v>
      </c>
      <c r="D621" t="s">
        <v>85</v>
      </c>
      <c r="E621" t="s">
        <v>181</v>
      </c>
      <c r="F621" s="12">
        <v>45666.375</v>
      </c>
      <c r="G621" s="12">
        <v>45667.064629629604</v>
      </c>
      <c r="H621" t="str">
        <f t="shared" si="18"/>
        <v>RT</v>
      </c>
      <c r="I621" t="str">
        <f t="shared" si="19"/>
        <v>RT</v>
      </c>
      <c r="J621" s="3">
        <f>(F621-VLOOKUP($A621,Runs!$A$2:$E$9,5,FALSE()))*1440</f>
        <v>540</v>
      </c>
      <c r="K621" s="3">
        <f>(G621-VLOOKUP($A621,Runs!$A$2:$E$9,5,FALSE()))*1440</f>
        <v>1533.0666666291654</v>
      </c>
    </row>
    <row r="622" spans="1:11" ht="15" customHeight="1" x14ac:dyDescent="0.25">
      <c r="A622" t="s">
        <v>6</v>
      </c>
      <c r="B622">
        <v>6</v>
      </c>
      <c r="C622" t="s">
        <v>154</v>
      </c>
      <c r="D622" t="s">
        <v>85</v>
      </c>
      <c r="E622" t="s">
        <v>100</v>
      </c>
      <c r="F622" s="12">
        <v>45666.208333333299</v>
      </c>
      <c r="G622" s="12">
        <v>45667.084398148101</v>
      </c>
      <c r="H622" t="str">
        <f t="shared" si="18"/>
        <v>BSA</v>
      </c>
      <c r="I622" t="str">
        <f t="shared" si="19"/>
        <v>BSA</v>
      </c>
      <c r="J622" s="3">
        <f>(F622-VLOOKUP($A622,Runs!$A$2:$E$9,5,FALSE()))*1440</f>
        <v>299.99999995110556</v>
      </c>
      <c r="K622" s="3">
        <f>(G622-VLOOKUP($A622,Runs!$A$2:$E$9,5,FALSE()))*1440</f>
        <v>1561.5333332656883</v>
      </c>
    </row>
    <row r="623" spans="1:11" ht="15" customHeight="1" x14ac:dyDescent="0.25">
      <c r="A623" t="s">
        <v>6</v>
      </c>
      <c r="B623">
        <v>7</v>
      </c>
      <c r="C623" t="s">
        <v>245</v>
      </c>
      <c r="D623" t="s">
        <v>85</v>
      </c>
      <c r="E623" t="s">
        <v>211</v>
      </c>
      <c r="F623" s="12">
        <v>45666.291666666701</v>
      </c>
      <c r="G623" s="12">
        <v>45667.085462962998</v>
      </c>
      <c r="H623" t="str">
        <f t="shared" si="18"/>
        <v>RAX_HD</v>
      </c>
      <c r="I623" t="str">
        <f t="shared" si="19"/>
        <v>RAX_HD</v>
      </c>
      <c r="J623" s="3">
        <f>(F623-VLOOKUP($A623,Runs!$A$2:$E$9,5,FALSE()))*1440</f>
        <v>420.00000004889444</v>
      </c>
      <c r="K623" s="3">
        <f>(G623-VLOOKUP($A623,Runs!$A$2:$E$9,5,FALSE()))*1440</f>
        <v>1563.0666667164769</v>
      </c>
    </row>
    <row r="624" spans="1:11" ht="15" customHeight="1" x14ac:dyDescent="0.25">
      <c r="A624" t="s">
        <v>6</v>
      </c>
      <c r="B624">
        <v>8</v>
      </c>
      <c r="C624" t="s">
        <v>256</v>
      </c>
      <c r="D624" t="s">
        <v>85</v>
      </c>
      <c r="E624" t="s">
        <v>95</v>
      </c>
      <c r="F624" s="12">
        <v>45666.291666666701</v>
      </c>
      <c r="G624" s="12">
        <v>45667.086527777799</v>
      </c>
      <c r="H624" t="str">
        <f t="shared" si="18"/>
        <v>CORE</v>
      </c>
      <c r="I624" t="str">
        <f t="shared" si="19"/>
        <v>CHS</v>
      </c>
      <c r="J624" s="3">
        <f>(F624-VLOOKUP($A624,Runs!$A$2:$E$9,5,FALSE()))*1440</f>
        <v>420.00000004889444</v>
      </c>
      <c r="K624" s="3">
        <f>(G624-VLOOKUP($A624,Runs!$A$2:$E$9,5,FALSE()))*1440</f>
        <v>1564.6000000310596</v>
      </c>
    </row>
    <row r="625" spans="1:11" ht="15" customHeight="1" x14ac:dyDescent="0.25">
      <c r="A625" t="s">
        <v>6</v>
      </c>
      <c r="B625">
        <v>6</v>
      </c>
      <c r="C625" t="s">
        <v>155</v>
      </c>
      <c r="D625" t="s">
        <v>85</v>
      </c>
      <c r="E625" t="s">
        <v>106</v>
      </c>
      <c r="F625" s="12">
        <v>45666.208333333299</v>
      </c>
      <c r="G625" s="12">
        <v>45667.105231481502</v>
      </c>
      <c r="H625" t="str">
        <f t="shared" si="18"/>
        <v>RAX_RD</v>
      </c>
      <c r="I625" t="str">
        <f t="shared" si="19"/>
        <v>RAX_RD</v>
      </c>
      <c r="J625" s="3">
        <f>(F625-VLOOKUP($A625,Runs!$A$2:$E$9,5,FALSE()))*1440</f>
        <v>299.99999995110556</v>
      </c>
      <c r="K625" s="3">
        <f>(G625-VLOOKUP($A625,Runs!$A$2:$E$9,5,FALSE()))*1440</f>
        <v>1591.5333333634771</v>
      </c>
    </row>
    <row r="626" spans="1:11" ht="15" customHeight="1" x14ac:dyDescent="0.25">
      <c r="A626" t="s">
        <v>6</v>
      </c>
      <c r="B626">
        <v>9</v>
      </c>
      <c r="C626" t="s">
        <v>249</v>
      </c>
      <c r="D626" t="s">
        <v>85</v>
      </c>
      <c r="E626" t="s">
        <v>185</v>
      </c>
      <c r="F626" s="12">
        <v>45666.375</v>
      </c>
      <c r="G626" s="12">
        <v>45667.106296296297</v>
      </c>
      <c r="H626" t="str">
        <f t="shared" si="18"/>
        <v>FT</v>
      </c>
      <c r="I626" t="str">
        <f t="shared" si="19"/>
        <v>FT</v>
      </c>
      <c r="J626" s="3">
        <f>(F626-VLOOKUP($A626,Runs!$A$2:$E$9,5,FALSE()))*1440</f>
        <v>540</v>
      </c>
      <c r="K626" s="3">
        <f>(G626-VLOOKUP($A626,Runs!$A$2:$E$9,5,FALSE()))*1440</f>
        <v>1593.0666666675825</v>
      </c>
    </row>
    <row r="627" spans="1:11" ht="15" customHeight="1" x14ac:dyDescent="0.25">
      <c r="A627" t="s">
        <v>6</v>
      </c>
      <c r="B627">
        <v>8</v>
      </c>
      <c r="C627" t="s">
        <v>244</v>
      </c>
      <c r="D627" t="s">
        <v>85</v>
      </c>
      <c r="E627" t="s">
        <v>100</v>
      </c>
      <c r="F627" s="12">
        <v>45666.291666666701</v>
      </c>
      <c r="G627" s="12">
        <v>45667.126064814802</v>
      </c>
      <c r="H627" t="str">
        <f t="shared" si="18"/>
        <v>BSA</v>
      </c>
      <c r="I627" t="str">
        <f t="shared" si="19"/>
        <v>BSA</v>
      </c>
      <c r="J627" s="3">
        <f>(F627-VLOOKUP($A627,Runs!$A$2:$E$9,5,FALSE()))*1440</f>
        <v>420.00000004889444</v>
      </c>
      <c r="K627" s="3">
        <f>(G627-VLOOKUP($A627,Runs!$A$2:$E$9,5,FALSE()))*1440</f>
        <v>1621.5333333145827</v>
      </c>
    </row>
    <row r="628" spans="1:11" ht="15" customHeight="1" x14ac:dyDescent="0.25">
      <c r="A628" t="s">
        <v>6</v>
      </c>
      <c r="B628">
        <v>10</v>
      </c>
      <c r="C628" t="s">
        <v>252</v>
      </c>
      <c r="D628" t="s">
        <v>85</v>
      </c>
      <c r="E628" t="s">
        <v>203</v>
      </c>
      <c r="F628" s="12">
        <v>45666.416666666701</v>
      </c>
      <c r="G628" s="12">
        <v>45667.127129629604</v>
      </c>
      <c r="H628" t="str">
        <f t="shared" si="18"/>
        <v>CHS</v>
      </c>
      <c r="I628" t="str">
        <f t="shared" si="19"/>
        <v>CHS</v>
      </c>
      <c r="J628" s="3">
        <f>(F628-VLOOKUP($A628,Runs!$A$2:$E$9,5,FALSE()))*1440</f>
        <v>600.00000004889444</v>
      </c>
      <c r="K628" s="3">
        <f>(G628-VLOOKUP($A628,Runs!$A$2:$E$9,5,FALSE()))*1440</f>
        <v>1623.0666666291654</v>
      </c>
    </row>
    <row r="629" spans="1:11" ht="15" customHeight="1" x14ac:dyDescent="0.25">
      <c r="A629" t="s">
        <v>6</v>
      </c>
      <c r="B629">
        <v>9</v>
      </c>
      <c r="C629" t="s">
        <v>250</v>
      </c>
      <c r="D629" t="s">
        <v>85</v>
      </c>
      <c r="E629" t="s">
        <v>185</v>
      </c>
      <c r="F629" s="12">
        <v>45666.375</v>
      </c>
      <c r="G629" s="12">
        <v>45667.146898148101</v>
      </c>
      <c r="H629" t="str">
        <f t="shared" si="18"/>
        <v>FT</v>
      </c>
      <c r="I629" t="str">
        <f t="shared" si="19"/>
        <v>FT</v>
      </c>
      <c r="J629" s="3">
        <f>(F629-VLOOKUP($A629,Runs!$A$2:$E$9,5,FALSE()))*1440</f>
        <v>540</v>
      </c>
      <c r="K629" s="3">
        <f>(G629-VLOOKUP($A629,Runs!$A$2:$E$9,5,FALSE()))*1440</f>
        <v>1651.5333332656883</v>
      </c>
    </row>
    <row r="630" spans="1:11" ht="15" customHeight="1" x14ac:dyDescent="0.25">
      <c r="A630" t="s">
        <v>6</v>
      </c>
      <c r="B630">
        <v>8</v>
      </c>
      <c r="C630" t="s">
        <v>257</v>
      </c>
      <c r="D630" t="s">
        <v>85</v>
      </c>
      <c r="E630" t="s">
        <v>100</v>
      </c>
      <c r="F630" s="12">
        <v>45666.291666666701</v>
      </c>
      <c r="G630" s="12">
        <v>45667.167731481502</v>
      </c>
      <c r="H630" t="str">
        <f t="shared" si="18"/>
        <v>BSA</v>
      </c>
      <c r="I630" t="str">
        <f t="shared" si="19"/>
        <v>BSA</v>
      </c>
      <c r="J630" s="3">
        <f>(F630-VLOOKUP($A630,Runs!$A$2:$E$9,5,FALSE()))*1440</f>
        <v>420.00000004889444</v>
      </c>
      <c r="K630" s="3">
        <f>(G630-VLOOKUP($A630,Runs!$A$2:$E$9,5,FALSE()))*1440</f>
        <v>1681.5333333634771</v>
      </c>
    </row>
    <row r="631" spans="1:11" ht="15" customHeight="1" x14ac:dyDescent="0.25">
      <c r="A631" t="s">
        <v>6</v>
      </c>
      <c r="B631">
        <v>10</v>
      </c>
      <c r="C631" t="s">
        <v>258</v>
      </c>
      <c r="D631" t="s">
        <v>85</v>
      </c>
      <c r="E631" t="s">
        <v>206</v>
      </c>
      <c r="F631" s="12">
        <v>45666.416666666701</v>
      </c>
      <c r="G631" s="12">
        <v>45667.168796296297</v>
      </c>
      <c r="H631" t="str">
        <f t="shared" si="18"/>
        <v>BSA</v>
      </c>
      <c r="I631" t="str">
        <f t="shared" si="19"/>
        <v>BSA</v>
      </c>
      <c r="J631" s="3">
        <f>(F631-VLOOKUP($A631,Runs!$A$2:$E$9,5,FALSE()))*1440</f>
        <v>600.00000004889444</v>
      </c>
      <c r="K631" s="3">
        <f>(G631-VLOOKUP($A631,Runs!$A$2:$E$9,5,FALSE()))*1440</f>
        <v>1683.0666666675825</v>
      </c>
    </row>
    <row r="632" spans="1:11" ht="15" customHeight="1" x14ac:dyDescent="0.25">
      <c r="A632" t="s">
        <v>6</v>
      </c>
      <c r="B632">
        <v>8</v>
      </c>
      <c r="C632" t="s">
        <v>259</v>
      </c>
      <c r="D632" t="s">
        <v>85</v>
      </c>
      <c r="E632" t="s">
        <v>106</v>
      </c>
      <c r="F632" s="12">
        <v>45666.291666666701</v>
      </c>
      <c r="G632" s="12">
        <v>45667.188564814802</v>
      </c>
      <c r="H632" t="str">
        <f t="shared" si="18"/>
        <v>RAX_RD</v>
      </c>
      <c r="I632" t="str">
        <f t="shared" si="19"/>
        <v>RAX_RD</v>
      </c>
      <c r="J632" s="3">
        <f>(F632-VLOOKUP($A632,Runs!$A$2:$E$9,5,FALSE()))*1440</f>
        <v>420.00000004889444</v>
      </c>
      <c r="K632" s="3">
        <f>(G632-VLOOKUP($A632,Runs!$A$2:$E$9,5,FALSE()))*1440</f>
        <v>1711.5333333145827</v>
      </c>
    </row>
    <row r="633" spans="1:11" ht="15" customHeight="1" x14ac:dyDescent="0.25">
      <c r="A633" t="s">
        <v>6</v>
      </c>
      <c r="B633">
        <v>10</v>
      </c>
      <c r="C633" t="s">
        <v>260</v>
      </c>
      <c r="D633" t="s">
        <v>85</v>
      </c>
      <c r="E633" t="s">
        <v>206</v>
      </c>
      <c r="F633" s="12">
        <v>45666.416666666701</v>
      </c>
      <c r="G633" s="12">
        <v>45667.209398148101</v>
      </c>
      <c r="H633" t="str">
        <f t="shared" si="18"/>
        <v>BSA</v>
      </c>
      <c r="I633" t="str">
        <f t="shared" si="19"/>
        <v>BSA</v>
      </c>
      <c r="J633" s="3">
        <f>(F633-VLOOKUP($A633,Runs!$A$2:$E$9,5,FALSE()))*1440</f>
        <v>600.00000004889444</v>
      </c>
      <c r="K633" s="3">
        <f>(G633-VLOOKUP($A633,Runs!$A$2:$E$9,5,FALSE()))*1440</f>
        <v>1741.5333332656883</v>
      </c>
    </row>
    <row r="634" spans="1:11" ht="15" customHeight="1" x14ac:dyDescent="0.25">
      <c r="A634" t="s">
        <v>6</v>
      </c>
      <c r="B634">
        <v>10</v>
      </c>
      <c r="C634" t="s">
        <v>261</v>
      </c>
      <c r="D634" t="s">
        <v>85</v>
      </c>
      <c r="E634" t="s">
        <v>211</v>
      </c>
      <c r="F634" s="12">
        <v>45666.416666666701</v>
      </c>
      <c r="G634" s="12">
        <v>45667.230231481502</v>
      </c>
      <c r="H634" t="str">
        <f t="shared" si="18"/>
        <v>RAX_HD</v>
      </c>
      <c r="I634" t="str">
        <f t="shared" si="19"/>
        <v>RAX_HD</v>
      </c>
      <c r="J634" s="3">
        <f>(F634-VLOOKUP($A634,Runs!$A$2:$E$9,5,FALSE()))*1440</f>
        <v>600.00000004889444</v>
      </c>
      <c r="K634" s="3">
        <f>(G634-VLOOKUP($A634,Runs!$A$2:$E$9,5,FALSE()))*1440</f>
        <v>1771.5333333634771</v>
      </c>
    </row>
    <row r="635" spans="1:11" ht="15" customHeight="1" x14ac:dyDescent="0.25">
      <c r="A635" t="s">
        <v>6</v>
      </c>
      <c r="B635">
        <v>9</v>
      </c>
      <c r="C635" t="s">
        <v>262</v>
      </c>
      <c r="D635" t="s">
        <v>85</v>
      </c>
      <c r="E635" t="s">
        <v>192</v>
      </c>
      <c r="F635" s="12">
        <v>45666.375</v>
      </c>
      <c r="G635" s="12">
        <v>45667.292731481502</v>
      </c>
      <c r="H635" t="str">
        <f t="shared" si="18"/>
        <v>SSA</v>
      </c>
      <c r="I635" t="str">
        <f t="shared" si="19"/>
        <v>SSA</v>
      </c>
      <c r="J635" s="3">
        <f>(F635-VLOOKUP($A635,Runs!$A$2:$E$9,5,FALSE()))*1440</f>
        <v>540</v>
      </c>
      <c r="K635" s="3">
        <f>(G635-VLOOKUP($A635,Runs!$A$2:$E$9,5,FALSE()))*1440</f>
        <v>1861.5333333634771</v>
      </c>
    </row>
    <row r="636" spans="1:11" ht="15" customHeight="1" x14ac:dyDescent="0.25">
      <c r="A636" t="s">
        <v>6</v>
      </c>
      <c r="B636">
        <v>9</v>
      </c>
      <c r="C636" t="s">
        <v>263</v>
      </c>
      <c r="D636" t="s">
        <v>85</v>
      </c>
      <c r="E636" t="s">
        <v>192</v>
      </c>
      <c r="F636" s="12">
        <v>45666.375</v>
      </c>
      <c r="G636" s="12">
        <v>45667.334398148101</v>
      </c>
      <c r="H636" t="str">
        <f t="shared" si="18"/>
        <v>SSA</v>
      </c>
      <c r="I636" t="str">
        <f t="shared" si="19"/>
        <v>SSA</v>
      </c>
      <c r="J636" s="3">
        <f>(F636-VLOOKUP($A636,Runs!$A$2:$E$9,5,FALSE()))*1440</f>
        <v>540</v>
      </c>
      <c r="K636" s="3">
        <f>(G636-VLOOKUP($A636,Runs!$A$2:$E$9,5,FALSE()))*1440</f>
        <v>1921.5333332656883</v>
      </c>
    </row>
    <row r="637" spans="1:11" ht="15" customHeight="1" x14ac:dyDescent="0.25">
      <c r="A637" t="s">
        <v>6</v>
      </c>
      <c r="B637">
        <v>9</v>
      </c>
      <c r="C637" t="s">
        <v>264</v>
      </c>
      <c r="D637" t="s">
        <v>85</v>
      </c>
      <c r="E637" t="s">
        <v>197</v>
      </c>
      <c r="F637" s="12">
        <v>45666.375</v>
      </c>
      <c r="G637" s="12">
        <v>45667.355231481502</v>
      </c>
      <c r="H637" t="str">
        <f t="shared" si="18"/>
        <v>FAX</v>
      </c>
      <c r="I637" t="str">
        <f t="shared" si="19"/>
        <v>FAX</v>
      </c>
      <c r="J637" s="3">
        <f>(F637-VLOOKUP($A637,Runs!$A$2:$E$9,5,FALSE()))*1440</f>
        <v>540</v>
      </c>
      <c r="K637" s="3">
        <f>(G637-VLOOKUP($A637,Runs!$A$2:$E$9,5,FALSE()))*1440</f>
        <v>1951.5333333634771</v>
      </c>
    </row>
    <row r="638" spans="1:11" ht="15" customHeight="1" x14ac:dyDescent="0.25">
      <c r="A638" t="s">
        <v>6</v>
      </c>
      <c r="B638">
        <v>9</v>
      </c>
      <c r="C638" t="s">
        <v>251</v>
      </c>
      <c r="D638" t="s">
        <v>85</v>
      </c>
      <c r="E638" t="s">
        <v>203</v>
      </c>
      <c r="F638" s="12">
        <v>45666.375</v>
      </c>
      <c r="G638" s="12">
        <v>45667.459398148101</v>
      </c>
      <c r="H638" t="str">
        <f t="shared" si="18"/>
        <v>CHS</v>
      </c>
      <c r="I638" t="str">
        <f t="shared" si="19"/>
        <v>CHS</v>
      </c>
      <c r="J638" s="3">
        <f>(F638-VLOOKUP($A638,Runs!$A$2:$E$9,5,FALSE()))*1440</f>
        <v>540</v>
      </c>
      <c r="K638" s="3">
        <f>(G638-VLOOKUP($A638,Runs!$A$2:$E$9,5,FALSE()))*1440</f>
        <v>2101.5333332656883</v>
      </c>
    </row>
    <row r="639" spans="1:11" ht="15" customHeight="1" x14ac:dyDescent="0.25">
      <c r="A639" t="s">
        <v>6</v>
      </c>
      <c r="B639">
        <v>9</v>
      </c>
      <c r="C639" t="s">
        <v>174</v>
      </c>
      <c r="D639" t="s">
        <v>85</v>
      </c>
      <c r="E639" t="s">
        <v>206</v>
      </c>
      <c r="F639" s="12">
        <v>45666.375</v>
      </c>
      <c r="G639" s="12">
        <v>45667.501064814802</v>
      </c>
      <c r="H639" t="str">
        <f t="shared" si="18"/>
        <v>BSA</v>
      </c>
      <c r="I639" t="str">
        <f t="shared" si="19"/>
        <v>BSA</v>
      </c>
      <c r="J639" s="3">
        <f>(F639-VLOOKUP($A639,Runs!$A$2:$E$9,5,FALSE()))*1440</f>
        <v>540</v>
      </c>
      <c r="K639" s="3">
        <f>(G639-VLOOKUP($A639,Runs!$A$2:$E$9,5,FALSE()))*1440</f>
        <v>2161.5333333145827</v>
      </c>
    </row>
    <row r="640" spans="1:11" ht="15" customHeight="1" x14ac:dyDescent="0.25">
      <c r="A640" t="s">
        <v>6</v>
      </c>
      <c r="B640">
        <v>9</v>
      </c>
      <c r="C640" t="s">
        <v>175</v>
      </c>
      <c r="D640" t="s">
        <v>85</v>
      </c>
      <c r="E640" t="s">
        <v>206</v>
      </c>
      <c r="F640" s="12">
        <v>45666.375</v>
      </c>
      <c r="G640" s="12">
        <v>45667.542731481502</v>
      </c>
      <c r="H640" t="str">
        <f t="shared" si="18"/>
        <v>BSA</v>
      </c>
      <c r="I640" t="str">
        <f t="shared" si="19"/>
        <v>BSA</v>
      </c>
      <c r="J640" s="3">
        <f>(F640-VLOOKUP($A640,Runs!$A$2:$E$9,5,FALSE()))*1440</f>
        <v>540</v>
      </c>
      <c r="K640" s="3">
        <f>(G640-VLOOKUP($A640,Runs!$A$2:$E$9,5,FALSE()))*1440</f>
        <v>2221.5333333634771</v>
      </c>
    </row>
    <row r="641" spans="1:11" ht="15" customHeight="1" x14ac:dyDescent="0.25">
      <c r="A641" t="s">
        <v>6</v>
      </c>
      <c r="B641">
        <v>9</v>
      </c>
      <c r="C641" t="s">
        <v>265</v>
      </c>
      <c r="D641" t="s">
        <v>85</v>
      </c>
      <c r="E641" t="s">
        <v>211</v>
      </c>
      <c r="F641" s="12">
        <v>45666.375</v>
      </c>
      <c r="G641" s="12">
        <v>45667.563564814802</v>
      </c>
      <c r="H641" t="str">
        <f t="shared" si="18"/>
        <v>RAX_HD</v>
      </c>
      <c r="I641" t="str">
        <f t="shared" si="19"/>
        <v>RAX_HD</v>
      </c>
      <c r="J641" s="3">
        <f>(F641-VLOOKUP($A641,Runs!$A$2:$E$9,5,FALSE()))*1440</f>
        <v>540</v>
      </c>
      <c r="K641" s="3">
        <f>(G641-VLOOKUP($A641,Runs!$A$2:$E$9,5,FALSE()))*1440</f>
        <v>2251.5333333145827</v>
      </c>
    </row>
    <row r="642" spans="1:11" ht="15" customHeight="1" x14ac:dyDescent="0.25">
      <c r="A642" t="s">
        <v>7</v>
      </c>
      <c r="B642">
        <v>1</v>
      </c>
      <c r="C642" t="s">
        <v>88</v>
      </c>
      <c r="D642" t="s">
        <v>85</v>
      </c>
      <c r="E642" t="s">
        <v>128</v>
      </c>
      <c r="F642" s="12">
        <v>45667</v>
      </c>
      <c r="G642" s="12">
        <v>45667.083935185197</v>
      </c>
      <c r="H642" t="str">
        <f t="shared" ref="H642:H705" si="20">MID(E642,8,100)</f>
        <v>RT</v>
      </c>
      <c r="I642" t="str">
        <f t="shared" ref="I642:I705" si="21">IF(H642="CORE","CHS",H642)</f>
        <v>RT</v>
      </c>
      <c r="J642" s="3">
        <f>(F642-VLOOKUP($A642,Runs!$A$2:$E$9,5,FALSE()))*1440</f>
        <v>0</v>
      </c>
      <c r="K642" s="3">
        <f>(G642-VLOOKUP($A642,Runs!$A$2:$E$9,5,FALSE()))*1440</f>
        <v>120.86666668416001</v>
      </c>
    </row>
    <row r="643" spans="1:11" ht="15" customHeight="1" x14ac:dyDescent="0.25">
      <c r="A643" t="s">
        <v>7</v>
      </c>
      <c r="B643">
        <v>2</v>
      </c>
      <c r="C643" t="s">
        <v>91</v>
      </c>
      <c r="D643" t="s">
        <v>85</v>
      </c>
      <c r="E643" t="s">
        <v>86</v>
      </c>
      <c r="F643" s="12">
        <v>45667.0625</v>
      </c>
      <c r="G643" s="12">
        <v>45667.125601851898</v>
      </c>
      <c r="H643" t="str">
        <f t="shared" si="20"/>
        <v>BOSP</v>
      </c>
      <c r="I643" t="str">
        <f t="shared" si="21"/>
        <v>BOSP</v>
      </c>
      <c r="J643" s="3">
        <f>(F643-VLOOKUP($A643,Runs!$A$2:$E$9,5,FALSE()))*1440</f>
        <v>90</v>
      </c>
      <c r="K643" s="3">
        <f>(G643-VLOOKUP($A643,Runs!$A$2:$E$9,5,FALSE()))*1440</f>
        <v>180.86666673305444</v>
      </c>
    </row>
    <row r="644" spans="1:11" ht="15" customHeight="1" x14ac:dyDescent="0.25">
      <c r="A644" t="s">
        <v>7</v>
      </c>
      <c r="B644">
        <v>2</v>
      </c>
      <c r="C644" t="s">
        <v>92</v>
      </c>
      <c r="D644" t="s">
        <v>85</v>
      </c>
      <c r="E644" t="s">
        <v>86</v>
      </c>
      <c r="F644" s="12">
        <v>45667.0625</v>
      </c>
      <c r="G644" s="12">
        <v>45667.148194444497</v>
      </c>
      <c r="H644" t="str">
        <f t="shared" si="20"/>
        <v>BOSP</v>
      </c>
      <c r="I644" t="str">
        <f t="shared" si="21"/>
        <v>BOSP</v>
      </c>
      <c r="J644" s="3">
        <f>(F644-VLOOKUP($A644,Runs!$A$2:$E$9,5,FALSE()))*1440</f>
        <v>90</v>
      </c>
      <c r="K644" s="3">
        <f>(G644-VLOOKUP($A644,Runs!$A$2:$E$9,5,FALSE()))*1440</f>
        <v>213.400000075344</v>
      </c>
    </row>
    <row r="645" spans="1:11" ht="15" customHeight="1" x14ac:dyDescent="0.25">
      <c r="A645" t="s">
        <v>7</v>
      </c>
      <c r="B645">
        <v>1</v>
      </c>
      <c r="C645" t="s">
        <v>90</v>
      </c>
      <c r="D645" t="s">
        <v>85</v>
      </c>
      <c r="E645" t="s">
        <v>128</v>
      </c>
      <c r="F645" s="12">
        <v>45667</v>
      </c>
      <c r="G645" s="12">
        <v>45667.149259259299</v>
      </c>
      <c r="H645" t="str">
        <f t="shared" si="20"/>
        <v>RT</v>
      </c>
      <c r="I645" t="str">
        <f t="shared" si="21"/>
        <v>RT</v>
      </c>
      <c r="J645" s="3">
        <f>(F645-VLOOKUP($A645,Runs!$A$2:$E$9,5,FALSE()))*1440</f>
        <v>0</v>
      </c>
      <c r="K645" s="3">
        <f>(G645-VLOOKUP($A645,Runs!$A$2:$E$9,5,FALSE()))*1440</f>
        <v>214.9333333899267</v>
      </c>
    </row>
    <row r="646" spans="1:11" ht="15" customHeight="1" x14ac:dyDescent="0.25">
      <c r="A646" t="s">
        <v>7</v>
      </c>
      <c r="B646">
        <v>3</v>
      </c>
      <c r="C646" t="s">
        <v>97</v>
      </c>
      <c r="D646" t="s">
        <v>85</v>
      </c>
      <c r="E646" t="s">
        <v>178</v>
      </c>
      <c r="F646" s="12">
        <v>45667.125</v>
      </c>
      <c r="G646" s="12">
        <v>45667.188101851898</v>
      </c>
      <c r="H646" t="str">
        <f t="shared" si="20"/>
        <v>BOSP</v>
      </c>
      <c r="I646" t="str">
        <f t="shared" si="21"/>
        <v>BOSP</v>
      </c>
      <c r="J646" s="3">
        <f>(F646-VLOOKUP($A646,Runs!$A$2:$E$9,5,FALSE()))*1440</f>
        <v>180</v>
      </c>
      <c r="K646" s="3">
        <f>(G646-VLOOKUP($A646,Runs!$A$2:$E$9,5,FALSE()))*1440</f>
        <v>270.86666673305444</v>
      </c>
    </row>
    <row r="647" spans="1:11" ht="15" customHeight="1" x14ac:dyDescent="0.25">
      <c r="A647" t="s">
        <v>7</v>
      </c>
      <c r="B647">
        <v>1</v>
      </c>
      <c r="C647" t="s">
        <v>184</v>
      </c>
      <c r="D647" t="s">
        <v>85</v>
      </c>
      <c r="E647" t="s">
        <v>131</v>
      </c>
      <c r="F647" s="12">
        <v>45667</v>
      </c>
      <c r="G647" s="12">
        <v>45667.1891666667</v>
      </c>
      <c r="H647" t="str">
        <f t="shared" si="20"/>
        <v>FT</v>
      </c>
      <c r="I647" t="str">
        <f t="shared" si="21"/>
        <v>FT</v>
      </c>
      <c r="J647" s="3">
        <f>(F647-VLOOKUP($A647,Runs!$A$2:$E$9,5,FALSE()))*1440</f>
        <v>0</v>
      </c>
      <c r="K647" s="3">
        <f>(G647-VLOOKUP($A647,Runs!$A$2:$E$9,5,FALSE()))*1440</f>
        <v>272.40000004763715</v>
      </c>
    </row>
    <row r="648" spans="1:11" ht="15" customHeight="1" x14ac:dyDescent="0.25">
      <c r="A648" t="s">
        <v>7</v>
      </c>
      <c r="B648">
        <v>3</v>
      </c>
      <c r="C648" t="s">
        <v>98</v>
      </c>
      <c r="D648" t="s">
        <v>85</v>
      </c>
      <c r="E648" t="s">
        <v>178</v>
      </c>
      <c r="F648" s="12">
        <v>45667.125</v>
      </c>
      <c r="G648" s="12">
        <v>45667.209398148101</v>
      </c>
      <c r="H648" t="str">
        <f t="shared" si="20"/>
        <v>BOSP</v>
      </c>
      <c r="I648" t="str">
        <f t="shared" si="21"/>
        <v>BOSP</v>
      </c>
      <c r="J648" s="3">
        <f>(F648-VLOOKUP($A648,Runs!$A$2:$E$9,5,FALSE()))*1440</f>
        <v>180</v>
      </c>
      <c r="K648" s="3">
        <f>(G648-VLOOKUP($A648,Runs!$A$2:$E$9,5,FALSE()))*1440</f>
        <v>301.53333326568827</v>
      </c>
    </row>
    <row r="649" spans="1:11" ht="15" customHeight="1" x14ac:dyDescent="0.25">
      <c r="A649" t="s">
        <v>7</v>
      </c>
      <c r="B649">
        <v>1</v>
      </c>
      <c r="C649" t="s">
        <v>186</v>
      </c>
      <c r="D649" t="s">
        <v>85</v>
      </c>
      <c r="E649" t="s">
        <v>131</v>
      </c>
      <c r="F649" s="12">
        <v>45667</v>
      </c>
      <c r="G649" s="12">
        <v>45667.232662037</v>
      </c>
      <c r="H649" t="str">
        <f t="shared" si="20"/>
        <v>FT</v>
      </c>
      <c r="I649" t="str">
        <f t="shared" si="21"/>
        <v>FT</v>
      </c>
      <c r="J649" s="3">
        <f>(F649-VLOOKUP($A649,Runs!$A$2:$E$9,5,FALSE()))*1440</f>
        <v>0</v>
      </c>
      <c r="K649" s="3">
        <f>(G649-VLOOKUP($A649,Runs!$A$2:$E$9,5,FALSE()))*1440</f>
        <v>335.03333328058943</v>
      </c>
    </row>
    <row r="650" spans="1:11" ht="15" customHeight="1" x14ac:dyDescent="0.25">
      <c r="A650" t="s">
        <v>7</v>
      </c>
      <c r="B650">
        <v>3</v>
      </c>
      <c r="C650" t="s">
        <v>183</v>
      </c>
      <c r="D650" t="s">
        <v>85</v>
      </c>
      <c r="E650" t="s">
        <v>180</v>
      </c>
      <c r="F650" s="12">
        <v>45667.125</v>
      </c>
      <c r="G650" s="12">
        <v>45667.273194444497</v>
      </c>
      <c r="H650" t="str">
        <f t="shared" si="20"/>
        <v>BAT</v>
      </c>
      <c r="I650" t="str">
        <f t="shared" si="21"/>
        <v>BAT</v>
      </c>
      <c r="J650" s="3">
        <f>(F650-VLOOKUP($A650,Runs!$A$2:$E$9,5,FALSE()))*1440</f>
        <v>180</v>
      </c>
      <c r="K650" s="3">
        <f>(G650-VLOOKUP($A650,Runs!$A$2:$E$9,5,FALSE()))*1440</f>
        <v>393.400000075344</v>
      </c>
    </row>
    <row r="651" spans="1:11" ht="15" customHeight="1" x14ac:dyDescent="0.25">
      <c r="A651" t="s">
        <v>7</v>
      </c>
      <c r="B651">
        <v>4</v>
      </c>
      <c r="C651" t="s">
        <v>107</v>
      </c>
      <c r="D651" t="s">
        <v>85</v>
      </c>
      <c r="E651" t="s">
        <v>108</v>
      </c>
      <c r="F651" s="12">
        <v>45667.1875</v>
      </c>
      <c r="G651" s="12">
        <v>45667.292847222197</v>
      </c>
      <c r="H651" t="str">
        <f t="shared" si="20"/>
        <v>BOSP</v>
      </c>
      <c r="I651" t="str">
        <f t="shared" si="21"/>
        <v>BOSP</v>
      </c>
      <c r="J651" s="3">
        <f>(F651-VLOOKUP($A651,Runs!$A$2:$E$9,5,FALSE()))*1440</f>
        <v>270</v>
      </c>
      <c r="K651" s="3">
        <f>(G651-VLOOKUP($A651,Runs!$A$2:$E$9,5,FALSE()))*1440</f>
        <v>421.69999996433035</v>
      </c>
    </row>
    <row r="652" spans="1:11" ht="15" customHeight="1" x14ac:dyDescent="0.25">
      <c r="A652" t="s">
        <v>7</v>
      </c>
      <c r="B652">
        <v>2</v>
      </c>
      <c r="C652" t="s">
        <v>93</v>
      </c>
      <c r="D652" t="s">
        <v>85</v>
      </c>
      <c r="E652" t="s">
        <v>89</v>
      </c>
      <c r="F652" s="12">
        <v>45667.0625</v>
      </c>
      <c r="G652" s="12">
        <v>45667.293912036999</v>
      </c>
      <c r="H652" t="str">
        <f t="shared" si="20"/>
        <v>RT</v>
      </c>
      <c r="I652" t="str">
        <f t="shared" si="21"/>
        <v>RT</v>
      </c>
      <c r="J652" s="3">
        <f>(F652-VLOOKUP($A652,Runs!$A$2:$E$9,5,FALSE()))*1440</f>
        <v>90</v>
      </c>
      <c r="K652" s="3">
        <f>(G652-VLOOKUP($A652,Runs!$A$2:$E$9,5,FALSE()))*1440</f>
        <v>423.23333327891305</v>
      </c>
    </row>
    <row r="653" spans="1:11" ht="15" customHeight="1" x14ac:dyDescent="0.25">
      <c r="A653" t="s">
        <v>7</v>
      </c>
      <c r="B653">
        <v>1</v>
      </c>
      <c r="C653" t="s">
        <v>191</v>
      </c>
      <c r="D653" t="s">
        <v>85</v>
      </c>
      <c r="E653" t="s">
        <v>136</v>
      </c>
      <c r="F653" s="12">
        <v>45667</v>
      </c>
      <c r="G653" s="12">
        <v>45667.294976851903</v>
      </c>
      <c r="H653" t="str">
        <f t="shared" si="20"/>
        <v>SSA</v>
      </c>
      <c r="I653" t="str">
        <f t="shared" si="21"/>
        <v>SSA</v>
      </c>
      <c r="J653" s="3">
        <f>(F653-VLOOKUP($A653,Runs!$A$2:$E$9,5,FALSE()))*1440</f>
        <v>0</v>
      </c>
      <c r="K653" s="3">
        <f>(G653-VLOOKUP($A653,Runs!$A$2:$E$9,5,FALSE()))*1440</f>
        <v>424.76666674017906</v>
      </c>
    </row>
    <row r="654" spans="1:11" ht="15" customHeight="1" x14ac:dyDescent="0.25">
      <c r="A654" t="s">
        <v>7</v>
      </c>
      <c r="B654">
        <v>4</v>
      </c>
      <c r="C654" t="s">
        <v>109</v>
      </c>
      <c r="D654" t="s">
        <v>85</v>
      </c>
      <c r="E654" t="s">
        <v>108</v>
      </c>
      <c r="F654" s="12">
        <v>45667.1875</v>
      </c>
      <c r="G654" s="12">
        <v>45667.313564814802</v>
      </c>
      <c r="H654" t="str">
        <f t="shared" si="20"/>
        <v>BOSP</v>
      </c>
      <c r="I654" t="str">
        <f t="shared" si="21"/>
        <v>BOSP</v>
      </c>
      <c r="J654" s="3">
        <f>(F654-VLOOKUP($A654,Runs!$A$2:$E$9,5,FALSE()))*1440</f>
        <v>270</v>
      </c>
      <c r="K654" s="3">
        <f>(G654-VLOOKUP($A654,Runs!$A$2:$E$9,5,FALSE()))*1440</f>
        <v>451.53333331458271</v>
      </c>
    </row>
    <row r="655" spans="1:11" ht="15" customHeight="1" x14ac:dyDescent="0.25">
      <c r="A655" t="s">
        <v>7</v>
      </c>
      <c r="B655">
        <v>2</v>
      </c>
      <c r="C655" t="s">
        <v>96</v>
      </c>
      <c r="D655" t="s">
        <v>85</v>
      </c>
      <c r="E655" t="s">
        <v>89</v>
      </c>
      <c r="F655" s="12">
        <v>45667.0625</v>
      </c>
      <c r="G655" s="12">
        <v>45667.357337963003</v>
      </c>
      <c r="H655" t="str">
        <f t="shared" si="20"/>
        <v>RT</v>
      </c>
      <c r="I655" t="str">
        <f t="shared" si="21"/>
        <v>RT</v>
      </c>
      <c r="J655" s="3">
        <f>(F655-VLOOKUP($A655,Runs!$A$2:$E$9,5,FALSE()))*1440</f>
        <v>90</v>
      </c>
      <c r="K655" s="3">
        <f>(G655-VLOOKUP($A655,Runs!$A$2:$E$9,5,FALSE()))*1440</f>
        <v>514.56666672485881</v>
      </c>
    </row>
    <row r="656" spans="1:11" ht="15" customHeight="1" x14ac:dyDescent="0.25">
      <c r="A656" t="s">
        <v>7</v>
      </c>
      <c r="B656">
        <v>1</v>
      </c>
      <c r="C656" t="s">
        <v>194</v>
      </c>
      <c r="D656" t="s">
        <v>85</v>
      </c>
      <c r="E656" t="s">
        <v>136</v>
      </c>
      <c r="F656" s="12">
        <v>45667</v>
      </c>
      <c r="G656" s="12">
        <v>45667.358402777798</v>
      </c>
      <c r="H656" t="str">
        <f t="shared" si="20"/>
        <v>SSA</v>
      </c>
      <c r="I656" t="str">
        <f t="shared" si="21"/>
        <v>SSA</v>
      </c>
      <c r="J656" s="3">
        <f>(F656-VLOOKUP($A656,Runs!$A$2:$E$9,5,FALSE()))*1440</f>
        <v>0</v>
      </c>
      <c r="K656" s="3">
        <f>(G656-VLOOKUP($A656,Runs!$A$2:$E$9,5,FALSE()))*1440</f>
        <v>516.10000002896413</v>
      </c>
    </row>
    <row r="657" spans="1:11" ht="15" customHeight="1" x14ac:dyDescent="0.25">
      <c r="A657" t="s">
        <v>7</v>
      </c>
      <c r="B657">
        <v>4</v>
      </c>
      <c r="C657" t="s">
        <v>113</v>
      </c>
      <c r="D657" t="s">
        <v>85</v>
      </c>
      <c r="E657" t="s">
        <v>114</v>
      </c>
      <c r="F657" s="12">
        <v>45667.1875</v>
      </c>
      <c r="G657" s="12">
        <v>45667.377361111103</v>
      </c>
      <c r="H657" t="str">
        <f t="shared" si="20"/>
        <v>BAT</v>
      </c>
      <c r="I657" t="str">
        <f t="shared" si="21"/>
        <v>BAT</v>
      </c>
      <c r="J657" s="3">
        <f>(F657-VLOOKUP($A657,Runs!$A$2:$E$9,5,FALSE()))*1440</f>
        <v>270</v>
      </c>
      <c r="K657" s="3">
        <f>(G657-VLOOKUP($A657,Runs!$A$2:$E$9,5,FALSE()))*1440</f>
        <v>543.3999999880325</v>
      </c>
    </row>
    <row r="658" spans="1:11" ht="15" customHeight="1" x14ac:dyDescent="0.25">
      <c r="A658" t="s">
        <v>7</v>
      </c>
      <c r="B658">
        <v>6</v>
      </c>
      <c r="C658" t="s">
        <v>133</v>
      </c>
      <c r="D658" t="s">
        <v>85</v>
      </c>
      <c r="E658" t="s">
        <v>178</v>
      </c>
      <c r="F658" s="12">
        <v>45667.3125</v>
      </c>
      <c r="G658" s="12">
        <v>45667.396898148101</v>
      </c>
      <c r="H658" t="str">
        <f t="shared" si="20"/>
        <v>BOSP</v>
      </c>
      <c r="I658" t="str">
        <f t="shared" si="21"/>
        <v>BOSP</v>
      </c>
      <c r="J658" s="3">
        <f>(F658-VLOOKUP($A658,Runs!$A$2:$E$9,5,FALSE()))*1440</f>
        <v>450</v>
      </c>
      <c r="K658" s="3">
        <f>(G658-VLOOKUP($A658,Runs!$A$2:$E$9,5,FALSE()))*1440</f>
        <v>571.53333326568827</v>
      </c>
    </row>
    <row r="659" spans="1:11" ht="15" customHeight="1" x14ac:dyDescent="0.25">
      <c r="A659" t="s">
        <v>7</v>
      </c>
      <c r="B659">
        <v>3</v>
      </c>
      <c r="C659" t="s">
        <v>101</v>
      </c>
      <c r="D659" t="s">
        <v>85</v>
      </c>
      <c r="E659" t="s">
        <v>181</v>
      </c>
      <c r="F659" s="12">
        <v>45667.125</v>
      </c>
      <c r="G659" s="12">
        <v>45667.397962962998</v>
      </c>
      <c r="H659" t="str">
        <f t="shared" si="20"/>
        <v>RT</v>
      </c>
      <c r="I659" t="str">
        <f t="shared" si="21"/>
        <v>RT</v>
      </c>
      <c r="J659" s="3">
        <f>(F659-VLOOKUP($A659,Runs!$A$2:$E$9,5,FALSE()))*1440</f>
        <v>180</v>
      </c>
      <c r="K659" s="3">
        <f>(G659-VLOOKUP($A659,Runs!$A$2:$E$9,5,FALSE()))*1440</f>
        <v>573.0666667164769</v>
      </c>
    </row>
    <row r="660" spans="1:11" ht="15" customHeight="1" x14ac:dyDescent="0.25">
      <c r="A660" t="s">
        <v>7</v>
      </c>
      <c r="B660">
        <v>1</v>
      </c>
      <c r="C660" t="s">
        <v>99</v>
      </c>
      <c r="D660" t="s">
        <v>85</v>
      </c>
      <c r="E660" t="s">
        <v>142</v>
      </c>
      <c r="F660" s="12">
        <v>45667</v>
      </c>
      <c r="G660" s="12">
        <v>45667.399027777799</v>
      </c>
      <c r="H660" t="str">
        <f t="shared" si="20"/>
        <v>BSA</v>
      </c>
      <c r="I660" t="str">
        <f t="shared" si="21"/>
        <v>BSA</v>
      </c>
      <c r="J660" s="3">
        <f>(F660-VLOOKUP($A660,Runs!$A$2:$E$9,5,FALSE()))*1440</f>
        <v>0</v>
      </c>
      <c r="K660" s="3">
        <f>(G660-VLOOKUP($A660,Runs!$A$2:$E$9,5,FALSE()))*1440</f>
        <v>574.60000003105961</v>
      </c>
    </row>
    <row r="661" spans="1:11" ht="15" customHeight="1" x14ac:dyDescent="0.25">
      <c r="A661" t="s">
        <v>7</v>
      </c>
      <c r="B661">
        <v>6</v>
      </c>
      <c r="C661" t="s">
        <v>134</v>
      </c>
      <c r="D661" t="s">
        <v>85</v>
      </c>
      <c r="E661" t="s">
        <v>178</v>
      </c>
      <c r="F661" s="12">
        <v>45667.3125</v>
      </c>
      <c r="G661" s="12">
        <v>45667.417268518497</v>
      </c>
      <c r="H661" t="str">
        <f t="shared" si="20"/>
        <v>BOSP</v>
      </c>
      <c r="I661" t="str">
        <f t="shared" si="21"/>
        <v>BOSP</v>
      </c>
      <c r="J661" s="3">
        <f>(F661-VLOOKUP($A661,Runs!$A$2:$E$9,5,FALSE()))*1440</f>
        <v>450</v>
      </c>
      <c r="K661" s="3">
        <f>(G661-VLOOKUP($A661,Runs!$A$2:$E$9,5,FALSE()))*1440</f>
        <v>600.86666663526557</v>
      </c>
    </row>
    <row r="662" spans="1:11" ht="15" customHeight="1" x14ac:dyDescent="0.25">
      <c r="A662" t="s">
        <v>7</v>
      </c>
      <c r="B662">
        <v>1</v>
      </c>
      <c r="C662" t="s">
        <v>104</v>
      </c>
      <c r="D662" t="s">
        <v>85</v>
      </c>
      <c r="E662" t="s">
        <v>142</v>
      </c>
      <c r="F662" s="12">
        <v>45667</v>
      </c>
      <c r="G662" s="12">
        <v>45667.438564814802</v>
      </c>
      <c r="H662" t="str">
        <f t="shared" si="20"/>
        <v>BSA</v>
      </c>
      <c r="I662" t="str">
        <f t="shared" si="21"/>
        <v>BSA</v>
      </c>
      <c r="J662" s="3">
        <f>(F662-VLOOKUP($A662,Runs!$A$2:$E$9,5,FALSE()))*1440</f>
        <v>0</v>
      </c>
      <c r="K662" s="3">
        <f>(G662-VLOOKUP($A662,Runs!$A$2:$E$9,5,FALSE()))*1440</f>
        <v>631.53333331458271</v>
      </c>
    </row>
    <row r="663" spans="1:11" ht="15" customHeight="1" x14ac:dyDescent="0.25">
      <c r="A663" t="s">
        <v>7</v>
      </c>
      <c r="B663">
        <v>3</v>
      </c>
      <c r="C663" t="s">
        <v>102</v>
      </c>
      <c r="D663" t="s">
        <v>85</v>
      </c>
      <c r="E663" t="s">
        <v>181</v>
      </c>
      <c r="F663" s="12">
        <v>45667.125</v>
      </c>
      <c r="G663" s="12">
        <v>45667.459398148101</v>
      </c>
      <c r="H663" t="str">
        <f t="shared" si="20"/>
        <v>RT</v>
      </c>
      <c r="I663" t="str">
        <f t="shared" si="21"/>
        <v>RT</v>
      </c>
      <c r="J663" s="3">
        <f>(F663-VLOOKUP($A663,Runs!$A$2:$E$9,5,FALSE()))*1440</f>
        <v>180</v>
      </c>
      <c r="K663" s="3">
        <f>(G663-VLOOKUP($A663,Runs!$A$2:$E$9,5,FALSE()))*1440</f>
        <v>661.53333326568827</v>
      </c>
    </row>
    <row r="664" spans="1:11" ht="15" customHeight="1" x14ac:dyDescent="0.25">
      <c r="A664" t="s">
        <v>7</v>
      </c>
      <c r="B664">
        <v>2</v>
      </c>
      <c r="C664" t="s">
        <v>103</v>
      </c>
      <c r="D664" t="s">
        <v>85</v>
      </c>
      <c r="E664" t="s">
        <v>95</v>
      </c>
      <c r="F664" s="12">
        <v>45667.0625</v>
      </c>
      <c r="G664" s="12">
        <v>45667.461759259299</v>
      </c>
      <c r="H664" t="str">
        <f t="shared" si="20"/>
        <v>CORE</v>
      </c>
      <c r="I664" t="str">
        <f t="shared" si="21"/>
        <v>CHS</v>
      </c>
      <c r="J664" s="3">
        <f>(F664-VLOOKUP($A664,Runs!$A$2:$E$9,5,FALSE()))*1440</f>
        <v>90</v>
      </c>
      <c r="K664" s="3">
        <f>(G664-VLOOKUP($A664,Runs!$A$2:$E$9,5,FALSE()))*1440</f>
        <v>664.9333333899267</v>
      </c>
    </row>
    <row r="665" spans="1:11" ht="15" customHeight="1" x14ac:dyDescent="0.25">
      <c r="A665" t="s">
        <v>7</v>
      </c>
      <c r="B665">
        <v>1</v>
      </c>
      <c r="C665" t="s">
        <v>266</v>
      </c>
      <c r="D665" t="s">
        <v>85</v>
      </c>
      <c r="E665" t="s">
        <v>149</v>
      </c>
      <c r="F665" s="12">
        <v>45667</v>
      </c>
      <c r="G665" s="12">
        <v>45667.4628240741</v>
      </c>
      <c r="H665" t="str">
        <f t="shared" si="20"/>
        <v>CSEB-NABS</v>
      </c>
      <c r="I665" t="str">
        <f t="shared" si="21"/>
        <v>CSEB-NABS</v>
      </c>
      <c r="J665" s="3">
        <f>(F665-VLOOKUP($A665,Runs!$A$2:$E$9,5,FALSE()))*1440</f>
        <v>0</v>
      </c>
      <c r="K665" s="3">
        <f>(G665-VLOOKUP($A665,Runs!$A$2:$E$9,5,FALSE()))*1440</f>
        <v>666.46666670450941</v>
      </c>
    </row>
    <row r="666" spans="1:11" ht="15" customHeight="1" x14ac:dyDescent="0.25">
      <c r="A666" t="s">
        <v>7</v>
      </c>
      <c r="B666">
        <v>6</v>
      </c>
      <c r="C666" t="s">
        <v>221</v>
      </c>
      <c r="D666" t="s">
        <v>85</v>
      </c>
      <c r="E666" t="s">
        <v>180</v>
      </c>
      <c r="F666" s="12">
        <v>45667.3125</v>
      </c>
      <c r="G666" s="12">
        <v>45667.481064814798</v>
      </c>
      <c r="H666" t="str">
        <f t="shared" si="20"/>
        <v>BAT</v>
      </c>
      <c r="I666" t="str">
        <f t="shared" si="21"/>
        <v>BAT</v>
      </c>
      <c r="J666" s="3">
        <f>(F666-VLOOKUP($A666,Runs!$A$2:$E$9,5,FALSE()))*1440</f>
        <v>450</v>
      </c>
      <c r="K666" s="3">
        <f>(G666-VLOOKUP($A666,Runs!$A$2:$E$9,5,FALSE()))*1440</f>
        <v>692.73333330871537</v>
      </c>
    </row>
    <row r="667" spans="1:11" ht="15" customHeight="1" x14ac:dyDescent="0.25">
      <c r="A667" t="s">
        <v>7</v>
      </c>
      <c r="B667">
        <v>7</v>
      </c>
      <c r="C667" t="s">
        <v>140</v>
      </c>
      <c r="D667" t="s">
        <v>85</v>
      </c>
      <c r="E667" t="s">
        <v>86</v>
      </c>
      <c r="F667" s="12">
        <v>45667.375</v>
      </c>
      <c r="G667" s="12">
        <v>45667.501064814802</v>
      </c>
      <c r="H667" t="str">
        <f t="shared" si="20"/>
        <v>BOSP</v>
      </c>
      <c r="I667" t="str">
        <f t="shared" si="21"/>
        <v>BOSP</v>
      </c>
      <c r="J667" s="3">
        <f>(F667-VLOOKUP($A667,Runs!$A$2:$E$9,5,FALSE()))*1440</f>
        <v>540</v>
      </c>
      <c r="K667" s="3">
        <f>(G667-VLOOKUP($A667,Runs!$A$2:$E$9,5,FALSE()))*1440</f>
        <v>721.53333331458271</v>
      </c>
    </row>
    <row r="668" spans="1:11" ht="15" customHeight="1" x14ac:dyDescent="0.25">
      <c r="A668" t="s">
        <v>7</v>
      </c>
      <c r="B668">
        <v>3</v>
      </c>
      <c r="C668" t="s">
        <v>189</v>
      </c>
      <c r="D668" t="s">
        <v>85</v>
      </c>
      <c r="E668" t="s">
        <v>185</v>
      </c>
      <c r="F668" s="12">
        <v>45667.125</v>
      </c>
      <c r="G668" s="12">
        <v>45667.502129629604</v>
      </c>
      <c r="H668" t="str">
        <f t="shared" si="20"/>
        <v>FT</v>
      </c>
      <c r="I668" t="str">
        <f t="shared" si="21"/>
        <v>FT</v>
      </c>
      <c r="J668" s="3">
        <f>(F668-VLOOKUP($A668,Runs!$A$2:$E$9,5,FALSE()))*1440</f>
        <v>180</v>
      </c>
      <c r="K668" s="3">
        <f>(G668-VLOOKUP($A668,Runs!$A$2:$E$9,5,FALSE()))*1440</f>
        <v>723.06666662916541</v>
      </c>
    </row>
    <row r="669" spans="1:11" ht="15" customHeight="1" x14ac:dyDescent="0.25">
      <c r="A669" t="s">
        <v>7</v>
      </c>
      <c r="B669">
        <v>7</v>
      </c>
      <c r="C669" t="s">
        <v>143</v>
      </c>
      <c r="D669" t="s">
        <v>85</v>
      </c>
      <c r="E669" t="s">
        <v>86</v>
      </c>
      <c r="F669" s="12">
        <v>45667.375</v>
      </c>
      <c r="G669" s="12">
        <v>45667.523194444497</v>
      </c>
      <c r="H669" t="str">
        <f t="shared" si="20"/>
        <v>BOSP</v>
      </c>
      <c r="I669" t="str">
        <f t="shared" si="21"/>
        <v>BOSP</v>
      </c>
      <c r="J669" s="3">
        <f>(F669-VLOOKUP($A669,Runs!$A$2:$E$9,5,FALSE()))*1440</f>
        <v>540</v>
      </c>
      <c r="K669" s="3">
        <f>(G669-VLOOKUP($A669,Runs!$A$2:$E$9,5,FALSE()))*1440</f>
        <v>753.400000075344</v>
      </c>
    </row>
    <row r="670" spans="1:11" ht="15" customHeight="1" x14ac:dyDescent="0.25">
      <c r="A670" t="s">
        <v>7</v>
      </c>
      <c r="B670">
        <v>2</v>
      </c>
      <c r="C670" t="s">
        <v>110</v>
      </c>
      <c r="D670" t="s">
        <v>85</v>
      </c>
      <c r="E670" t="s">
        <v>100</v>
      </c>
      <c r="F670" s="12">
        <v>45667.0625</v>
      </c>
      <c r="G670" s="12">
        <v>45667.524259259299</v>
      </c>
      <c r="H670" t="str">
        <f t="shared" si="20"/>
        <v>BSA</v>
      </c>
      <c r="I670" t="str">
        <f t="shared" si="21"/>
        <v>BSA</v>
      </c>
      <c r="J670" s="3">
        <f>(F670-VLOOKUP($A670,Runs!$A$2:$E$9,5,FALSE()))*1440</f>
        <v>90</v>
      </c>
      <c r="K670" s="3">
        <f>(G670-VLOOKUP($A670,Runs!$A$2:$E$9,5,FALSE()))*1440</f>
        <v>754.9333333899267</v>
      </c>
    </row>
    <row r="671" spans="1:11" ht="15" customHeight="1" x14ac:dyDescent="0.25">
      <c r="A671" t="s">
        <v>7</v>
      </c>
      <c r="B671">
        <v>3</v>
      </c>
      <c r="C671" t="s">
        <v>190</v>
      </c>
      <c r="D671" t="s">
        <v>85</v>
      </c>
      <c r="E671" t="s">
        <v>185</v>
      </c>
      <c r="F671" s="12">
        <v>45667.125</v>
      </c>
      <c r="G671" s="12">
        <v>45667.545162037</v>
      </c>
      <c r="H671" t="str">
        <f t="shared" si="20"/>
        <v>FT</v>
      </c>
      <c r="I671" t="str">
        <f t="shared" si="21"/>
        <v>FT</v>
      </c>
      <c r="J671" s="3">
        <f>(F671-VLOOKUP($A671,Runs!$A$2:$E$9,5,FALSE()))*1440</f>
        <v>180</v>
      </c>
      <c r="K671" s="3">
        <f>(G671-VLOOKUP($A671,Runs!$A$2:$E$9,5,FALSE()))*1440</f>
        <v>785.03333328058943</v>
      </c>
    </row>
    <row r="672" spans="1:11" ht="15" customHeight="1" x14ac:dyDescent="0.25">
      <c r="A672" t="s">
        <v>7</v>
      </c>
      <c r="B672">
        <v>8</v>
      </c>
      <c r="C672" t="s">
        <v>150</v>
      </c>
      <c r="D672" t="s">
        <v>85</v>
      </c>
      <c r="E672" t="s">
        <v>178</v>
      </c>
      <c r="F672" s="12">
        <v>45667.4375</v>
      </c>
      <c r="G672" s="12">
        <v>45667.563564814802</v>
      </c>
      <c r="H672" t="str">
        <f t="shared" si="20"/>
        <v>BOSP</v>
      </c>
      <c r="I672" t="str">
        <f t="shared" si="21"/>
        <v>BOSP</v>
      </c>
      <c r="J672" s="3">
        <f>(F672-VLOOKUP($A672,Runs!$A$2:$E$9,5,FALSE()))*1440</f>
        <v>630</v>
      </c>
      <c r="K672" s="3">
        <f>(G672-VLOOKUP($A672,Runs!$A$2:$E$9,5,FALSE()))*1440</f>
        <v>811.53333331458271</v>
      </c>
    </row>
    <row r="673" spans="1:11" ht="15" customHeight="1" x14ac:dyDescent="0.25">
      <c r="A673" t="s">
        <v>7</v>
      </c>
      <c r="B673">
        <v>2</v>
      </c>
      <c r="C673" t="s">
        <v>112</v>
      </c>
      <c r="D673" t="s">
        <v>85</v>
      </c>
      <c r="E673" t="s">
        <v>100</v>
      </c>
      <c r="F673" s="12">
        <v>45667.0625</v>
      </c>
      <c r="G673" s="12">
        <v>45667.564629629604</v>
      </c>
      <c r="H673" t="str">
        <f t="shared" si="20"/>
        <v>BSA</v>
      </c>
      <c r="I673" t="str">
        <f t="shared" si="21"/>
        <v>BSA</v>
      </c>
      <c r="J673" s="3">
        <f>(F673-VLOOKUP($A673,Runs!$A$2:$E$9,5,FALSE()))*1440</f>
        <v>90</v>
      </c>
      <c r="K673" s="3">
        <f>(G673-VLOOKUP($A673,Runs!$A$2:$E$9,5,FALSE()))*1440</f>
        <v>813.06666662916541</v>
      </c>
    </row>
    <row r="674" spans="1:11" ht="15" customHeight="1" x14ac:dyDescent="0.25">
      <c r="A674" t="s">
        <v>7</v>
      </c>
      <c r="B674">
        <v>8</v>
      </c>
      <c r="C674" t="s">
        <v>152</v>
      </c>
      <c r="D674" t="s">
        <v>85</v>
      </c>
      <c r="E674" t="s">
        <v>178</v>
      </c>
      <c r="F674" s="12">
        <v>45667.4375</v>
      </c>
      <c r="G674" s="12">
        <v>45667.584398148101</v>
      </c>
      <c r="H674" t="str">
        <f t="shared" si="20"/>
        <v>BOSP</v>
      </c>
      <c r="I674" t="str">
        <f t="shared" si="21"/>
        <v>BOSP</v>
      </c>
      <c r="J674" s="3">
        <f>(F674-VLOOKUP($A674,Runs!$A$2:$E$9,5,FALSE()))*1440</f>
        <v>630</v>
      </c>
      <c r="K674" s="3">
        <f>(G674-VLOOKUP($A674,Runs!$A$2:$E$9,5,FALSE()))*1440</f>
        <v>841.53333326568827</v>
      </c>
    </row>
    <row r="675" spans="1:11" ht="15" customHeight="1" x14ac:dyDescent="0.25">
      <c r="A675" t="s">
        <v>7</v>
      </c>
      <c r="B675">
        <v>2</v>
      </c>
      <c r="C675" t="s">
        <v>115</v>
      </c>
      <c r="D675" t="s">
        <v>85</v>
      </c>
      <c r="E675" t="s">
        <v>106</v>
      </c>
      <c r="F675" s="12">
        <v>45667.0625</v>
      </c>
      <c r="G675" s="12">
        <v>45667.585462962998</v>
      </c>
      <c r="H675" t="str">
        <f t="shared" si="20"/>
        <v>RAX_RD</v>
      </c>
      <c r="I675" t="str">
        <f t="shared" si="21"/>
        <v>RAX_RD</v>
      </c>
      <c r="J675" s="3">
        <f>(F675-VLOOKUP($A675,Runs!$A$2:$E$9,5,FALSE()))*1440</f>
        <v>90</v>
      </c>
      <c r="K675" s="3">
        <f>(G675-VLOOKUP($A675,Runs!$A$2:$E$9,5,FALSE()))*1440</f>
        <v>843.0666667164769</v>
      </c>
    </row>
    <row r="676" spans="1:11" ht="15" customHeight="1" x14ac:dyDescent="0.25">
      <c r="A676" t="s">
        <v>7</v>
      </c>
      <c r="B676">
        <v>5</v>
      </c>
      <c r="C676" t="s">
        <v>127</v>
      </c>
      <c r="D676" t="s">
        <v>85</v>
      </c>
      <c r="E676" t="s">
        <v>128</v>
      </c>
      <c r="F676" s="12">
        <v>45667.25</v>
      </c>
      <c r="G676" s="12">
        <v>45667.604768518497</v>
      </c>
      <c r="H676" t="str">
        <f t="shared" si="20"/>
        <v>RT</v>
      </c>
      <c r="I676" t="str">
        <f t="shared" si="21"/>
        <v>RT</v>
      </c>
      <c r="J676" s="3">
        <f>(F676-VLOOKUP($A676,Runs!$A$2:$E$9,5,FALSE()))*1440</f>
        <v>360</v>
      </c>
      <c r="K676" s="3">
        <f>(G676-VLOOKUP($A676,Runs!$A$2:$E$9,5,FALSE()))*1440</f>
        <v>870.86666663526557</v>
      </c>
    </row>
    <row r="677" spans="1:11" ht="15" customHeight="1" x14ac:dyDescent="0.25">
      <c r="A677" t="s">
        <v>7</v>
      </c>
      <c r="B677">
        <v>8</v>
      </c>
      <c r="C677" t="s">
        <v>156</v>
      </c>
      <c r="D677" t="s">
        <v>85</v>
      </c>
      <c r="E677" t="s">
        <v>180</v>
      </c>
      <c r="F677" s="12">
        <v>45667.4375</v>
      </c>
      <c r="G677" s="12">
        <v>45667.627361111103</v>
      </c>
      <c r="H677" t="str">
        <f t="shared" si="20"/>
        <v>BAT</v>
      </c>
      <c r="I677" t="str">
        <f t="shared" si="21"/>
        <v>BAT</v>
      </c>
      <c r="J677" s="3">
        <f>(F677-VLOOKUP($A677,Runs!$A$2:$E$9,5,FALSE()))*1440</f>
        <v>630</v>
      </c>
      <c r="K677" s="3">
        <f>(G677-VLOOKUP($A677,Runs!$A$2:$E$9,5,FALSE()))*1440</f>
        <v>903.3999999880325</v>
      </c>
    </row>
    <row r="678" spans="1:11" ht="15" customHeight="1" x14ac:dyDescent="0.25">
      <c r="A678" t="s">
        <v>7</v>
      </c>
      <c r="B678">
        <v>9</v>
      </c>
      <c r="C678" t="s">
        <v>165</v>
      </c>
      <c r="D678" t="s">
        <v>85</v>
      </c>
      <c r="E678" t="s">
        <v>86</v>
      </c>
      <c r="F678" s="12">
        <v>45667.5</v>
      </c>
      <c r="G678" s="12">
        <v>45667.667731481502</v>
      </c>
      <c r="H678" t="str">
        <f t="shared" si="20"/>
        <v>BOSP</v>
      </c>
      <c r="I678" t="str">
        <f t="shared" si="21"/>
        <v>BOSP</v>
      </c>
      <c r="J678" s="3">
        <f>(F678-VLOOKUP($A678,Runs!$A$2:$E$9,5,FALSE()))*1440</f>
        <v>720</v>
      </c>
      <c r="K678" s="3">
        <f>(G678-VLOOKUP($A678,Runs!$A$2:$E$9,5,FALSE()))*1440</f>
        <v>961.53333336347714</v>
      </c>
    </row>
    <row r="679" spans="1:11" ht="15" customHeight="1" x14ac:dyDescent="0.25">
      <c r="A679" t="s">
        <v>7</v>
      </c>
      <c r="B679">
        <v>5</v>
      </c>
      <c r="C679" t="s">
        <v>129</v>
      </c>
      <c r="D679" t="s">
        <v>85</v>
      </c>
      <c r="E679" t="s">
        <v>128</v>
      </c>
      <c r="F679" s="12">
        <v>45667.25</v>
      </c>
      <c r="G679" s="12">
        <v>45667.668796296297</v>
      </c>
      <c r="H679" t="str">
        <f t="shared" si="20"/>
        <v>RT</v>
      </c>
      <c r="I679" t="str">
        <f t="shared" si="21"/>
        <v>RT</v>
      </c>
      <c r="J679" s="3">
        <f>(F679-VLOOKUP($A679,Runs!$A$2:$E$9,5,FALSE()))*1440</f>
        <v>360</v>
      </c>
      <c r="K679" s="3">
        <f>(G679-VLOOKUP($A679,Runs!$A$2:$E$9,5,FALSE()))*1440</f>
        <v>963.06666666758247</v>
      </c>
    </row>
    <row r="680" spans="1:11" ht="15" customHeight="1" x14ac:dyDescent="0.25">
      <c r="A680" t="s">
        <v>7</v>
      </c>
      <c r="B680">
        <v>9</v>
      </c>
      <c r="C680" t="s">
        <v>166</v>
      </c>
      <c r="D680" t="s">
        <v>85</v>
      </c>
      <c r="E680" t="s">
        <v>86</v>
      </c>
      <c r="F680" s="12">
        <v>45667.5</v>
      </c>
      <c r="G680" s="12">
        <v>45667.690486111103</v>
      </c>
      <c r="H680" t="str">
        <f t="shared" si="20"/>
        <v>BOSP</v>
      </c>
      <c r="I680" t="str">
        <f t="shared" si="21"/>
        <v>BOSP</v>
      </c>
      <c r="J680" s="3">
        <f>(F680-VLOOKUP($A680,Runs!$A$2:$E$9,5,FALSE()))*1440</f>
        <v>720</v>
      </c>
      <c r="K680" s="3">
        <f>(G680-VLOOKUP($A680,Runs!$A$2:$E$9,5,FALSE()))*1440</f>
        <v>994.2999999888707</v>
      </c>
    </row>
    <row r="681" spans="1:11" ht="15" customHeight="1" x14ac:dyDescent="0.25">
      <c r="A681" t="s">
        <v>7</v>
      </c>
      <c r="B681">
        <v>5</v>
      </c>
      <c r="C681" t="s">
        <v>130</v>
      </c>
      <c r="D681" t="s">
        <v>85</v>
      </c>
      <c r="E681" t="s">
        <v>131</v>
      </c>
      <c r="F681" s="12">
        <v>45667.25</v>
      </c>
      <c r="G681" s="12">
        <v>45667.709398148101</v>
      </c>
      <c r="H681" t="str">
        <f t="shared" si="20"/>
        <v>FT</v>
      </c>
      <c r="I681" t="str">
        <f t="shared" si="21"/>
        <v>FT</v>
      </c>
      <c r="J681" s="3">
        <f>(F681-VLOOKUP($A681,Runs!$A$2:$E$9,5,FALSE()))*1440</f>
        <v>360</v>
      </c>
      <c r="K681" s="3">
        <f>(G681-VLOOKUP($A681,Runs!$A$2:$E$9,5,FALSE()))*1440</f>
        <v>1021.5333332656883</v>
      </c>
    </row>
    <row r="682" spans="1:11" ht="15" customHeight="1" x14ac:dyDescent="0.25">
      <c r="A682" t="s">
        <v>7</v>
      </c>
      <c r="B682">
        <v>5</v>
      </c>
      <c r="C682" t="s">
        <v>132</v>
      </c>
      <c r="D682" t="s">
        <v>85</v>
      </c>
      <c r="E682" t="s">
        <v>131</v>
      </c>
      <c r="F682" s="12">
        <v>45667.25</v>
      </c>
      <c r="G682" s="12">
        <v>45667.753379629597</v>
      </c>
      <c r="H682" t="str">
        <f t="shared" si="20"/>
        <v>FT</v>
      </c>
      <c r="I682" t="str">
        <f t="shared" si="21"/>
        <v>FT</v>
      </c>
      <c r="J682" s="3">
        <f>(F682-VLOOKUP($A682,Runs!$A$2:$E$9,5,FALSE()))*1440</f>
        <v>360</v>
      </c>
      <c r="K682" s="3">
        <f>(G682-VLOOKUP($A682,Runs!$A$2:$E$9,5,FALSE()))*1440</f>
        <v>1084.8666666203644</v>
      </c>
    </row>
    <row r="683" spans="1:11" ht="15" customHeight="1" x14ac:dyDescent="0.25">
      <c r="A683" t="s">
        <v>7</v>
      </c>
      <c r="B683">
        <v>3</v>
      </c>
      <c r="C683" t="s">
        <v>195</v>
      </c>
      <c r="D683" t="s">
        <v>85</v>
      </c>
      <c r="E683" t="s">
        <v>192</v>
      </c>
      <c r="F683" s="12">
        <v>45667.125</v>
      </c>
      <c r="G683" s="12">
        <v>45667.754444444399</v>
      </c>
      <c r="H683" t="str">
        <f t="shared" si="20"/>
        <v>SSA</v>
      </c>
      <c r="I683" t="str">
        <f t="shared" si="21"/>
        <v>SSA</v>
      </c>
      <c r="J683" s="3">
        <f>(F683-VLOOKUP($A683,Runs!$A$2:$E$9,5,FALSE()))*1440</f>
        <v>180</v>
      </c>
      <c r="K683" s="3">
        <f>(G683-VLOOKUP($A683,Runs!$A$2:$E$9,5,FALSE()))*1440</f>
        <v>1086.3999999349471</v>
      </c>
    </row>
    <row r="684" spans="1:11" ht="15" customHeight="1" x14ac:dyDescent="0.25">
      <c r="A684" t="s">
        <v>7</v>
      </c>
      <c r="B684">
        <v>3</v>
      </c>
      <c r="C684" t="s">
        <v>209</v>
      </c>
      <c r="D684" t="s">
        <v>85</v>
      </c>
      <c r="E684" t="s">
        <v>203</v>
      </c>
      <c r="F684" s="12">
        <v>45667.125</v>
      </c>
      <c r="G684" s="12">
        <v>45667.794027777803</v>
      </c>
      <c r="H684" t="str">
        <f t="shared" si="20"/>
        <v>CHS</v>
      </c>
      <c r="I684" t="str">
        <f t="shared" si="21"/>
        <v>CHS</v>
      </c>
      <c r="J684" s="3">
        <f>(F684-VLOOKUP($A684,Runs!$A$2:$E$9,5,FALSE()))*1440</f>
        <v>180</v>
      </c>
      <c r="K684" s="3">
        <f>(G684-VLOOKUP($A684,Runs!$A$2:$E$9,5,FALSE()))*1440</f>
        <v>1143.4000000369269</v>
      </c>
    </row>
    <row r="685" spans="1:11" ht="15" customHeight="1" x14ac:dyDescent="0.25">
      <c r="A685" t="s">
        <v>7</v>
      </c>
      <c r="B685">
        <v>3</v>
      </c>
      <c r="C685" t="s">
        <v>201</v>
      </c>
      <c r="D685" t="s">
        <v>85</v>
      </c>
      <c r="E685" t="s">
        <v>192</v>
      </c>
      <c r="F685" s="12">
        <v>45667.125</v>
      </c>
      <c r="G685" s="12">
        <v>45667.795092592598</v>
      </c>
      <c r="H685" t="str">
        <f t="shared" si="20"/>
        <v>SSA</v>
      </c>
      <c r="I685" t="str">
        <f t="shared" si="21"/>
        <v>SSA</v>
      </c>
      <c r="J685" s="3">
        <f>(F685-VLOOKUP($A685,Runs!$A$2:$E$9,5,FALSE()))*1440</f>
        <v>180</v>
      </c>
      <c r="K685" s="3">
        <f>(G685-VLOOKUP($A685,Runs!$A$2:$E$9,5,FALSE()))*1440</f>
        <v>1144.9333333410323</v>
      </c>
    </row>
    <row r="686" spans="1:11" ht="15" customHeight="1" x14ac:dyDescent="0.25">
      <c r="A686" t="s">
        <v>7</v>
      </c>
      <c r="B686">
        <v>4</v>
      </c>
      <c r="C686" t="s">
        <v>117</v>
      </c>
      <c r="D686" t="s">
        <v>85</v>
      </c>
      <c r="E686" t="s">
        <v>118</v>
      </c>
      <c r="F686" s="12">
        <v>45667.1875</v>
      </c>
      <c r="G686" s="12">
        <v>45667.813564814802</v>
      </c>
      <c r="H686" t="str">
        <f t="shared" si="20"/>
        <v>RT</v>
      </c>
      <c r="I686" t="str">
        <f t="shared" si="21"/>
        <v>RT</v>
      </c>
      <c r="J686" s="3">
        <f>(F686-VLOOKUP($A686,Runs!$A$2:$E$9,5,FALSE()))*1440</f>
        <v>270</v>
      </c>
      <c r="K686" s="3">
        <f>(G686-VLOOKUP($A686,Runs!$A$2:$E$9,5,FALSE()))*1440</f>
        <v>1171.5333333145827</v>
      </c>
    </row>
    <row r="687" spans="1:11" ht="15" customHeight="1" x14ac:dyDescent="0.25">
      <c r="A687" t="s">
        <v>7</v>
      </c>
      <c r="B687">
        <v>3</v>
      </c>
      <c r="C687" t="s">
        <v>204</v>
      </c>
      <c r="D687" t="s">
        <v>85</v>
      </c>
      <c r="E687" t="s">
        <v>197</v>
      </c>
      <c r="F687" s="12">
        <v>45667.125</v>
      </c>
      <c r="G687" s="12">
        <v>45667.814629629604</v>
      </c>
      <c r="H687" t="str">
        <f t="shared" si="20"/>
        <v>FAX</v>
      </c>
      <c r="I687" t="str">
        <f t="shared" si="21"/>
        <v>FAX</v>
      </c>
      <c r="J687" s="3">
        <f>(F687-VLOOKUP($A687,Runs!$A$2:$E$9,5,FALSE()))*1440</f>
        <v>180</v>
      </c>
      <c r="K687" s="3">
        <f>(G687-VLOOKUP($A687,Runs!$A$2:$E$9,5,FALSE()))*1440</f>
        <v>1173.0666666291654</v>
      </c>
    </row>
    <row r="688" spans="1:11" ht="15" customHeight="1" x14ac:dyDescent="0.25">
      <c r="A688" t="s">
        <v>7</v>
      </c>
      <c r="B688">
        <v>4</v>
      </c>
      <c r="C688" t="s">
        <v>119</v>
      </c>
      <c r="D688" t="s">
        <v>85</v>
      </c>
      <c r="E688" t="s">
        <v>118</v>
      </c>
      <c r="F688" s="12">
        <v>45667.1875</v>
      </c>
      <c r="G688" s="12">
        <v>45667.855231481502</v>
      </c>
      <c r="H688" t="str">
        <f t="shared" si="20"/>
        <v>RT</v>
      </c>
      <c r="I688" t="str">
        <f t="shared" si="21"/>
        <v>RT</v>
      </c>
      <c r="J688" s="3">
        <f>(F688-VLOOKUP($A688,Runs!$A$2:$E$9,5,FALSE()))*1440</f>
        <v>270</v>
      </c>
      <c r="K688" s="3">
        <f>(G688-VLOOKUP($A688,Runs!$A$2:$E$9,5,FALSE()))*1440</f>
        <v>1231.5333333634771</v>
      </c>
    </row>
    <row r="689" spans="1:11" ht="15" customHeight="1" x14ac:dyDescent="0.25">
      <c r="A689" t="s">
        <v>7</v>
      </c>
      <c r="B689">
        <v>5</v>
      </c>
      <c r="C689" t="s">
        <v>135</v>
      </c>
      <c r="D689" t="s">
        <v>85</v>
      </c>
      <c r="E689" t="s">
        <v>136</v>
      </c>
      <c r="F689" s="12">
        <v>45667.25</v>
      </c>
      <c r="G689" s="12">
        <v>45667.856296296297</v>
      </c>
      <c r="H689" t="str">
        <f t="shared" si="20"/>
        <v>SSA</v>
      </c>
      <c r="I689" t="str">
        <f t="shared" si="21"/>
        <v>SSA</v>
      </c>
      <c r="J689" s="3">
        <f>(F689-VLOOKUP($A689,Runs!$A$2:$E$9,5,FALSE()))*1440</f>
        <v>360</v>
      </c>
      <c r="K689" s="3">
        <f>(G689-VLOOKUP($A689,Runs!$A$2:$E$9,5,FALSE()))*1440</f>
        <v>1233.0666666675825</v>
      </c>
    </row>
    <row r="690" spans="1:11" ht="15" customHeight="1" x14ac:dyDescent="0.25">
      <c r="A690" t="s">
        <v>7</v>
      </c>
      <c r="B690">
        <v>4</v>
      </c>
      <c r="C690" t="s">
        <v>120</v>
      </c>
      <c r="D690" t="s">
        <v>85</v>
      </c>
      <c r="E690" t="s">
        <v>121</v>
      </c>
      <c r="F690" s="12">
        <v>45667.1875</v>
      </c>
      <c r="G690" s="12">
        <v>45667.896898148101</v>
      </c>
      <c r="H690" t="str">
        <f t="shared" si="20"/>
        <v>FT</v>
      </c>
      <c r="I690" t="str">
        <f t="shared" si="21"/>
        <v>FT</v>
      </c>
      <c r="J690" s="3">
        <f>(F690-VLOOKUP($A690,Runs!$A$2:$E$9,5,FALSE()))*1440</f>
        <v>270</v>
      </c>
      <c r="K690" s="3">
        <f>(G690-VLOOKUP($A690,Runs!$A$2:$E$9,5,FALSE()))*1440</f>
        <v>1291.5333332656883</v>
      </c>
    </row>
    <row r="691" spans="1:11" ht="15" customHeight="1" x14ac:dyDescent="0.25">
      <c r="A691" t="s">
        <v>7</v>
      </c>
      <c r="B691">
        <v>5</v>
      </c>
      <c r="C691" t="s">
        <v>139</v>
      </c>
      <c r="D691" t="s">
        <v>85</v>
      </c>
      <c r="E691" t="s">
        <v>136</v>
      </c>
      <c r="F691" s="12">
        <v>45667.25</v>
      </c>
      <c r="G691" s="12">
        <v>45667.917731481502</v>
      </c>
      <c r="H691" t="str">
        <f t="shared" si="20"/>
        <v>SSA</v>
      </c>
      <c r="I691" t="str">
        <f t="shared" si="21"/>
        <v>SSA</v>
      </c>
      <c r="J691" s="3">
        <f>(F691-VLOOKUP($A691,Runs!$A$2:$E$9,5,FALSE()))*1440</f>
        <v>360</v>
      </c>
      <c r="K691" s="3">
        <f>(G691-VLOOKUP($A691,Runs!$A$2:$E$9,5,FALSE()))*1440</f>
        <v>1321.5333333634771</v>
      </c>
    </row>
    <row r="692" spans="1:11" ht="15" customHeight="1" x14ac:dyDescent="0.25">
      <c r="A692" t="s">
        <v>7</v>
      </c>
      <c r="B692">
        <v>4</v>
      </c>
      <c r="C692" t="s">
        <v>124</v>
      </c>
      <c r="D692" t="s">
        <v>85</v>
      </c>
      <c r="E692" t="s">
        <v>121</v>
      </c>
      <c r="F692" s="12">
        <v>45667.1875</v>
      </c>
      <c r="G692" s="12">
        <v>45667.938564814802</v>
      </c>
      <c r="H692" t="str">
        <f t="shared" si="20"/>
        <v>FT</v>
      </c>
      <c r="I692" t="str">
        <f t="shared" si="21"/>
        <v>FT</v>
      </c>
      <c r="J692" s="3">
        <f>(F692-VLOOKUP($A692,Runs!$A$2:$E$9,5,FALSE()))*1440</f>
        <v>270</v>
      </c>
      <c r="K692" s="3">
        <f>(G692-VLOOKUP($A692,Runs!$A$2:$E$9,5,FALSE()))*1440</f>
        <v>1351.5333333145827</v>
      </c>
    </row>
    <row r="693" spans="1:11" ht="15" customHeight="1" x14ac:dyDescent="0.25">
      <c r="A693" t="s">
        <v>7</v>
      </c>
      <c r="B693">
        <v>4</v>
      </c>
      <c r="C693" t="s">
        <v>125</v>
      </c>
      <c r="D693" t="s">
        <v>85</v>
      </c>
      <c r="E693" t="s">
        <v>126</v>
      </c>
      <c r="F693" s="12">
        <v>45667.1875</v>
      </c>
      <c r="G693" s="12">
        <v>45667.959398148101</v>
      </c>
      <c r="H693" t="str">
        <f t="shared" si="20"/>
        <v>CRE</v>
      </c>
      <c r="I693" t="str">
        <f t="shared" si="21"/>
        <v>CRE</v>
      </c>
      <c r="J693" s="3">
        <f>(F693-VLOOKUP($A693,Runs!$A$2:$E$9,5,FALSE()))*1440</f>
        <v>270</v>
      </c>
      <c r="K693" s="3">
        <f>(G693-VLOOKUP($A693,Runs!$A$2:$E$9,5,FALSE()))*1440</f>
        <v>1381.5333332656883</v>
      </c>
    </row>
    <row r="694" spans="1:11" ht="15" customHeight="1" x14ac:dyDescent="0.25">
      <c r="A694" t="s">
        <v>7</v>
      </c>
      <c r="B694">
        <v>5</v>
      </c>
      <c r="C694" t="s">
        <v>141</v>
      </c>
      <c r="D694" t="s">
        <v>85</v>
      </c>
      <c r="E694" t="s">
        <v>142</v>
      </c>
      <c r="F694" s="12">
        <v>45667.25</v>
      </c>
      <c r="G694" s="12">
        <v>45667.960462962998</v>
      </c>
      <c r="H694" t="str">
        <f t="shared" si="20"/>
        <v>BSA</v>
      </c>
      <c r="I694" t="str">
        <f t="shared" si="21"/>
        <v>BSA</v>
      </c>
      <c r="J694" s="3">
        <f>(F694-VLOOKUP($A694,Runs!$A$2:$E$9,5,FALSE()))*1440</f>
        <v>360</v>
      </c>
      <c r="K694" s="3">
        <f>(G694-VLOOKUP($A694,Runs!$A$2:$E$9,5,FALSE()))*1440</f>
        <v>1383.0666667164769</v>
      </c>
    </row>
    <row r="695" spans="1:11" ht="15" customHeight="1" x14ac:dyDescent="0.25">
      <c r="A695" t="s">
        <v>7</v>
      </c>
      <c r="B695">
        <v>6</v>
      </c>
      <c r="C695" t="s">
        <v>137</v>
      </c>
      <c r="D695" t="s">
        <v>85</v>
      </c>
      <c r="E695" t="s">
        <v>181</v>
      </c>
      <c r="F695" s="12">
        <v>45667.3125</v>
      </c>
      <c r="G695" s="12">
        <v>45668.001064814802</v>
      </c>
      <c r="H695" t="str">
        <f t="shared" si="20"/>
        <v>RT</v>
      </c>
      <c r="I695" t="str">
        <f t="shared" si="21"/>
        <v>RT</v>
      </c>
      <c r="J695" s="3">
        <f>(F695-VLOOKUP($A695,Runs!$A$2:$E$9,5,FALSE()))*1440</f>
        <v>450</v>
      </c>
      <c r="K695" s="3">
        <f>(G695-VLOOKUP($A695,Runs!$A$2:$E$9,5,FALSE()))*1440</f>
        <v>1441.5333333145827</v>
      </c>
    </row>
    <row r="696" spans="1:11" ht="15" customHeight="1" x14ac:dyDescent="0.25">
      <c r="A696" t="s">
        <v>7</v>
      </c>
      <c r="B696">
        <v>5</v>
      </c>
      <c r="C696" t="s">
        <v>146</v>
      </c>
      <c r="D696" t="s">
        <v>85</v>
      </c>
      <c r="E696" t="s">
        <v>142</v>
      </c>
      <c r="F696" s="12">
        <v>45667.25</v>
      </c>
      <c r="G696" s="12">
        <v>45668.002129629604</v>
      </c>
      <c r="H696" t="str">
        <f t="shared" si="20"/>
        <v>BSA</v>
      </c>
      <c r="I696" t="str">
        <f t="shared" si="21"/>
        <v>BSA</v>
      </c>
      <c r="J696" s="3">
        <f>(F696-VLOOKUP($A696,Runs!$A$2:$E$9,5,FALSE()))*1440</f>
        <v>360</v>
      </c>
      <c r="K696" s="3">
        <f>(G696-VLOOKUP($A696,Runs!$A$2:$E$9,5,FALSE()))*1440</f>
        <v>1443.0666666291654</v>
      </c>
    </row>
    <row r="697" spans="1:11" ht="15" customHeight="1" x14ac:dyDescent="0.25">
      <c r="A697" t="s">
        <v>7</v>
      </c>
      <c r="B697">
        <v>5</v>
      </c>
      <c r="C697" t="s">
        <v>148</v>
      </c>
      <c r="D697" t="s">
        <v>85</v>
      </c>
      <c r="E697" t="s">
        <v>149</v>
      </c>
      <c r="F697" s="12">
        <v>45667.25</v>
      </c>
      <c r="G697" s="12">
        <v>45668.021898148101</v>
      </c>
      <c r="H697" t="str">
        <f t="shared" si="20"/>
        <v>CSEB-NABS</v>
      </c>
      <c r="I697" t="str">
        <f t="shared" si="21"/>
        <v>CSEB-NABS</v>
      </c>
      <c r="J697" s="3">
        <f>(F697-VLOOKUP($A697,Runs!$A$2:$E$9,5,FALSE()))*1440</f>
        <v>360</v>
      </c>
      <c r="K697" s="3">
        <f>(G697-VLOOKUP($A697,Runs!$A$2:$E$9,5,FALSE()))*1440</f>
        <v>1471.5333332656883</v>
      </c>
    </row>
    <row r="698" spans="1:11" ht="15" customHeight="1" x14ac:dyDescent="0.25">
      <c r="A698" t="s">
        <v>7</v>
      </c>
      <c r="B698">
        <v>3</v>
      </c>
      <c r="C698" t="s">
        <v>116</v>
      </c>
      <c r="D698" t="s">
        <v>85</v>
      </c>
      <c r="E698" t="s">
        <v>206</v>
      </c>
      <c r="F698" s="12">
        <v>45667.125</v>
      </c>
      <c r="G698" s="12">
        <v>45668.042731481502</v>
      </c>
      <c r="H698" t="str">
        <f t="shared" si="20"/>
        <v>BSA</v>
      </c>
      <c r="I698" t="str">
        <f t="shared" si="21"/>
        <v>BSA</v>
      </c>
      <c r="J698" s="3">
        <f>(F698-VLOOKUP($A698,Runs!$A$2:$E$9,5,FALSE()))*1440</f>
        <v>180</v>
      </c>
      <c r="K698" s="3">
        <f>(G698-VLOOKUP($A698,Runs!$A$2:$E$9,5,FALSE()))*1440</f>
        <v>1501.5333333634771</v>
      </c>
    </row>
    <row r="699" spans="1:11" ht="15" customHeight="1" x14ac:dyDescent="0.25">
      <c r="A699" t="s">
        <v>7</v>
      </c>
      <c r="B699">
        <v>6</v>
      </c>
      <c r="C699" t="s">
        <v>138</v>
      </c>
      <c r="D699" t="s">
        <v>85</v>
      </c>
      <c r="E699" t="s">
        <v>181</v>
      </c>
      <c r="F699" s="12">
        <v>45667.3125</v>
      </c>
      <c r="G699" s="12">
        <v>45668.063564814802</v>
      </c>
      <c r="H699" t="str">
        <f t="shared" si="20"/>
        <v>RT</v>
      </c>
      <c r="I699" t="str">
        <f t="shared" si="21"/>
        <v>RT</v>
      </c>
      <c r="J699" s="3">
        <f>(F699-VLOOKUP($A699,Runs!$A$2:$E$9,5,FALSE()))*1440</f>
        <v>450</v>
      </c>
      <c r="K699" s="3">
        <f>(G699-VLOOKUP($A699,Runs!$A$2:$E$9,5,FALSE()))*1440</f>
        <v>1531.5333333145827</v>
      </c>
    </row>
    <row r="700" spans="1:11" ht="15" customHeight="1" x14ac:dyDescent="0.25">
      <c r="A700" t="s">
        <v>7</v>
      </c>
      <c r="B700">
        <v>3</v>
      </c>
      <c r="C700" t="s">
        <v>122</v>
      </c>
      <c r="D700" t="s">
        <v>85</v>
      </c>
      <c r="E700" t="s">
        <v>206</v>
      </c>
      <c r="F700" s="12">
        <v>45667.125</v>
      </c>
      <c r="G700" s="12">
        <v>45668.084398148101</v>
      </c>
      <c r="H700" t="str">
        <f t="shared" si="20"/>
        <v>BSA</v>
      </c>
      <c r="I700" t="str">
        <f t="shared" si="21"/>
        <v>BSA</v>
      </c>
      <c r="J700" s="3">
        <f>(F700-VLOOKUP($A700,Runs!$A$2:$E$9,5,FALSE()))*1440</f>
        <v>180</v>
      </c>
      <c r="K700" s="3">
        <f>(G700-VLOOKUP($A700,Runs!$A$2:$E$9,5,FALSE()))*1440</f>
        <v>1561.5333332656883</v>
      </c>
    </row>
    <row r="701" spans="1:11" ht="15" customHeight="1" x14ac:dyDescent="0.25">
      <c r="A701" t="s">
        <v>7</v>
      </c>
      <c r="B701">
        <v>6</v>
      </c>
      <c r="C701" t="s">
        <v>223</v>
      </c>
      <c r="D701" t="s">
        <v>85</v>
      </c>
      <c r="E701" t="s">
        <v>185</v>
      </c>
      <c r="F701" s="12">
        <v>45667.3125</v>
      </c>
      <c r="G701" s="12">
        <v>45668.105231481502</v>
      </c>
      <c r="H701" t="str">
        <f t="shared" si="20"/>
        <v>FT</v>
      </c>
      <c r="I701" t="str">
        <f t="shared" si="21"/>
        <v>FT</v>
      </c>
      <c r="J701" s="3">
        <f>(F701-VLOOKUP($A701,Runs!$A$2:$E$9,5,FALSE()))*1440</f>
        <v>450</v>
      </c>
      <c r="K701" s="3">
        <f>(G701-VLOOKUP($A701,Runs!$A$2:$E$9,5,FALSE()))*1440</f>
        <v>1591.5333333634771</v>
      </c>
    </row>
    <row r="702" spans="1:11" ht="15" customHeight="1" x14ac:dyDescent="0.25">
      <c r="A702" t="s">
        <v>7</v>
      </c>
      <c r="B702">
        <v>3</v>
      </c>
      <c r="C702" t="s">
        <v>217</v>
      </c>
      <c r="D702" t="s">
        <v>85</v>
      </c>
      <c r="E702" t="s">
        <v>211</v>
      </c>
      <c r="F702" s="12">
        <v>45667.125</v>
      </c>
      <c r="G702" s="12">
        <v>45668.106296296297</v>
      </c>
      <c r="H702" t="str">
        <f t="shared" si="20"/>
        <v>RAX_HD</v>
      </c>
      <c r="I702" t="str">
        <f t="shared" si="21"/>
        <v>RAX_HD</v>
      </c>
      <c r="J702" s="3">
        <f>(F702-VLOOKUP($A702,Runs!$A$2:$E$9,5,FALSE()))*1440</f>
        <v>180</v>
      </c>
      <c r="K702" s="3">
        <f>(G702-VLOOKUP($A702,Runs!$A$2:$E$9,5,FALSE()))*1440</f>
        <v>1593.0666666675825</v>
      </c>
    </row>
    <row r="703" spans="1:11" ht="15" customHeight="1" x14ac:dyDescent="0.25">
      <c r="A703" t="s">
        <v>7</v>
      </c>
      <c r="B703">
        <v>6</v>
      </c>
      <c r="C703" t="s">
        <v>224</v>
      </c>
      <c r="D703" t="s">
        <v>85</v>
      </c>
      <c r="E703" t="s">
        <v>185</v>
      </c>
      <c r="F703" s="12">
        <v>45667.3125</v>
      </c>
      <c r="G703" s="12">
        <v>45668.149212962999</v>
      </c>
      <c r="H703" t="str">
        <f t="shared" si="20"/>
        <v>FT</v>
      </c>
      <c r="I703" t="str">
        <f t="shared" si="21"/>
        <v>FT</v>
      </c>
      <c r="J703" s="3">
        <f>(F703-VLOOKUP($A703,Runs!$A$2:$E$9,5,FALSE()))*1440</f>
        <v>450</v>
      </c>
      <c r="K703" s="3">
        <f>(G703-VLOOKUP($A703,Runs!$A$2:$E$9,5,FALSE()))*1440</f>
        <v>1654.8666667181533</v>
      </c>
    </row>
    <row r="704" spans="1:11" ht="15" customHeight="1" x14ac:dyDescent="0.25">
      <c r="A704" t="s">
        <v>7</v>
      </c>
      <c r="B704">
        <v>7</v>
      </c>
      <c r="C704" t="s">
        <v>144</v>
      </c>
      <c r="D704" t="s">
        <v>85</v>
      </c>
      <c r="E704" t="s">
        <v>89</v>
      </c>
      <c r="F704" s="12">
        <v>45667.375</v>
      </c>
      <c r="G704" s="12">
        <v>45668.209398148101</v>
      </c>
      <c r="H704" t="str">
        <f t="shared" si="20"/>
        <v>RT</v>
      </c>
      <c r="I704" t="str">
        <f t="shared" si="21"/>
        <v>RT</v>
      </c>
      <c r="J704" s="3">
        <f>(F704-VLOOKUP($A704,Runs!$A$2:$E$9,5,FALSE()))*1440</f>
        <v>540</v>
      </c>
      <c r="K704" s="3">
        <f>(G704-VLOOKUP($A704,Runs!$A$2:$E$9,5,FALSE()))*1440</f>
        <v>1741.5333332656883</v>
      </c>
    </row>
    <row r="705" spans="1:11" ht="15" customHeight="1" x14ac:dyDescent="0.25">
      <c r="A705" t="s">
        <v>7</v>
      </c>
      <c r="B705">
        <v>7</v>
      </c>
      <c r="C705" t="s">
        <v>147</v>
      </c>
      <c r="D705" t="s">
        <v>85</v>
      </c>
      <c r="E705" t="s">
        <v>89</v>
      </c>
      <c r="F705" s="12">
        <v>45667.375</v>
      </c>
      <c r="G705" s="12">
        <v>45668.2530555556</v>
      </c>
      <c r="H705" t="str">
        <f t="shared" si="20"/>
        <v>RT</v>
      </c>
      <c r="I705" t="str">
        <f t="shared" si="21"/>
        <v>RT</v>
      </c>
      <c r="J705" s="3">
        <f>(F705-VLOOKUP($A705,Runs!$A$2:$E$9,5,FALSE()))*1440</f>
        <v>540</v>
      </c>
      <c r="K705" s="3">
        <f>(G705-VLOOKUP($A705,Runs!$A$2:$E$9,5,FALSE()))*1440</f>
        <v>1804.4000000646338</v>
      </c>
    </row>
    <row r="706" spans="1:11" ht="15" customHeight="1" x14ac:dyDescent="0.25">
      <c r="A706" t="s">
        <v>7</v>
      </c>
      <c r="B706">
        <v>10</v>
      </c>
      <c r="C706" t="s">
        <v>169</v>
      </c>
      <c r="D706" t="s">
        <v>85</v>
      </c>
      <c r="E706" t="s">
        <v>128</v>
      </c>
      <c r="F706" s="12">
        <v>45667.5625</v>
      </c>
      <c r="G706" s="12">
        <v>45668.3140277778</v>
      </c>
      <c r="H706" t="str">
        <f t="shared" ref="H706:H769" si="22">MID(E706,8,100)</f>
        <v>RT</v>
      </c>
      <c r="I706" t="str">
        <f t="shared" ref="I706:I769" si="23">IF(H706="CORE","CHS",H706)</f>
        <v>RT</v>
      </c>
      <c r="J706" s="3">
        <f>(F706-VLOOKUP($A706,Runs!$A$2:$E$9,5,FALSE()))*1440</f>
        <v>810</v>
      </c>
      <c r="K706" s="3">
        <f>(G706-VLOOKUP($A706,Runs!$A$2:$E$9,5,FALSE()))*1440</f>
        <v>1892.2000000323169</v>
      </c>
    </row>
    <row r="707" spans="1:11" ht="15" customHeight="1" x14ac:dyDescent="0.25">
      <c r="A707" t="s">
        <v>7</v>
      </c>
      <c r="B707">
        <v>6</v>
      </c>
      <c r="C707" t="s">
        <v>227</v>
      </c>
      <c r="D707" t="s">
        <v>85</v>
      </c>
      <c r="E707" t="s">
        <v>192</v>
      </c>
      <c r="F707" s="12">
        <v>45667.3125</v>
      </c>
      <c r="G707" s="12">
        <v>45668.334398148101</v>
      </c>
      <c r="H707" t="str">
        <f t="shared" si="22"/>
        <v>SSA</v>
      </c>
      <c r="I707" t="str">
        <f t="shared" si="23"/>
        <v>SSA</v>
      </c>
      <c r="J707" s="3">
        <f>(F707-VLOOKUP($A707,Runs!$A$2:$E$9,5,FALSE()))*1440</f>
        <v>450</v>
      </c>
      <c r="K707" s="3">
        <f>(G707-VLOOKUP($A707,Runs!$A$2:$E$9,5,FALSE()))*1440</f>
        <v>1921.5333332656883</v>
      </c>
    </row>
    <row r="708" spans="1:11" ht="15" customHeight="1" x14ac:dyDescent="0.25">
      <c r="A708" t="s">
        <v>7</v>
      </c>
      <c r="B708">
        <v>7</v>
      </c>
      <c r="C708" t="s">
        <v>153</v>
      </c>
      <c r="D708" t="s">
        <v>85</v>
      </c>
      <c r="E708" t="s">
        <v>95</v>
      </c>
      <c r="F708" s="12">
        <v>45667.375</v>
      </c>
      <c r="G708" s="12">
        <v>45668.356527777803</v>
      </c>
      <c r="H708" t="str">
        <f t="shared" si="22"/>
        <v>CORE</v>
      </c>
      <c r="I708" t="str">
        <f t="shared" si="23"/>
        <v>CHS</v>
      </c>
      <c r="J708" s="3">
        <f>(F708-VLOOKUP($A708,Runs!$A$2:$E$9,5,FALSE()))*1440</f>
        <v>540</v>
      </c>
      <c r="K708" s="3">
        <f>(G708-VLOOKUP($A708,Runs!$A$2:$E$9,5,FALSE()))*1440</f>
        <v>1953.4000000369269</v>
      </c>
    </row>
    <row r="709" spans="1:11" ht="15" customHeight="1" x14ac:dyDescent="0.25">
      <c r="A709" t="s">
        <v>7</v>
      </c>
      <c r="B709">
        <v>10</v>
      </c>
      <c r="C709" t="s">
        <v>170</v>
      </c>
      <c r="D709" t="s">
        <v>85</v>
      </c>
      <c r="E709" t="s">
        <v>128</v>
      </c>
      <c r="F709" s="12">
        <v>45667.5625</v>
      </c>
      <c r="G709" s="12">
        <v>45668.376064814802</v>
      </c>
      <c r="H709" t="str">
        <f t="shared" si="22"/>
        <v>RT</v>
      </c>
      <c r="I709" t="str">
        <f t="shared" si="23"/>
        <v>RT</v>
      </c>
      <c r="J709" s="3">
        <f>(F709-VLOOKUP($A709,Runs!$A$2:$E$9,5,FALSE()))*1440</f>
        <v>810</v>
      </c>
      <c r="K709" s="3">
        <f>(G709-VLOOKUP($A709,Runs!$A$2:$E$9,5,FALSE()))*1440</f>
        <v>1981.5333333145827</v>
      </c>
    </row>
    <row r="710" spans="1:11" ht="15" customHeight="1" x14ac:dyDescent="0.25">
      <c r="A710" t="s">
        <v>7</v>
      </c>
      <c r="B710">
        <v>6</v>
      </c>
      <c r="C710" t="s">
        <v>230</v>
      </c>
      <c r="D710" t="s">
        <v>85</v>
      </c>
      <c r="E710" t="s">
        <v>192</v>
      </c>
      <c r="F710" s="12">
        <v>45667.3125</v>
      </c>
      <c r="G710" s="12">
        <v>45668.396898148101</v>
      </c>
      <c r="H710" t="str">
        <f t="shared" si="22"/>
        <v>SSA</v>
      </c>
      <c r="I710" t="str">
        <f t="shared" si="23"/>
        <v>SSA</v>
      </c>
      <c r="J710" s="3">
        <f>(F710-VLOOKUP($A710,Runs!$A$2:$E$9,5,FALSE()))*1440</f>
        <v>450</v>
      </c>
      <c r="K710" s="3">
        <f>(G710-VLOOKUP($A710,Runs!$A$2:$E$9,5,FALSE()))*1440</f>
        <v>2011.5333332656883</v>
      </c>
    </row>
    <row r="711" spans="1:11" ht="15" customHeight="1" x14ac:dyDescent="0.25">
      <c r="A711" t="s">
        <v>7</v>
      </c>
      <c r="B711">
        <v>10</v>
      </c>
      <c r="C711" t="s">
        <v>171</v>
      </c>
      <c r="D711" t="s">
        <v>85</v>
      </c>
      <c r="E711" t="s">
        <v>131</v>
      </c>
      <c r="F711" s="12">
        <v>45667.5625</v>
      </c>
      <c r="G711" s="12">
        <v>45668.417731481502</v>
      </c>
      <c r="H711" t="str">
        <f t="shared" si="22"/>
        <v>FT</v>
      </c>
      <c r="I711" t="str">
        <f t="shared" si="23"/>
        <v>FT</v>
      </c>
      <c r="J711" s="3">
        <f>(F711-VLOOKUP($A711,Runs!$A$2:$E$9,5,FALSE()))*1440</f>
        <v>810</v>
      </c>
      <c r="K711" s="3">
        <f>(G711-VLOOKUP($A711,Runs!$A$2:$E$9,5,FALSE()))*1440</f>
        <v>2041.5333333634771</v>
      </c>
    </row>
    <row r="712" spans="1:11" ht="15" customHeight="1" x14ac:dyDescent="0.25">
      <c r="A712" t="s">
        <v>7</v>
      </c>
      <c r="B712">
        <v>6</v>
      </c>
      <c r="C712" t="s">
        <v>231</v>
      </c>
      <c r="D712" t="s">
        <v>85</v>
      </c>
      <c r="E712" t="s">
        <v>197</v>
      </c>
      <c r="F712" s="12">
        <v>45667.3125</v>
      </c>
      <c r="G712" s="12">
        <v>45668.418796296297</v>
      </c>
      <c r="H712" t="str">
        <f t="shared" si="22"/>
        <v>FAX</v>
      </c>
      <c r="I712" t="str">
        <f t="shared" si="23"/>
        <v>FAX</v>
      </c>
      <c r="J712" s="3">
        <f>(F712-VLOOKUP($A712,Runs!$A$2:$E$9,5,FALSE()))*1440</f>
        <v>450</v>
      </c>
      <c r="K712" s="3">
        <f>(G712-VLOOKUP($A712,Runs!$A$2:$E$9,5,FALSE()))*1440</f>
        <v>2043.0666666675825</v>
      </c>
    </row>
    <row r="713" spans="1:11" ht="15" customHeight="1" x14ac:dyDescent="0.25">
      <c r="A713" t="s">
        <v>7</v>
      </c>
      <c r="B713">
        <v>7</v>
      </c>
      <c r="C713" t="s">
        <v>158</v>
      </c>
      <c r="D713" t="s">
        <v>85</v>
      </c>
      <c r="E713" t="s">
        <v>100</v>
      </c>
      <c r="F713" s="12">
        <v>45667.375</v>
      </c>
      <c r="G713" s="12">
        <v>45668.438564814802</v>
      </c>
      <c r="H713" t="str">
        <f t="shared" si="22"/>
        <v>BSA</v>
      </c>
      <c r="I713" t="str">
        <f t="shared" si="23"/>
        <v>BSA</v>
      </c>
      <c r="J713" s="3">
        <f>(F713-VLOOKUP($A713,Runs!$A$2:$E$9,5,FALSE()))*1440</f>
        <v>540</v>
      </c>
      <c r="K713" s="3">
        <f>(G713-VLOOKUP($A713,Runs!$A$2:$E$9,5,FALSE()))*1440</f>
        <v>2071.5333333145827</v>
      </c>
    </row>
    <row r="714" spans="1:11" ht="15" customHeight="1" x14ac:dyDescent="0.25">
      <c r="A714" t="s">
        <v>7</v>
      </c>
      <c r="B714">
        <v>10</v>
      </c>
      <c r="C714" t="s">
        <v>173</v>
      </c>
      <c r="D714" t="s">
        <v>85</v>
      </c>
      <c r="E714" t="s">
        <v>131</v>
      </c>
      <c r="F714" s="12">
        <v>45667.5625</v>
      </c>
      <c r="G714" s="12">
        <v>45668.461712962999</v>
      </c>
      <c r="H714" t="str">
        <f t="shared" si="22"/>
        <v>FT</v>
      </c>
      <c r="I714" t="str">
        <f t="shared" si="23"/>
        <v>FT</v>
      </c>
      <c r="J714" s="3">
        <f>(F714-VLOOKUP($A714,Runs!$A$2:$E$9,5,FALSE()))*1440</f>
        <v>810</v>
      </c>
      <c r="K714" s="3">
        <f>(G714-VLOOKUP($A714,Runs!$A$2:$E$9,5,FALSE()))*1440</f>
        <v>2104.8666667181533</v>
      </c>
    </row>
    <row r="715" spans="1:11" ht="15" customHeight="1" x14ac:dyDescent="0.25">
      <c r="A715" t="s">
        <v>7</v>
      </c>
      <c r="B715">
        <v>6</v>
      </c>
      <c r="C715" t="s">
        <v>237</v>
      </c>
      <c r="D715" t="s">
        <v>85</v>
      </c>
      <c r="E715" t="s">
        <v>203</v>
      </c>
      <c r="F715" s="12">
        <v>45667.3125</v>
      </c>
      <c r="G715" s="12">
        <v>45668.464074074102</v>
      </c>
      <c r="H715" t="str">
        <f t="shared" si="22"/>
        <v>CHS</v>
      </c>
      <c r="I715" t="str">
        <f t="shared" si="23"/>
        <v>CHS</v>
      </c>
      <c r="J715" s="3">
        <f>(F715-VLOOKUP($A715,Runs!$A$2:$E$9,5,FALSE()))*1440</f>
        <v>450</v>
      </c>
      <c r="K715" s="3">
        <f>(G715-VLOOKUP($A715,Runs!$A$2:$E$9,5,FALSE()))*1440</f>
        <v>2108.2666667061858</v>
      </c>
    </row>
    <row r="716" spans="1:11" ht="15" customHeight="1" x14ac:dyDescent="0.25">
      <c r="A716" t="s">
        <v>7</v>
      </c>
      <c r="B716">
        <v>7</v>
      </c>
      <c r="C716" t="s">
        <v>161</v>
      </c>
      <c r="D716" t="s">
        <v>85</v>
      </c>
      <c r="E716" t="s">
        <v>100</v>
      </c>
      <c r="F716" s="12">
        <v>45667.375</v>
      </c>
      <c r="G716" s="12">
        <v>45668.480231481502</v>
      </c>
      <c r="H716" t="str">
        <f t="shared" si="22"/>
        <v>BSA</v>
      </c>
      <c r="I716" t="str">
        <f t="shared" si="23"/>
        <v>BSA</v>
      </c>
      <c r="J716" s="3">
        <f>(F716-VLOOKUP($A716,Runs!$A$2:$E$9,5,FALSE()))*1440</f>
        <v>540</v>
      </c>
      <c r="K716" s="3">
        <f>(G716-VLOOKUP($A716,Runs!$A$2:$E$9,5,FALSE()))*1440</f>
        <v>2131.5333333634771</v>
      </c>
    </row>
    <row r="717" spans="1:11" ht="15" customHeight="1" x14ac:dyDescent="0.25">
      <c r="A717" t="s">
        <v>7</v>
      </c>
      <c r="B717">
        <v>7</v>
      </c>
      <c r="C717" t="s">
        <v>162</v>
      </c>
      <c r="D717" t="s">
        <v>85</v>
      </c>
      <c r="E717" t="s">
        <v>106</v>
      </c>
      <c r="F717" s="12">
        <v>45667.375</v>
      </c>
      <c r="G717" s="12">
        <v>45668.501064814802</v>
      </c>
      <c r="H717" t="str">
        <f t="shared" si="22"/>
        <v>RAX_RD</v>
      </c>
      <c r="I717" t="str">
        <f t="shared" si="23"/>
        <v>RAX_RD</v>
      </c>
      <c r="J717" s="3">
        <f>(F717-VLOOKUP($A717,Runs!$A$2:$E$9,5,FALSE()))*1440</f>
        <v>540</v>
      </c>
      <c r="K717" s="3">
        <f>(G717-VLOOKUP($A717,Runs!$A$2:$E$9,5,FALSE()))*1440</f>
        <v>2161.5333333145827</v>
      </c>
    </row>
    <row r="718" spans="1:11" ht="15" customHeight="1" x14ac:dyDescent="0.25">
      <c r="A718" t="s">
        <v>7</v>
      </c>
      <c r="B718">
        <v>8</v>
      </c>
      <c r="C718" t="s">
        <v>157</v>
      </c>
      <c r="D718" t="s">
        <v>85</v>
      </c>
      <c r="E718" t="s">
        <v>181</v>
      </c>
      <c r="F718" s="12">
        <v>45667.4375</v>
      </c>
      <c r="G718" s="12">
        <v>45668.521898148101</v>
      </c>
      <c r="H718" t="str">
        <f t="shared" si="22"/>
        <v>RT</v>
      </c>
      <c r="I718" t="str">
        <f t="shared" si="23"/>
        <v>RT</v>
      </c>
      <c r="J718" s="3">
        <f>(F718-VLOOKUP($A718,Runs!$A$2:$E$9,5,FALSE()))*1440</f>
        <v>630</v>
      </c>
      <c r="K718" s="3">
        <f>(G718-VLOOKUP($A718,Runs!$A$2:$E$9,5,FALSE()))*1440</f>
        <v>2191.5333332656883</v>
      </c>
    </row>
    <row r="719" spans="1:11" ht="15" customHeight="1" x14ac:dyDescent="0.25">
      <c r="A719" t="s">
        <v>7</v>
      </c>
      <c r="B719">
        <v>10</v>
      </c>
      <c r="C719" t="s">
        <v>177</v>
      </c>
      <c r="D719" t="s">
        <v>85</v>
      </c>
      <c r="E719" t="s">
        <v>136</v>
      </c>
      <c r="F719" s="12">
        <v>45667.5625</v>
      </c>
      <c r="G719" s="12">
        <v>45668.542731481502</v>
      </c>
      <c r="H719" t="str">
        <f t="shared" si="22"/>
        <v>SSA</v>
      </c>
      <c r="I719" t="str">
        <f t="shared" si="23"/>
        <v>SSA</v>
      </c>
      <c r="J719" s="3">
        <f>(F719-VLOOKUP($A719,Runs!$A$2:$E$9,5,FALSE()))*1440</f>
        <v>810</v>
      </c>
      <c r="K719" s="3">
        <f>(G719-VLOOKUP($A719,Runs!$A$2:$E$9,5,FALSE()))*1440</f>
        <v>2221.5333333634771</v>
      </c>
    </row>
    <row r="720" spans="1:11" ht="15" customHeight="1" x14ac:dyDescent="0.25">
      <c r="A720" t="s">
        <v>7</v>
      </c>
      <c r="B720">
        <v>8</v>
      </c>
      <c r="C720" t="s">
        <v>159</v>
      </c>
      <c r="D720" t="s">
        <v>85</v>
      </c>
      <c r="E720" t="s">
        <v>181</v>
      </c>
      <c r="F720" s="12">
        <v>45667.4375</v>
      </c>
      <c r="G720" s="12">
        <v>45668.563564814802</v>
      </c>
      <c r="H720" t="str">
        <f t="shared" si="22"/>
        <v>RT</v>
      </c>
      <c r="I720" t="str">
        <f t="shared" si="23"/>
        <v>RT</v>
      </c>
      <c r="J720" s="3">
        <f>(F720-VLOOKUP($A720,Runs!$A$2:$E$9,5,FALSE()))*1440</f>
        <v>630</v>
      </c>
      <c r="K720" s="3">
        <f>(G720-VLOOKUP($A720,Runs!$A$2:$E$9,5,FALSE()))*1440</f>
        <v>2251.5333333145827</v>
      </c>
    </row>
    <row r="721" spans="1:11" ht="15" customHeight="1" x14ac:dyDescent="0.25">
      <c r="A721" t="s">
        <v>7</v>
      </c>
      <c r="B721">
        <v>10</v>
      </c>
      <c r="C721" t="s">
        <v>254</v>
      </c>
      <c r="D721" t="s">
        <v>85</v>
      </c>
      <c r="E721" t="s">
        <v>136</v>
      </c>
      <c r="F721" s="12">
        <v>45667.5625</v>
      </c>
      <c r="G721" s="12">
        <v>45668.605231481502</v>
      </c>
      <c r="H721" t="str">
        <f t="shared" si="22"/>
        <v>SSA</v>
      </c>
      <c r="I721" t="str">
        <f t="shared" si="23"/>
        <v>SSA</v>
      </c>
      <c r="J721" s="3">
        <f>(F721-VLOOKUP($A721,Runs!$A$2:$E$9,5,FALSE()))*1440</f>
        <v>810</v>
      </c>
      <c r="K721" s="3">
        <f>(G721-VLOOKUP($A721,Runs!$A$2:$E$9,5,FALSE()))*1440</f>
        <v>2311.5333333634771</v>
      </c>
    </row>
    <row r="722" spans="1:11" ht="15" customHeight="1" x14ac:dyDescent="0.25">
      <c r="A722" t="s">
        <v>7</v>
      </c>
      <c r="B722">
        <v>8</v>
      </c>
      <c r="C722" t="s">
        <v>160</v>
      </c>
      <c r="D722" t="s">
        <v>85</v>
      </c>
      <c r="E722" t="s">
        <v>185</v>
      </c>
      <c r="F722" s="12">
        <v>45667.4375</v>
      </c>
      <c r="G722" s="12">
        <v>45668.626064814802</v>
      </c>
      <c r="H722" t="str">
        <f t="shared" si="22"/>
        <v>FT</v>
      </c>
      <c r="I722" t="str">
        <f t="shared" si="23"/>
        <v>FT</v>
      </c>
      <c r="J722" s="3">
        <f>(F722-VLOOKUP($A722,Runs!$A$2:$E$9,5,FALSE()))*1440</f>
        <v>630</v>
      </c>
      <c r="K722" s="3">
        <f>(G722-VLOOKUP($A722,Runs!$A$2:$E$9,5,FALSE()))*1440</f>
        <v>2341.5333333145827</v>
      </c>
    </row>
    <row r="723" spans="1:11" ht="15" customHeight="1" x14ac:dyDescent="0.25">
      <c r="A723" t="s">
        <v>7</v>
      </c>
      <c r="B723">
        <v>10</v>
      </c>
      <c r="C723" t="s">
        <v>258</v>
      </c>
      <c r="D723" t="s">
        <v>85</v>
      </c>
      <c r="E723" t="s">
        <v>142</v>
      </c>
      <c r="F723" s="12">
        <v>45667.5625</v>
      </c>
      <c r="G723" s="12">
        <v>45668.646898148101</v>
      </c>
      <c r="H723" t="str">
        <f t="shared" si="22"/>
        <v>BSA</v>
      </c>
      <c r="I723" t="str">
        <f t="shared" si="23"/>
        <v>BSA</v>
      </c>
      <c r="J723" s="3">
        <f>(F723-VLOOKUP($A723,Runs!$A$2:$E$9,5,FALSE()))*1440</f>
        <v>810</v>
      </c>
      <c r="K723" s="3">
        <f>(G723-VLOOKUP($A723,Runs!$A$2:$E$9,5,FALSE()))*1440</f>
        <v>2371.5333332656883</v>
      </c>
    </row>
    <row r="724" spans="1:11" ht="15" customHeight="1" x14ac:dyDescent="0.25">
      <c r="A724" t="s">
        <v>8</v>
      </c>
      <c r="B724">
        <v>1</v>
      </c>
      <c r="C724" t="s">
        <v>88</v>
      </c>
      <c r="D724" t="s">
        <v>85</v>
      </c>
      <c r="E724" t="s">
        <v>128</v>
      </c>
      <c r="F724" s="12">
        <v>45667</v>
      </c>
      <c r="G724" s="12">
        <v>45667.083935185197</v>
      </c>
      <c r="H724" t="str">
        <f t="shared" si="22"/>
        <v>RT</v>
      </c>
      <c r="I724" t="str">
        <f t="shared" si="23"/>
        <v>RT</v>
      </c>
      <c r="J724" s="3">
        <f>(F724-VLOOKUP($A724,Runs!$A$2:$E$9,5,FALSE()))*1440</f>
        <v>0</v>
      </c>
      <c r="K724" s="3">
        <f>(G724-VLOOKUP($A724,Runs!$A$2:$E$9,5,FALSE()))*1440</f>
        <v>120.86666668416001</v>
      </c>
    </row>
    <row r="725" spans="1:11" ht="15" customHeight="1" x14ac:dyDescent="0.25">
      <c r="A725" t="s">
        <v>8</v>
      </c>
      <c r="B725">
        <v>2</v>
      </c>
      <c r="C725" t="s">
        <v>91</v>
      </c>
      <c r="D725" t="s">
        <v>85</v>
      </c>
      <c r="E725" t="s">
        <v>86</v>
      </c>
      <c r="F725" s="12">
        <v>45667.0625</v>
      </c>
      <c r="G725" s="12">
        <v>45667.125601851898</v>
      </c>
      <c r="H725" t="str">
        <f t="shared" si="22"/>
        <v>BOSP</v>
      </c>
      <c r="I725" t="str">
        <f t="shared" si="23"/>
        <v>BOSP</v>
      </c>
      <c r="J725" s="3">
        <f>(F725-VLOOKUP($A725,Runs!$A$2:$E$9,5,FALSE()))*1440</f>
        <v>90</v>
      </c>
      <c r="K725" s="3">
        <f>(G725-VLOOKUP($A725,Runs!$A$2:$E$9,5,FALSE()))*1440</f>
        <v>180.86666673305444</v>
      </c>
    </row>
    <row r="726" spans="1:11" ht="15" customHeight="1" x14ac:dyDescent="0.25">
      <c r="A726" t="s">
        <v>8</v>
      </c>
      <c r="B726">
        <v>1</v>
      </c>
      <c r="C726" t="s">
        <v>90</v>
      </c>
      <c r="D726" t="s">
        <v>85</v>
      </c>
      <c r="E726" t="s">
        <v>128</v>
      </c>
      <c r="F726" s="12">
        <v>45667</v>
      </c>
      <c r="G726" s="12">
        <v>45667.1266666667</v>
      </c>
      <c r="H726" t="str">
        <f t="shared" si="22"/>
        <v>RT</v>
      </c>
      <c r="I726" t="str">
        <f t="shared" si="23"/>
        <v>RT</v>
      </c>
      <c r="J726" s="3">
        <f>(F726-VLOOKUP($A726,Runs!$A$2:$E$9,5,FALSE()))*1440</f>
        <v>0</v>
      </c>
      <c r="K726" s="3">
        <f>(G726-VLOOKUP($A726,Runs!$A$2:$E$9,5,FALSE()))*1440</f>
        <v>182.40000004763715</v>
      </c>
    </row>
    <row r="727" spans="1:11" ht="15" customHeight="1" x14ac:dyDescent="0.25">
      <c r="A727" t="s">
        <v>8</v>
      </c>
      <c r="B727">
        <v>2</v>
      </c>
      <c r="C727" t="s">
        <v>92</v>
      </c>
      <c r="D727" t="s">
        <v>85</v>
      </c>
      <c r="E727" t="s">
        <v>86</v>
      </c>
      <c r="F727" s="12">
        <v>45667.0625</v>
      </c>
      <c r="G727" s="12">
        <v>45667.148194444497</v>
      </c>
      <c r="H727" t="str">
        <f t="shared" si="22"/>
        <v>BOSP</v>
      </c>
      <c r="I727" t="str">
        <f t="shared" si="23"/>
        <v>BOSP</v>
      </c>
      <c r="J727" s="3">
        <f>(F727-VLOOKUP($A727,Runs!$A$2:$E$9,5,FALSE()))*1440</f>
        <v>90</v>
      </c>
      <c r="K727" s="3">
        <f>(G727-VLOOKUP($A727,Runs!$A$2:$E$9,5,FALSE()))*1440</f>
        <v>213.400000075344</v>
      </c>
    </row>
    <row r="728" spans="1:11" ht="15" customHeight="1" x14ac:dyDescent="0.25">
      <c r="A728" t="s">
        <v>8</v>
      </c>
      <c r="B728">
        <v>1</v>
      </c>
      <c r="C728" t="s">
        <v>184</v>
      </c>
      <c r="D728" t="s">
        <v>85</v>
      </c>
      <c r="E728" t="s">
        <v>131</v>
      </c>
      <c r="F728" s="12">
        <v>45667</v>
      </c>
      <c r="G728" s="12">
        <v>45667.167847222197</v>
      </c>
      <c r="H728" t="str">
        <f t="shared" si="22"/>
        <v>FT</v>
      </c>
      <c r="I728" t="str">
        <f t="shared" si="23"/>
        <v>FT</v>
      </c>
      <c r="J728" s="3">
        <f>(F728-VLOOKUP($A728,Runs!$A$2:$E$9,5,FALSE()))*1440</f>
        <v>0</v>
      </c>
      <c r="K728" s="3">
        <f>(G728-VLOOKUP($A728,Runs!$A$2:$E$9,5,FALSE()))*1440</f>
        <v>241.69999996433035</v>
      </c>
    </row>
    <row r="729" spans="1:11" ht="15" customHeight="1" x14ac:dyDescent="0.25">
      <c r="A729" t="s">
        <v>8</v>
      </c>
      <c r="B729">
        <v>3</v>
      </c>
      <c r="C729" t="s">
        <v>97</v>
      </c>
      <c r="D729" t="s">
        <v>85</v>
      </c>
      <c r="E729" t="s">
        <v>178</v>
      </c>
      <c r="F729" s="12">
        <v>45667.125</v>
      </c>
      <c r="G729" s="12">
        <v>45667.188564814802</v>
      </c>
      <c r="H729" t="str">
        <f t="shared" si="22"/>
        <v>BOSP</v>
      </c>
      <c r="I729" t="str">
        <f t="shared" si="23"/>
        <v>BOSP</v>
      </c>
      <c r="J729" s="3">
        <f>(F729-VLOOKUP($A729,Runs!$A$2:$E$9,5,FALSE()))*1440</f>
        <v>180</v>
      </c>
      <c r="K729" s="3">
        <f>(G729-VLOOKUP($A729,Runs!$A$2:$E$9,5,FALSE()))*1440</f>
        <v>271.53333331458271</v>
      </c>
    </row>
    <row r="730" spans="1:11" ht="15" customHeight="1" x14ac:dyDescent="0.25">
      <c r="A730" t="s">
        <v>8</v>
      </c>
      <c r="B730">
        <v>1</v>
      </c>
      <c r="C730" t="s">
        <v>186</v>
      </c>
      <c r="D730" t="s">
        <v>85</v>
      </c>
      <c r="E730" t="s">
        <v>131</v>
      </c>
      <c r="F730" s="12">
        <v>45667</v>
      </c>
      <c r="G730" s="12">
        <v>45667.191944444399</v>
      </c>
      <c r="H730" t="str">
        <f t="shared" si="22"/>
        <v>FT</v>
      </c>
      <c r="I730" t="str">
        <f t="shared" si="23"/>
        <v>FT</v>
      </c>
      <c r="J730" s="3">
        <f>(F730-VLOOKUP($A730,Runs!$A$2:$E$9,5,FALSE()))*1440</f>
        <v>0</v>
      </c>
      <c r="K730" s="3">
        <f>(G730-VLOOKUP($A730,Runs!$A$2:$E$9,5,FALSE()))*1440</f>
        <v>276.39999993494712</v>
      </c>
    </row>
    <row r="731" spans="1:11" ht="15" customHeight="1" x14ac:dyDescent="0.25">
      <c r="A731" t="s">
        <v>8</v>
      </c>
      <c r="B731">
        <v>3</v>
      </c>
      <c r="C731" t="s">
        <v>98</v>
      </c>
      <c r="D731" t="s">
        <v>85</v>
      </c>
      <c r="E731" t="s">
        <v>178</v>
      </c>
      <c r="F731" s="12">
        <v>45667.125</v>
      </c>
      <c r="G731" s="12">
        <v>45667.209398148101</v>
      </c>
      <c r="H731" t="str">
        <f t="shared" si="22"/>
        <v>BOSP</v>
      </c>
      <c r="I731" t="str">
        <f t="shared" si="23"/>
        <v>BOSP</v>
      </c>
      <c r="J731" s="3">
        <f>(F731-VLOOKUP($A731,Runs!$A$2:$E$9,5,FALSE()))*1440</f>
        <v>180</v>
      </c>
      <c r="K731" s="3">
        <f>(G731-VLOOKUP($A731,Runs!$A$2:$E$9,5,FALSE()))*1440</f>
        <v>301.53333326568827</v>
      </c>
    </row>
    <row r="732" spans="1:11" ht="15" customHeight="1" x14ac:dyDescent="0.25">
      <c r="A732" t="s">
        <v>8</v>
      </c>
      <c r="B732">
        <v>2</v>
      </c>
      <c r="C732" t="s">
        <v>93</v>
      </c>
      <c r="D732" t="s">
        <v>85</v>
      </c>
      <c r="E732" t="s">
        <v>89</v>
      </c>
      <c r="F732" s="12">
        <v>45667.0625</v>
      </c>
      <c r="G732" s="12">
        <v>45667.230347222197</v>
      </c>
      <c r="H732" t="str">
        <f t="shared" si="22"/>
        <v>RT</v>
      </c>
      <c r="I732" t="str">
        <f t="shared" si="23"/>
        <v>RT</v>
      </c>
      <c r="J732" s="3">
        <f>(F732-VLOOKUP($A732,Runs!$A$2:$E$9,5,FALSE()))*1440</f>
        <v>90</v>
      </c>
      <c r="K732" s="3">
        <f>(G732-VLOOKUP($A732,Runs!$A$2:$E$9,5,FALSE()))*1440</f>
        <v>331.69999996433035</v>
      </c>
    </row>
    <row r="733" spans="1:11" ht="15" customHeight="1" x14ac:dyDescent="0.25">
      <c r="A733" t="s">
        <v>8</v>
      </c>
      <c r="B733">
        <v>3</v>
      </c>
      <c r="C733" t="s">
        <v>183</v>
      </c>
      <c r="D733" t="s">
        <v>85</v>
      </c>
      <c r="E733" t="s">
        <v>180</v>
      </c>
      <c r="F733" s="12">
        <v>45667.125</v>
      </c>
      <c r="G733" s="12">
        <v>45667.273194444497</v>
      </c>
      <c r="H733" t="str">
        <f t="shared" si="22"/>
        <v>BAT</v>
      </c>
      <c r="I733" t="str">
        <f t="shared" si="23"/>
        <v>BAT</v>
      </c>
      <c r="J733" s="3">
        <f>(F733-VLOOKUP($A733,Runs!$A$2:$E$9,5,FALSE()))*1440</f>
        <v>180</v>
      </c>
      <c r="K733" s="3">
        <f>(G733-VLOOKUP($A733,Runs!$A$2:$E$9,5,FALSE()))*1440</f>
        <v>393.400000075344</v>
      </c>
    </row>
    <row r="734" spans="1:11" ht="15" customHeight="1" x14ac:dyDescent="0.25">
      <c r="A734" t="s">
        <v>8</v>
      </c>
      <c r="B734">
        <v>1</v>
      </c>
      <c r="C734" t="s">
        <v>191</v>
      </c>
      <c r="D734" t="s">
        <v>85</v>
      </c>
      <c r="E734" t="s">
        <v>136</v>
      </c>
      <c r="F734" s="12">
        <v>45667</v>
      </c>
      <c r="G734" s="12">
        <v>45667.274259259299</v>
      </c>
      <c r="H734" t="str">
        <f t="shared" si="22"/>
        <v>SSA</v>
      </c>
      <c r="I734" t="str">
        <f t="shared" si="23"/>
        <v>SSA</v>
      </c>
      <c r="J734" s="3">
        <f>(F734-VLOOKUP($A734,Runs!$A$2:$E$9,5,FALSE()))*1440</f>
        <v>0</v>
      </c>
      <c r="K734" s="3">
        <f>(G734-VLOOKUP($A734,Runs!$A$2:$E$9,5,FALSE()))*1440</f>
        <v>394.9333333899267</v>
      </c>
    </row>
    <row r="735" spans="1:11" ht="15" customHeight="1" x14ac:dyDescent="0.25">
      <c r="A735" t="s">
        <v>8</v>
      </c>
      <c r="B735">
        <v>4</v>
      </c>
      <c r="C735" t="s">
        <v>107</v>
      </c>
      <c r="D735" t="s">
        <v>85</v>
      </c>
      <c r="E735" t="s">
        <v>108</v>
      </c>
      <c r="F735" s="12">
        <v>45667.1875</v>
      </c>
      <c r="G735" s="12">
        <v>45667.292847222197</v>
      </c>
      <c r="H735" t="str">
        <f t="shared" si="22"/>
        <v>BOSP</v>
      </c>
      <c r="I735" t="str">
        <f t="shared" si="23"/>
        <v>BOSP</v>
      </c>
      <c r="J735" s="3">
        <f>(F735-VLOOKUP($A735,Runs!$A$2:$E$9,5,FALSE()))*1440</f>
        <v>270</v>
      </c>
      <c r="K735" s="3">
        <f>(G735-VLOOKUP($A735,Runs!$A$2:$E$9,5,FALSE()))*1440</f>
        <v>421.69999996433035</v>
      </c>
    </row>
    <row r="736" spans="1:11" ht="15" customHeight="1" x14ac:dyDescent="0.25">
      <c r="A736" t="s">
        <v>8</v>
      </c>
      <c r="B736">
        <v>2</v>
      </c>
      <c r="C736" t="s">
        <v>96</v>
      </c>
      <c r="D736" t="s">
        <v>85</v>
      </c>
      <c r="E736" t="s">
        <v>89</v>
      </c>
      <c r="F736" s="12">
        <v>45667.0625</v>
      </c>
      <c r="G736" s="12">
        <v>45667.295902777798</v>
      </c>
      <c r="H736" t="str">
        <f t="shared" si="22"/>
        <v>RT</v>
      </c>
      <c r="I736" t="str">
        <f t="shared" si="23"/>
        <v>RT</v>
      </c>
      <c r="J736" s="3">
        <f>(F736-VLOOKUP($A736,Runs!$A$2:$E$9,5,FALSE()))*1440</f>
        <v>90</v>
      </c>
      <c r="K736" s="3">
        <f>(G736-VLOOKUP($A736,Runs!$A$2:$E$9,5,FALSE()))*1440</f>
        <v>426.10000002896413</v>
      </c>
    </row>
    <row r="737" spans="1:11" ht="15" customHeight="1" x14ac:dyDescent="0.25">
      <c r="A737" t="s">
        <v>8</v>
      </c>
      <c r="B737">
        <v>4</v>
      </c>
      <c r="C737" t="s">
        <v>109</v>
      </c>
      <c r="D737" t="s">
        <v>85</v>
      </c>
      <c r="E737" t="s">
        <v>108</v>
      </c>
      <c r="F737" s="12">
        <v>45667.1875</v>
      </c>
      <c r="G737" s="12">
        <v>45667.313564814802</v>
      </c>
      <c r="H737" t="str">
        <f t="shared" si="22"/>
        <v>BOSP</v>
      </c>
      <c r="I737" t="str">
        <f t="shared" si="23"/>
        <v>BOSP</v>
      </c>
      <c r="J737" s="3">
        <f>(F737-VLOOKUP($A737,Runs!$A$2:$E$9,5,FALSE()))*1440</f>
        <v>270</v>
      </c>
      <c r="K737" s="3">
        <f>(G737-VLOOKUP($A737,Runs!$A$2:$E$9,5,FALSE()))*1440</f>
        <v>451.53333331458271</v>
      </c>
    </row>
    <row r="738" spans="1:11" ht="15" customHeight="1" x14ac:dyDescent="0.25">
      <c r="A738" t="s">
        <v>8</v>
      </c>
      <c r="B738">
        <v>1</v>
      </c>
      <c r="C738" t="s">
        <v>194</v>
      </c>
      <c r="D738" t="s">
        <v>85</v>
      </c>
      <c r="E738" t="s">
        <v>136</v>
      </c>
      <c r="F738" s="12">
        <v>45667</v>
      </c>
      <c r="G738" s="12">
        <v>45667.314629629604</v>
      </c>
      <c r="H738" t="str">
        <f t="shared" si="22"/>
        <v>SSA</v>
      </c>
      <c r="I738" t="str">
        <f t="shared" si="23"/>
        <v>SSA</v>
      </c>
      <c r="J738" s="3">
        <f>(F738-VLOOKUP($A738,Runs!$A$2:$E$9,5,FALSE()))*1440</f>
        <v>0</v>
      </c>
      <c r="K738" s="3">
        <f>(G738-VLOOKUP($A738,Runs!$A$2:$E$9,5,FALSE()))*1440</f>
        <v>453.06666662916541</v>
      </c>
    </row>
    <row r="739" spans="1:11" ht="15" customHeight="1" x14ac:dyDescent="0.25">
      <c r="A739" t="s">
        <v>8</v>
      </c>
      <c r="B739">
        <v>3</v>
      </c>
      <c r="C739" t="s">
        <v>101</v>
      </c>
      <c r="D739" t="s">
        <v>85</v>
      </c>
      <c r="E739" t="s">
        <v>181</v>
      </c>
      <c r="F739" s="12">
        <v>45667.125</v>
      </c>
      <c r="G739" s="12">
        <v>45667.334398148101</v>
      </c>
      <c r="H739" t="str">
        <f t="shared" si="22"/>
        <v>RT</v>
      </c>
      <c r="I739" t="str">
        <f t="shared" si="23"/>
        <v>RT</v>
      </c>
      <c r="J739" s="3">
        <f>(F739-VLOOKUP($A739,Runs!$A$2:$E$9,5,FALSE()))*1440</f>
        <v>180</v>
      </c>
      <c r="K739" s="3">
        <f>(G739-VLOOKUP($A739,Runs!$A$2:$E$9,5,FALSE()))*1440</f>
        <v>481.53333326568827</v>
      </c>
    </row>
    <row r="740" spans="1:11" ht="15" customHeight="1" x14ac:dyDescent="0.25">
      <c r="A740" t="s">
        <v>8</v>
      </c>
      <c r="B740">
        <v>1</v>
      </c>
      <c r="C740" t="s">
        <v>99</v>
      </c>
      <c r="D740" t="s">
        <v>85</v>
      </c>
      <c r="E740" t="s">
        <v>142</v>
      </c>
      <c r="F740" s="12">
        <v>45667</v>
      </c>
      <c r="G740" s="12">
        <v>45667.356249999997</v>
      </c>
      <c r="H740" t="str">
        <f t="shared" si="22"/>
        <v>BSA</v>
      </c>
      <c r="I740" t="str">
        <f t="shared" si="23"/>
        <v>BSA</v>
      </c>
      <c r="J740" s="3">
        <f>(F740-VLOOKUP($A740,Runs!$A$2:$E$9,5,FALSE()))*1440</f>
        <v>0</v>
      </c>
      <c r="K740" s="3">
        <f>(G740-VLOOKUP($A740,Runs!$A$2:$E$9,5,FALSE()))*1440</f>
        <v>512.99999999580905</v>
      </c>
    </row>
    <row r="741" spans="1:11" ht="15" customHeight="1" x14ac:dyDescent="0.25">
      <c r="A741" t="s">
        <v>8</v>
      </c>
      <c r="B741">
        <v>4</v>
      </c>
      <c r="C741" t="s">
        <v>113</v>
      </c>
      <c r="D741" t="s">
        <v>85</v>
      </c>
      <c r="E741" t="s">
        <v>114</v>
      </c>
      <c r="F741" s="12">
        <v>45667.1875</v>
      </c>
      <c r="G741" s="12">
        <v>45667.377361111103</v>
      </c>
      <c r="H741" t="str">
        <f t="shared" si="22"/>
        <v>BAT</v>
      </c>
      <c r="I741" t="str">
        <f t="shared" si="23"/>
        <v>BAT</v>
      </c>
      <c r="J741" s="3">
        <f>(F741-VLOOKUP($A741,Runs!$A$2:$E$9,5,FALSE()))*1440</f>
        <v>270</v>
      </c>
      <c r="K741" s="3">
        <f>(G741-VLOOKUP($A741,Runs!$A$2:$E$9,5,FALSE()))*1440</f>
        <v>543.3999999880325</v>
      </c>
    </row>
    <row r="742" spans="1:11" ht="15" customHeight="1" x14ac:dyDescent="0.25">
      <c r="A742" t="s">
        <v>8</v>
      </c>
      <c r="B742">
        <v>3</v>
      </c>
      <c r="C742" t="s">
        <v>102</v>
      </c>
      <c r="D742" t="s">
        <v>85</v>
      </c>
      <c r="E742" t="s">
        <v>181</v>
      </c>
      <c r="F742" s="12">
        <v>45667.125</v>
      </c>
      <c r="G742" s="12">
        <v>45667.378425925897</v>
      </c>
      <c r="H742" t="str">
        <f t="shared" si="22"/>
        <v>RT</v>
      </c>
      <c r="I742" t="str">
        <f t="shared" si="23"/>
        <v>RT</v>
      </c>
      <c r="J742" s="3">
        <f>(F742-VLOOKUP($A742,Runs!$A$2:$E$9,5,FALSE()))*1440</f>
        <v>180</v>
      </c>
      <c r="K742" s="3">
        <f>(G742-VLOOKUP($A742,Runs!$A$2:$E$9,5,FALSE()))*1440</f>
        <v>544.93333329213783</v>
      </c>
    </row>
    <row r="743" spans="1:11" ht="15" customHeight="1" x14ac:dyDescent="0.25">
      <c r="A743" t="s">
        <v>8</v>
      </c>
      <c r="B743">
        <v>6</v>
      </c>
      <c r="C743" t="s">
        <v>133</v>
      </c>
      <c r="D743" t="s">
        <v>85</v>
      </c>
      <c r="E743" t="s">
        <v>178</v>
      </c>
      <c r="F743" s="12">
        <v>45667.3125</v>
      </c>
      <c r="G743" s="12">
        <v>45667.396898148101</v>
      </c>
      <c r="H743" t="str">
        <f t="shared" si="22"/>
        <v>BOSP</v>
      </c>
      <c r="I743" t="str">
        <f t="shared" si="23"/>
        <v>BOSP</v>
      </c>
      <c r="J743" s="3">
        <f>(F743-VLOOKUP($A743,Runs!$A$2:$E$9,5,FALSE()))*1440</f>
        <v>450</v>
      </c>
      <c r="K743" s="3">
        <f>(G743-VLOOKUP($A743,Runs!$A$2:$E$9,5,FALSE()))*1440</f>
        <v>571.53333326568827</v>
      </c>
    </row>
    <row r="744" spans="1:11" ht="15" customHeight="1" x14ac:dyDescent="0.25">
      <c r="A744" t="s">
        <v>8</v>
      </c>
      <c r="B744">
        <v>1</v>
      </c>
      <c r="C744" t="s">
        <v>104</v>
      </c>
      <c r="D744" t="s">
        <v>85</v>
      </c>
      <c r="E744" t="s">
        <v>142</v>
      </c>
      <c r="F744" s="12">
        <v>45667</v>
      </c>
      <c r="G744" s="12">
        <v>45667.397962962998</v>
      </c>
      <c r="H744" t="str">
        <f t="shared" si="22"/>
        <v>BSA</v>
      </c>
      <c r="I744" t="str">
        <f t="shared" si="23"/>
        <v>BSA</v>
      </c>
      <c r="J744" s="3">
        <f>(F744-VLOOKUP($A744,Runs!$A$2:$E$9,5,FALSE()))*1440</f>
        <v>0</v>
      </c>
      <c r="K744" s="3">
        <f>(G744-VLOOKUP($A744,Runs!$A$2:$E$9,5,FALSE()))*1440</f>
        <v>573.0666667164769</v>
      </c>
    </row>
    <row r="745" spans="1:11" ht="15" customHeight="1" x14ac:dyDescent="0.25">
      <c r="A745" t="s">
        <v>8</v>
      </c>
      <c r="B745">
        <v>6</v>
      </c>
      <c r="C745" t="s">
        <v>134</v>
      </c>
      <c r="D745" t="s">
        <v>85</v>
      </c>
      <c r="E745" t="s">
        <v>178</v>
      </c>
      <c r="F745" s="12">
        <v>45667.3125</v>
      </c>
      <c r="G745" s="12">
        <v>45667.417268518497</v>
      </c>
      <c r="H745" t="str">
        <f t="shared" si="22"/>
        <v>BOSP</v>
      </c>
      <c r="I745" t="str">
        <f t="shared" si="23"/>
        <v>BOSP</v>
      </c>
      <c r="J745" s="3">
        <f>(F745-VLOOKUP($A745,Runs!$A$2:$E$9,5,FALSE()))*1440</f>
        <v>450</v>
      </c>
      <c r="K745" s="3">
        <f>(G745-VLOOKUP($A745,Runs!$A$2:$E$9,5,FALSE()))*1440</f>
        <v>600.86666663526557</v>
      </c>
    </row>
    <row r="746" spans="1:11" ht="15" customHeight="1" x14ac:dyDescent="0.25">
      <c r="A746" t="s">
        <v>8</v>
      </c>
      <c r="B746">
        <v>3</v>
      </c>
      <c r="C746" t="s">
        <v>189</v>
      </c>
      <c r="D746" t="s">
        <v>85</v>
      </c>
      <c r="E746" t="s">
        <v>185</v>
      </c>
      <c r="F746" s="12">
        <v>45667.125</v>
      </c>
      <c r="G746" s="12">
        <v>45667.418333333299</v>
      </c>
      <c r="H746" t="str">
        <f t="shared" si="22"/>
        <v>FT</v>
      </c>
      <c r="I746" t="str">
        <f t="shared" si="23"/>
        <v>FT</v>
      </c>
      <c r="J746" s="3">
        <f>(F746-VLOOKUP($A746,Runs!$A$2:$E$9,5,FALSE()))*1440</f>
        <v>180</v>
      </c>
      <c r="K746" s="3">
        <f>(G746-VLOOKUP($A746,Runs!$A$2:$E$9,5,FALSE()))*1440</f>
        <v>602.39999994984828</v>
      </c>
    </row>
    <row r="747" spans="1:11" ht="15" customHeight="1" x14ac:dyDescent="0.25">
      <c r="A747" t="s">
        <v>8</v>
      </c>
      <c r="B747">
        <v>2</v>
      </c>
      <c r="C747" t="s">
        <v>103</v>
      </c>
      <c r="D747" t="s">
        <v>85</v>
      </c>
      <c r="E747" t="s">
        <v>95</v>
      </c>
      <c r="F747" s="12">
        <v>45667.0625</v>
      </c>
      <c r="G747" s="12">
        <v>45667.420694444401</v>
      </c>
      <c r="H747" t="str">
        <f t="shared" si="22"/>
        <v>CORE</v>
      </c>
      <c r="I747" t="str">
        <f t="shared" si="23"/>
        <v>CHS</v>
      </c>
      <c r="J747" s="3">
        <f>(F747-VLOOKUP($A747,Runs!$A$2:$E$9,5,FALSE()))*1440</f>
        <v>90</v>
      </c>
      <c r="K747" s="3">
        <f>(G747-VLOOKUP($A747,Runs!$A$2:$E$9,5,FALSE()))*1440</f>
        <v>605.79999993788078</v>
      </c>
    </row>
    <row r="748" spans="1:11" ht="15" customHeight="1" x14ac:dyDescent="0.25">
      <c r="A748" t="s">
        <v>8</v>
      </c>
      <c r="B748">
        <v>1</v>
      </c>
      <c r="C748" t="s">
        <v>266</v>
      </c>
      <c r="D748" t="s">
        <v>85</v>
      </c>
      <c r="E748" t="s">
        <v>149</v>
      </c>
      <c r="F748" s="12">
        <v>45667</v>
      </c>
      <c r="G748" s="12">
        <v>45667.421759259298</v>
      </c>
      <c r="H748" t="str">
        <f t="shared" si="22"/>
        <v>CSEB-NABS</v>
      </c>
      <c r="I748" t="str">
        <f t="shared" si="23"/>
        <v>CSEB-NABS</v>
      </c>
      <c r="J748" s="3">
        <f>(F748-VLOOKUP($A748,Runs!$A$2:$E$9,5,FALSE()))*1440</f>
        <v>0</v>
      </c>
      <c r="K748" s="3">
        <f>(G748-VLOOKUP($A748,Runs!$A$2:$E$9,5,FALSE()))*1440</f>
        <v>607.33333338866942</v>
      </c>
    </row>
    <row r="749" spans="1:11" ht="15" customHeight="1" x14ac:dyDescent="0.25">
      <c r="A749" t="s">
        <v>8</v>
      </c>
      <c r="B749">
        <v>3</v>
      </c>
      <c r="C749" t="s">
        <v>190</v>
      </c>
      <c r="D749" t="s">
        <v>85</v>
      </c>
      <c r="E749" t="s">
        <v>185</v>
      </c>
      <c r="F749" s="12">
        <v>45667.125</v>
      </c>
      <c r="G749" s="12">
        <v>45667.440879629597</v>
      </c>
      <c r="H749" t="str">
        <f t="shared" si="22"/>
        <v>FT</v>
      </c>
      <c r="I749" t="str">
        <f t="shared" si="23"/>
        <v>FT</v>
      </c>
      <c r="J749" s="3">
        <f>(F749-VLOOKUP($A749,Runs!$A$2:$E$9,5,FALSE()))*1440</f>
        <v>180</v>
      </c>
      <c r="K749" s="3">
        <f>(G749-VLOOKUP($A749,Runs!$A$2:$E$9,5,FALSE()))*1440</f>
        <v>634.86666662036441</v>
      </c>
    </row>
    <row r="750" spans="1:11" ht="15" customHeight="1" x14ac:dyDescent="0.25">
      <c r="A750" t="s">
        <v>8</v>
      </c>
      <c r="B750">
        <v>6</v>
      </c>
      <c r="C750" t="s">
        <v>221</v>
      </c>
      <c r="D750" t="s">
        <v>85</v>
      </c>
      <c r="E750" t="s">
        <v>180</v>
      </c>
      <c r="F750" s="12">
        <v>45667.3125</v>
      </c>
      <c r="G750" s="12">
        <v>45667.481064814798</v>
      </c>
      <c r="H750" t="str">
        <f t="shared" si="22"/>
        <v>BAT</v>
      </c>
      <c r="I750" t="str">
        <f t="shared" si="23"/>
        <v>BAT</v>
      </c>
      <c r="J750" s="3">
        <f>(F750-VLOOKUP($A750,Runs!$A$2:$E$9,5,FALSE()))*1440</f>
        <v>450</v>
      </c>
      <c r="K750" s="3">
        <f>(G750-VLOOKUP($A750,Runs!$A$2:$E$9,5,FALSE()))*1440</f>
        <v>692.73333330871537</v>
      </c>
    </row>
    <row r="751" spans="1:11" ht="15" customHeight="1" x14ac:dyDescent="0.25">
      <c r="A751" t="s">
        <v>8</v>
      </c>
      <c r="B751">
        <v>5</v>
      </c>
      <c r="C751" t="s">
        <v>127</v>
      </c>
      <c r="D751" t="s">
        <v>85</v>
      </c>
      <c r="E751" t="s">
        <v>128</v>
      </c>
      <c r="F751" s="12">
        <v>45667.25</v>
      </c>
      <c r="G751" s="12">
        <v>45667.4821296296</v>
      </c>
      <c r="H751" t="str">
        <f t="shared" si="22"/>
        <v>RT</v>
      </c>
      <c r="I751" t="str">
        <f t="shared" si="23"/>
        <v>RT</v>
      </c>
      <c r="J751" s="3">
        <f>(F751-VLOOKUP($A751,Runs!$A$2:$E$9,5,FALSE()))*1440</f>
        <v>360</v>
      </c>
      <c r="K751" s="3">
        <f>(G751-VLOOKUP($A751,Runs!$A$2:$E$9,5,FALSE()))*1440</f>
        <v>694.26666662329808</v>
      </c>
    </row>
    <row r="752" spans="1:11" ht="15" customHeight="1" x14ac:dyDescent="0.25">
      <c r="A752" t="s">
        <v>8</v>
      </c>
      <c r="B752">
        <v>2</v>
      </c>
      <c r="C752" t="s">
        <v>110</v>
      </c>
      <c r="D752" t="s">
        <v>85</v>
      </c>
      <c r="E752" t="s">
        <v>100</v>
      </c>
      <c r="F752" s="12">
        <v>45667.0625</v>
      </c>
      <c r="G752" s="12">
        <v>45667.483194444401</v>
      </c>
      <c r="H752" t="str">
        <f t="shared" si="22"/>
        <v>BSA</v>
      </c>
      <c r="I752" t="str">
        <f t="shared" si="23"/>
        <v>BSA</v>
      </c>
      <c r="J752" s="3">
        <f>(F752-VLOOKUP($A752,Runs!$A$2:$E$9,5,FALSE()))*1440</f>
        <v>90</v>
      </c>
      <c r="K752" s="3">
        <f>(G752-VLOOKUP($A752,Runs!$A$2:$E$9,5,FALSE()))*1440</f>
        <v>695.79999993788078</v>
      </c>
    </row>
    <row r="753" spans="1:11" ht="15" customHeight="1" x14ac:dyDescent="0.25">
      <c r="A753" t="s">
        <v>8</v>
      </c>
      <c r="B753">
        <v>7</v>
      </c>
      <c r="C753" t="s">
        <v>140</v>
      </c>
      <c r="D753" t="s">
        <v>85</v>
      </c>
      <c r="E753" t="s">
        <v>86</v>
      </c>
      <c r="F753" s="12">
        <v>45667.375</v>
      </c>
      <c r="G753" s="12">
        <v>45667.501064814802</v>
      </c>
      <c r="H753" t="str">
        <f t="shared" si="22"/>
        <v>BOSP</v>
      </c>
      <c r="I753" t="str">
        <f t="shared" si="23"/>
        <v>BOSP</v>
      </c>
      <c r="J753" s="3">
        <f>(F753-VLOOKUP($A753,Runs!$A$2:$E$9,5,FALSE()))*1440</f>
        <v>540</v>
      </c>
      <c r="K753" s="3">
        <f>(G753-VLOOKUP($A753,Runs!$A$2:$E$9,5,FALSE()))*1440</f>
        <v>721.53333331458271</v>
      </c>
    </row>
    <row r="754" spans="1:11" ht="15" customHeight="1" x14ac:dyDescent="0.25">
      <c r="A754" t="s">
        <v>8</v>
      </c>
      <c r="B754">
        <v>7</v>
      </c>
      <c r="C754" t="s">
        <v>143</v>
      </c>
      <c r="D754" t="s">
        <v>85</v>
      </c>
      <c r="E754" t="s">
        <v>86</v>
      </c>
      <c r="F754" s="12">
        <v>45667.375</v>
      </c>
      <c r="G754" s="12">
        <v>45667.523194444497</v>
      </c>
      <c r="H754" t="str">
        <f t="shared" si="22"/>
        <v>BOSP</v>
      </c>
      <c r="I754" t="str">
        <f t="shared" si="23"/>
        <v>BOSP</v>
      </c>
      <c r="J754" s="3">
        <f>(F754-VLOOKUP($A754,Runs!$A$2:$E$9,5,FALSE()))*1440</f>
        <v>540</v>
      </c>
      <c r="K754" s="3">
        <f>(G754-VLOOKUP($A754,Runs!$A$2:$E$9,5,FALSE()))*1440</f>
        <v>753.400000075344</v>
      </c>
    </row>
    <row r="755" spans="1:11" ht="15" customHeight="1" x14ac:dyDescent="0.25">
      <c r="A755" t="s">
        <v>8</v>
      </c>
      <c r="B755">
        <v>2</v>
      </c>
      <c r="C755" t="s">
        <v>112</v>
      </c>
      <c r="D755" t="s">
        <v>85</v>
      </c>
      <c r="E755" t="s">
        <v>100</v>
      </c>
      <c r="F755" s="12">
        <v>45667.0625</v>
      </c>
      <c r="G755" s="12">
        <v>45667.524259259299</v>
      </c>
      <c r="H755" t="str">
        <f t="shared" si="22"/>
        <v>BSA</v>
      </c>
      <c r="I755" t="str">
        <f t="shared" si="23"/>
        <v>BSA</v>
      </c>
      <c r="J755" s="3">
        <f>(F755-VLOOKUP($A755,Runs!$A$2:$E$9,5,FALSE()))*1440</f>
        <v>90</v>
      </c>
      <c r="K755" s="3">
        <f>(G755-VLOOKUP($A755,Runs!$A$2:$E$9,5,FALSE()))*1440</f>
        <v>754.9333333899267</v>
      </c>
    </row>
    <row r="756" spans="1:11" ht="15" customHeight="1" x14ac:dyDescent="0.25">
      <c r="A756" t="s">
        <v>8</v>
      </c>
      <c r="B756">
        <v>5</v>
      </c>
      <c r="C756" t="s">
        <v>129</v>
      </c>
      <c r="D756" t="s">
        <v>85</v>
      </c>
      <c r="E756" t="s">
        <v>128</v>
      </c>
      <c r="F756" s="12">
        <v>45667.25</v>
      </c>
      <c r="G756" s="12">
        <v>45667.542847222197</v>
      </c>
      <c r="H756" t="str">
        <f t="shared" si="22"/>
        <v>RT</v>
      </c>
      <c r="I756" t="str">
        <f t="shared" si="23"/>
        <v>RT</v>
      </c>
      <c r="J756" s="3">
        <f>(F756-VLOOKUP($A756,Runs!$A$2:$E$9,5,FALSE()))*1440</f>
        <v>360</v>
      </c>
      <c r="K756" s="3">
        <f>(G756-VLOOKUP($A756,Runs!$A$2:$E$9,5,FALSE()))*1440</f>
        <v>781.69999996433035</v>
      </c>
    </row>
    <row r="757" spans="1:11" ht="15" customHeight="1" x14ac:dyDescent="0.25">
      <c r="A757" t="s">
        <v>8</v>
      </c>
      <c r="B757">
        <v>2</v>
      </c>
      <c r="C757" t="s">
        <v>115</v>
      </c>
      <c r="D757" t="s">
        <v>85</v>
      </c>
      <c r="E757" t="s">
        <v>106</v>
      </c>
      <c r="F757" s="12">
        <v>45667.0625</v>
      </c>
      <c r="G757" s="12">
        <v>45667.543912036999</v>
      </c>
      <c r="H757" t="str">
        <f t="shared" si="22"/>
        <v>RAX_RD</v>
      </c>
      <c r="I757" t="str">
        <f t="shared" si="23"/>
        <v>RAX_RD</v>
      </c>
      <c r="J757" s="3">
        <f>(F757-VLOOKUP($A757,Runs!$A$2:$E$9,5,FALSE()))*1440</f>
        <v>90</v>
      </c>
      <c r="K757" s="3">
        <f>(G757-VLOOKUP($A757,Runs!$A$2:$E$9,5,FALSE()))*1440</f>
        <v>783.23333327891305</v>
      </c>
    </row>
    <row r="758" spans="1:11" ht="15" customHeight="1" x14ac:dyDescent="0.25">
      <c r="A758" t="s">
        <v>8</v>
      </c>
      <c r="B758">
        <v>8</v>
      </c>
      <c r="C758" t="s">
        <v>150</v>
      </c>
      <c r="D758" t="s">
        <v>85</v>
      </c>
      <c r="E758" t="s">
        <v>178</v>
      </c>
      <c r="F758" s="12">
        <v>45667.4375</v>
      </c>
      <c r="G758" s="12">
        <v>45667.563564814802</v>
      </c>
      <c r="H758" t="str">
        <f t="shared" si="22"/>
        <v>BOSP</v>
      </c>
      <c r="I758" t="str">
        <f t="shared" si="23"/>
        <v>BOSP</v>
      </c>
      <c r="J758" s="3">
        <f>(F758-VLOOKUP($A758,Runs!$A$2:$E$9,5,FALSE()))*1440</f>
        <v>630</v>
      </c>
      <c r="K758" s="3">
        <f>(G758-VLOOKUP($A758,Runs!$A$2:$E$9,5,FALSE()))*1440</f>
        <v>811.53333331458271</v>
      </c>
    </row>
    <row r="759" spans="1:11" ht="15" customHeight="1" x14ac:dyDescent="0.25">
      <c r="A759" t="s">
        <v>8</v>
      </c>
      <c r="B759">
        <v>5</v>
      </c>
      <c r="C759" t="s">
        <v>130</v>
      </c>
      <c r="D759" t="s">
        <v>85</v>
      </c>
      <c r="E759" t="s">
        <v>131</v>
      </c>
      <c r="F759" s="12">
        <v>45667.25</v>
      </c>
      <c r="G759" s="12">
        <v>45667.564629629604</v>
      </c>
      <c r="H759" t="str">
        <f t="shared" si="22"/>
        <v>FT</v>
      </c>
      <c r="I759" t="str">
        <f t="shared" si="23"/>
        <v>FT</v>
      </c>
      <c r="J759" s="3">
        <f>(F759-VLOOKUP($A759,Runs!$A$2:$E$9,5,FALSE()))*1440</f>
        <v>360</v>
      </c>
      <c r="K759" s="3">
        <f>(G759-VLOOKUP($A759,Runs!$A$2:$E$9,5,FALSE()))*1440</f>
        <v>813.06666662916541</v>
      </c>
    </row>
    <row r="760" spans="1:11" ht="15" customHeight="1" x14ac:dyDescent="0.25">
      <c r="A760" t="s">
        <v>8</v>
      </c>
      <c r="B760">
        <v>8</v>
      </c>
      <c r="C760" t="s">
        <v>152</v>
      </c>
      <c r="D760" t="s">
        <v>85</v>
      </c>
      <c r="E760" t="s">
        <v>178</v>
      </c>
      <c r="F760" s="12">
        <v>45667.4375</v>
      </c>
      <c r="G760" s="12">
        <v>45667.585023148204</v>
      </c>
      <c r="H760" t="str">
        <f t="shared" si="22"/>
        <v>BOSP</v>
      </c>
      <c r="I760" t="str">
        <f t="shared" si="23"/>
        <v>BOSP</v>
      </c>
      <c r="J760" s="3">
        <f>(F760-VLOOKUP($A760,Runs!$A$2:$E$9,5,FALSE()))*1440</f>
        <v>630</v>
      </c>
      <c r="K760" s="3">
        <f>(G760-VLOOKUP($A760,Runs!$A$2:$E$9,5,FALSE()))*1440</f>
        <v>842.43333341320977</v>
      </c>
    </row>
    <row r="761" spans="1:11" ht="15" customHeight="1" x14ac:dyDescent="0.25">
      <c r="A761" t="s">
        <v>8</v>
      </c>
      <c r="B761">
        <v>5</v>
      </c>
      <c r="C761" t="s">
        <v>132</v>
      </c>
      <c r="D761" t="s">
        <v>85</v>
      </c>
      <c r="E761" t="s">
        <v>131</v>
      </c>
      <c r="F761" s="12">
        <v>45667.25</v>
      </c>
      <c r="G761" s="12">
        <v>45667.6070833333</v>
      </c>
      <c r="H761" t="str">
        <f t="shared" si="22"/>
        <v>FT</v>
      </c>
      <c r="I761" t="str">
        <f t="shared" si="23"/>
        <v>FT</v>
      </c>
      <c r="J761" s="3">
        <f>(F761-VLOOKUP($A761,Runs!$A$2:$E$9,5,FALSE()))*1440</f>
        <v>360</v>
      </c>
      <c r="K761" s="3">
        <f>(G761-VLOOKUP($A761,Runs!$A$2:$E$9,5,FALSE()))*1440</f>
        <v>874.19999995152466</v>
      </c>
    </row>
    <row r="762" spans="1:11" ht="15" customHeight="1" x14ac:dyDescent="0.25">
      <c r="A762" t="s">
        <v>8</v>
      </c>
      <c r="B762">
        <v>8</v>
      </c>
      <c r="C762" t="s">
        <v>156</v>
      </c>
      <c r="D762" t="s">
        <v>85</v>
      </c>
      <c r="E762" t="s">
        <v>180</v>
      </c>
      <c r="F762" s="12">
        <v>45667.4375</v>
      </c>
      <c r="G762" s="12">
        <v>45667.627361111103</v>
      </c>
      <c r="H762" t="str">
        <f t="shared" si="22"/>
        <v>BAT</v>
      </c>
      <c r="I762" t="str">
        <f t="shared" si="23"/>
        <v>BAT</v>
      </c>
      <c r="J762" s="3">
        <f>(F762-VLOOKUP($A762,Runs!$A$2:$E$9,5,FALSE()))*1440</f>
        <v>630</v>
      </c>
      <c r="K762" s="3">
        <f>(G762-VLOOKUP($A762,Runs!$A$2:$E$9,5,FALSE()))*1440</f>
        <v>903.3999999880325</v>
      </c>
    </row>
    <row r="763" spans="1:11" ht="15" customHeight="1" x14ac:dyDescent="0.25">
      <c r="A763" t="s">
        <v>8</v>
      </c>
      <c r="B763">
        <v>4</v>
      </c>
      <c r="C763" t="s">
        <v>117</v>
      </c>
      <c r="D763" t="s">
        <v>85</v>
      </c>
      <c r="E763" t="s">
        <v>118</v>
      </c>
      <c r="F763" s="12">
        <v>45667.1875</v>
      </c>
      <c r="G763" s="12">
        <v>45667.646898148101</v>
      </c>
      <c r="H763" t="str">
        <f t="shared" si="22"/>
        <v>RT</v>
      </c>
      <c r="I763" t="str">
        <f t="shared" si="23"/>
        <v>RT</v>
      </c>
      <c r="J763" s="3">
        <f>(F763-VLOOKUP($A763,Runs!$A$2:$E$9,5,FALSE()))*1440</f>
        <v>270</v>
      </c>
      <c r="K763" s="3">
        <f>(G763-VLOOKUP($A763,Runs!$A$2:$E$9,5,FALSE()))*1440</f>
        <v>931.53333326568827</v>
      </c>
    </row>
    <row r="764" spans="1:11" ht="15" customHeight="1" x14ac:dyDescent="0.25">
      <c r="A764" t="s">
        <v>8</v>
      </c>
      <c r="B764">
        <v>3</v>
      </c>
      <c r="C764" t="s">
        <v>195</v>
      </c>
      <c r="D764" t="s">
        <v>85</v>
      </c>
      <c r="E764" t="s">
        <v>192</v>
      </c>
      <c r="F764" s="12">
        <v>45667.125</v>
      </c>
      <c r="G764" s="12">
        <v>45667.647962962998</v>
      </c>
      <c r="H764" t="str">
        <f t="shared" si="22"/>
        <v>SSA</v>
      </c>
      <c r="I764" t="str">
        <f t="shared" si="23"/>
        <v>SSA</v>
      </c>
      <c r="J764" s="3">
        <f>(F764-VLOOKUP($A764,Runs!$A$2:$E$9,5,FALSE()))*1440</f>
        <v>180</v>
      </c>
      <c r="K764" s="3">
        <f>(G764-VLOOKUP($A764,Runs!$A$2:$E$9,5,FALSE()))*1440</f>
        <v>933.0666667164769</v>
      </c>
    </row>
    <row r="765" spans="1:11" ht="15" customHeight="1" x14ac:dyDescent="0.25">
      <c r="A765" t="s">
        <v>8</v>
      </c>
      <c r="B765">
        <v>9</v>
      </c>
      <c r="C765" t="s">
        <v>165</v>
      </c>
      <c r="D765" t="s">
        <v>85</v>
      </c>
      <c r="E765" t="s">
        <v>86</v>
      </c>
      <c r="F765" s="12">
        <v>45667.5</v>
      </c>
      <c r="G765" s="12">
        <v>45667.667731481502</v>
      </c>
      <c r="H765" t="str">
        <f t="shared" si="22"/>
        <v>BOSP</v>
      </c>
      <c r="I765" t="str">
        <f t="shared" si="23"/>
        <v>BOSP</v>
      </c>
      <c r="J765" s="3">
        <f>(F765-VLOOKUP($A765,Runs!$A$2:$E$9,5,FALSE()))*1440</f>
        <v>720</v>
      </c>
      <c r="K765" s="3">
        <f>(G765-VLOOKUP($A765,Runs!$A$2:$E$9,5,FALSE()))*1440</f>
        <v>961.53333336347714</v>
      </c>
    </row>
    <row r="766" spans="1:11" ht="15" customHeight="1" x14ac:dyDescent="0.25">
      <c r="A766" t="s">
        <v>8</v>
      </c>
      <c r="B766">
        <v>9</v>
      </c>
      <c r="C766" t="s">
        <v>166</v>
      </c>
      <c r="D766" t="s">
        <v>85</v>
      </c>
      <c r="E766" t="s">
        <v>86</v>
      </c>
      <c r="F766" s="12">
        <v>45667.5</v>
      </c>
      <c r="G766" s="12">
        <v>45667.689861111103</v>
      </c>
      <c r="H766" t="str">
        <f t="shared" si="22"/>
        <v>BOSP</v>
      </c>
      <c r="I766" t="str">
        <f t="shared" si="23"/>
        <v>BOSP</v>
      </c>
      <c r="J766" s="3">
        <f>(F766-VLOOKUP($A766,Runs!$A$2:$E$9,5,FALSE()))*1440</f>
        <v>720</v>
      </c>
      <c r="K766" s="3">
        <f>(G766-VLOOKUP($A766,Runs!$A$2:$E$9,5,FALSE()))*1440</f>
        <v>993.3999999880325</v>
      </c>
    </row>
    <row r="767" spans="1:11" ht="15" customHeight="1" x14ac:dyDescent="0.25">
      <c r="A767" t="s">
        <v>8</v>
      </c>
      <c r="B767">
        <v>4</v>
      </c>
      <c r="C767" t="s">
        <v>119</v>
      </c>
      <c r="D767" t="s">
        <v>85</v>
      </c>
      <c r="E767" t="s">
        <v>118</v>
      </c>
      <c r="F767" s="12">
        <v>45667.1875</v>
      </c>
      <c r="G767" s="12">
        <v>45667.690925925897</v>
      </c>
      <c r="H767" t="str">
        <f t="shared" si="22"/>
        <v>RT</v>
      </c>
      <c r="I767" t="str">
        <f t="shared" si="23"/>
        <v>RT</v>
      </c>
      <c r="J767" s="3">
        <f>(F767-VLOOKUP($A767,Runs!$A$2:$E$9,5,FALSE()))*1440</f>
        <v>270</v>
      </c>
      <c r="K767" s="3">
        <f>(G767-VLOOKUP($A767,Runs!$A$2:$E$9,5,FALSE()))*1440</f>
        <v>994.93333329213783</v>
      </c>
    </row>
    <row r="768" spans="1:11" ht="15" customHeight="1" x14ac:dyDescent="0.25">
      <c r="A768" t="s">
        <v>8</v>
      </c>
      <c r="B768">
        <v>3</v>
      </c>
      <c r="C768" t="s">
        <v>209</v>
      </c>
      <c r="D768" t="s">
        <v>85</v>
      </c>
      <c r="E768" t="s">
        <v>203</v>
      </c>
      <c r="F768" s="12">
        <v>45667.125</v>
      </c>
      <c r="G768" s="12">
        <v>45667.693287037</v>
      </c>
      <c r="H768" t="str">
        <f t="shared" si="22"/>
        <v>CHS</v>
      </c>
      <c r="I768" t="str">
        <f t="shared" si="23"/>
        <v>CHS</v>
      </c>
      <c r="J768" s="3">
        <f>(F768-VLOOKUP($A768,Runs!$A$2:$E$9,5,FALSE()))*1440</f>
        <v>180</v>
      </c>
      <c r="K768" s="3">
        <f>(G768-VLOOKUP($A768,Runs!$A$2:$E$9,5,FALSE()))*1440</f>
        <v>998.33333328017034</v>
      </c>
    </row>
    <row r="769" spans="1:11" ht="15" customHeight="1" x14ac:dyDescent="0.25">
      <c r="A769" t="s">
        <v>8</v>
      </c>
      <c r="B769">
        <v>3</v>
      </c>
      <c r="C769" t="s">
        <v>201</v>
      </c>
      <c r="D769" t="s">
        <v>85</v>
      </c>
      <c r="E769" t="s">
        <v>192</v>
      </c>
      <c r="F769" s="12">
        <v>45667.125</v>
      </c>
      <c r="G769" s="12">
        <v>45667.694351851896</v>
      </c>
      <c r="H769" t="str">
        <f t="shared" si="22"/>
        <v>SSA</v>
      </c>
      <c r="I769" t="str">
        <f t="shared" si="23"/>
        <v>SSA</v>
      </c>
      <c r="J769" s="3">
        <f>(F769-VLOOKUP($A769,Runs!$A$2:$E$9,5,FALSE()))*1440</f>
        <v>180</v>
      </c>
      <c r="K769" s="3">
        <f>(G769-VLOOKUP($A769,Runs!$A$2:$E$9,5,FALSE()))*1440</f>
        <v>999.86666673095897</v>
      </c>
    </row>
    <row r="770" spans="1:11" ht="15" customHeight="1" x14ac:dyDescent="0.25">
      <c r="A770" t="s">
        <v>8</v>
      </c>
      <c r="B770">
        <v>3</v>
      </c>
      <c r="C770" t="s">
        <v>204</v>
      </c>
      <c r="D770" t="s">
        <v>85</v>
      </c>
      <c r="E770" t="s">
        <v>197</v>
      </c>
      <c r="F770" s="12">
        <v>45667.125</v>
      </c>
      <c r="G770" s="12">
        <v>45667.709398148101</v>
      </c>
      <c r="H770" t="str">
        <f t="shared" ref="H770:H816" si="24">MID(E770,8,100)</f>
        <v>FAX</v>
      </c>
      <c r="I770" t="str">
        <f t="shared" ref="I770:I816" si="25">IF(H770="CORE","CHS",H770)</f>
        <v>FAX</v>
      </c>
      <c r="J770" s="3">
        <f>(F770-VLOOKUP($A770,Runs!$A$2:$E$9,5,FALSE()))*1440</f>
        <v>180</v>
      </c>
      <c r="K770" s="3">
        <f>(G770-VLOOKUP($A770,Runs!$A$2:$E$9,5,FALSE()))*1440</f>
        <v>1021.5333332656883</v>
      </c>
    </row>
    <row r="771" spans="1:11" ht="15" customHeight="1" x14ac:dyDescent="0.25">
      <c r="A771" t="s">
        <v>8</v>
      </c>
      <c r="B771">
        <v>4</v>
      </c>
      <c r="C771" t="s">
        <v>120</v>
      </c>
      <c r="D771" t="s">
        <v>85</v>
      </c>
      <c r="E771" t="s">
        <v>121</v>
      </c>
      <c r="F771" s="12">
        <v>45667.1875</v>
      </c>
      <c r="G771" s="12">
        <v>45667.730231481502</v>
      </c>
      <c r="H771" t="str">
        <f t="shared" si="24"/>
        <v>FT</v>
      </c>
      <c r="I771" t="str">
        <f t="shared" si="25"/>
        <v>FT</v>
      </c>
      <c r="J771" s="3">
        <f>(F771-VLOOKUP($A771,Runs!$A$2:$E$9,5,FALSE()))*1440</f>
        <v>270</v>
      </c>
      <c r="K771" s="3">
        <f>(G771-VLOOKUP($A771,Runs!$A$2:$E$9,5,FALSE()))*1440</f>
        <v>1051.5333333634771</v>
      </c>
    </row>
    <row r="772" spans="1:11" ht="15" customHeight="1" x14ac:dyDescent="0.25">
      <c r="A772" t="s">
        <v>8</v>
      </c>
      <c r="B772">
        <v>5</v>
      </c>
      <c r="C772" t="s">
        <v>135</v>
      </c>
      <c r="D772" t="s">
        <v>85</v>
      </c>
      <c r="E772" t="s">
        <v>136</v>
      </c>
      <c r="F772" s="12">
        <v>45667.25</v>
      </c>
      <c r="G772" s="12">
        <v>45667.751064814802</v>
      </c>
      <c r="H772" t="str">
        <f t="shared" si="24"/>
        <v>SSA</v>
      </c>
      <c r="I772" t="str">
        <f t="shared" si="25"/>
        <v>SSA</v>
      </c>
      <c r="J772" s="3">
        <f>(F772-VLOOKUP($A772,Runs!$A$2:$E$9,5,FALSE()))*1440</f>
        <v>360</v>
      </c>
      <c r="K772" s="3">
        <f>(G772-VLOOKUP($A772,Runs!$A$2:$E$9,5,FALSE()))*1440</f>
        <v>1081.5333333145827</v>
      </c>
    </row>
    <row r="773" spans="1:11" ht="15" customHeight="1" x14ac:dyDescent="0.25">
      <c r="A773" t="s">
        <v>8</v>
      </c>
      <c r="B773">
        <v>4</v>
      </c>
      <c r="C773" t="s">
        <v>124</v>
      </c>
      <c r="D773" t="s">
        <v>85</v>
      </c>
      <c r="E773" t="s">
        <v>121</v>
      </c>
      <c r="F773" s="12">
        <v>45667.1875</v>
      </c>
      <c r="G773" s="12">
        <v>45667.771898148101</v>
      </c>
      <c r="H773" t="str">
        <f t="shared" si="24"/>
        <v>FT</v>
      </c>
      <c r="I773" t="str">
        <f t="shared" si="25"/>
        <v>FT</v>
      </c>
      <c r="J773" s="3">
        <f>(F773-VLOOKUP($A773,Runs!$A$2:$E$9,5,FALSE()))*1440</f>
        <v>270</v>
      </c>
      <c r="K773" s="3">
        <f>(G773-VLOOKUP($A773,Runs!$A$2:$E$9,5,FALSE()))*1440</f>
        <v>1111.5333332656883</v>
      </c>
    </row>
    <row r="774" spans="1:11" ht="15" customHeight="1" x14ac:dyDescent="0.25">
      <c r="A774" t="s">
        <v>8</v>
      </c>
      <c r="B774">
        <v>4</v>
      </c>
      <c r="C774" t="s">
        <v>125</v>
      </c>
      <c r="D774" t="s">
        <v>85</v>
      </c>
      <c r="E774" t="s">
        <v>126</v>
      </c>
      <c r="F774" s="12">
        <v>45667.1875</v>
      </c>
      <c r="G774" s="12">
        <v>45667.792731481502</v>
      </c>
      <c r="H774" t="str">
        <f t="shared" si="24"/>
        <v>CRE</v>
      </c>
      <c r="I774" t="str">
        <f t="shared" si="25"/>
        <v>CRE</v>
      </c>
      <c r="J774" s="3">
        <f>(F774-VLOOKUP($A774,Runs!$A$2:$E$9,5,FALSE()))*1440</f>
        <v>270</v>
      </c>
      <c r="K774" s="3">
        <f>(G774-VLOOKUP($A774,Runs!$A$2:$E$9,5,FALSE()))*1440</f>
        <v>1141.5333333634771</v>
      </c>
    </row>
    <row r="775" spans="1:11" ht="15" customHeight="1" x14ac:dyDescent="0.25">
      <c r="A775" t="s">
        <v>8</v>
      </c>
      <c r="B775">
        <v>6</v>
      </c>
      <c r="C775" t="s">
        <v>137</v>
      </c>
      <c r="D775" t="s">
        <v>85</v>
      </c>
      <c r="E775" t="s">
        <v>181</v>
      </c>
      <c r="F775" s="12">
        <v>45667.3125</v>
      </c>
      <c r="G775" s="12">
        <v>45667.813564814802</v>
      </c>
      <c r="H775" t="str">
        <f t="shared" si="24"/>
        <v>RT</v>
      </c>
      <c r="I775" t="str">
        <f t="shared" si="25"/>
        <v>RT</v>
      </c>
      <c r="J775" s="3">
        <f>(F775-VLOOKUP($A775,Runs!$A$2:$E$9,5,FALSE()))*1440</f>
        <v>450</v>
      </c>
      <c r="K775" s="3">
        <f>(G775-VLOOKUP($A775,Runs!$A$2:$E$9,5,FALSE()))*1440</f>
        <v>1171.5333333145827</v>
      </c>
    </row>
    <row r="776" spans="1:11" ht="15" customHeight="1" x14ac:dyDescent="0.25">
      <c r="A776" t="s">
        <v>8</v>
      </c>
      <c r="B776">
        <v>5</v>
      </c>
      <c r="C776" t="s">
        <v>139</v>
      </c>
      <c r="D776" t="s">
        <v>85</v>
      </c>
      <c r="E776" t="s">
        <v>136</v>
      </c>
      <c r="F776" s="12">
        <v>45667.25</v>
      </c>
      <c r="G776" s="12">
        <v>45667.814629629604</v>
      </c>
      <c r="H776" t="str">
        <f t="shared" si="24"/>
        <v>SSA</v>
      </c>
      <c r="I776" t="str">
        <f t="shared" si="25"/>
        <v>SSA</v>
      </c>
      <c r="J776" s="3">
        <f>(F776-VLOOKUP($A776,Runs!$A$2:$E$9,5,FALSE()))*1440</f>
        <v>360</v>
      </c>
      <c r="K776" s="3">
        <f>(G776-VLOOKUP($A776,Runs!$A$2:$E$9,5,FALSE()))*1440</f>
        <v>1173.0666666291654</v>
      </c>
    </row>
    <row r="777" spans="1:11" ht="15" customHeight="1" x14ac:dyDescent="0.25">
      <c r="A777" t="s">
        <v>8</v>
      </c>
      <c r="B777">
        <v>6</v>
      </c>
      <c r="C777" t="s">
        <v>138</v>
      </c>
      <c r="D777" t="s">
        <v>85</v>
      </c>
      <c r="E777" t="s">
        <v>181</v>
      </c>
      <c r="F777" s="12">
        <v>45667.3125</v>
      </c>
      <c r="G777" s="12">
        <v>45667.855231481502</v>
      </c>
      <c r="H777" t="str">
        <f t="shared" si="24"/>
        <v>RT</v>
      </c>
      <c r="I777" t="str">
        <f t="shared" si="25"/>
        <v>RT</v>
      </c>
      <c r="J777" s="3">
        <f>(F777-VLOOKUP($A777,Runs!$A$2:$E$9,5,FALSE()))*1440</f>
        <v>450</v>
      </c>
      <c r="K777" s="3">
        <f>(G777-VLOOKUP($A777,Runs!$A$2:$E$9,5,FALSE()))*1440</f>
        <v>1231.5333333634771</v>
      </c>
    </row>
    <row r="778" spans="1:11" ht="15" customHeight="1" x14ac:dyDescent="0.25">
      <c r="A778" t="s">
        <v>8</v>
      </c>
      <c r="B778">
        <v>5</v>
      </c>
      <c r="C778" t="s">
        <v>141</v>
      </c>
      <c r="D778" t="s">
        <v>85</v>
      </c>
      <c r="E778" t="s">
        <v>142</v>
      </c>
      <c r="F778" s="12">
        <v>45667.25</v>
      </c>
      <c r="G778" s="12">
        <v>45667.856296296297</v>
      </c>
      <c r="H778" t="str">
        <f t="shared" si="24"/>
        <v>BSA</v>
      </c>
      <c r="I778" t="str">
        <f t="shared" si="25"/>
        <v>BSA</v>
      </c>
      <c r="J778" s="3">
        <f>(F778-VLOOKUP($A778,Runs!$A$2:$E$9,5,FALSE()))*1440</f>
        <v>360</v>
      </c>
      <c r="K778" s="3">
        <f>(G778-VLOOKUP($A778,Runs!$A$2:$E$9,5,FALSE()))*1440</f>
        <v>1233.0666666675825</v>
      </c>
    </row>
    <row r="779" spans="1:11" ht="15" customHeight="1" x14ac:dyDescent="0.25">
      <c r="A779" t="s">
        <v>8</v>
      </c>
      <c r="B779">
        <v>6</v>
      </c>
      <c r="C779" t="s">
        <v>223</v>
      </c>
      <c r="D779" t="s">
        <v>85</v>
      </c>
      <c r="E779" t="s">
        <v>185</v>
      </c>
      <c r="F779" s="12">
        <v>45667.3125</v>
      </c>
      <c r="G779" s="12">
        <v>45667.896898148101</v>
      </c>
      <c r="H779" t="str">
        <f t="shared" si="24"/>
        <v>FT</v>
      </c>
      <c r="I779" t="str">
        <f t="shared" si="25"/>
        <v>FT</v>
      </c>
      <c r="J779" s="3">
        <f>(F779-VLOOKUP($A779,Runs!$A$2:$E$9,5,FALSE()))*1440</f>
        <v>450</v>
      </c>
      <c r="K779" s="3">
        <f>(G779-VLOOKUP($A779,Runs!$A$2:$E$9,5,FALSE()))*1440</f>
        <v>1291.5333332656883</v>
      </c>
    </row>
    <row r="780" spans="1:11" ht="15" customHeight="1" x14ac:dyDescent="0.25">
      <c r="A780" t="s">
        <v>8</v>
      </c>
      <c r="B780">
        <v>5</v>
      </c>
      <c r="C780" t="s">
        <v>146</v>
      </c>
      <c r="D780" t="s">
        <v>85</v>
      </c>
      <c r="E780" t="s">
        <v>142</v>
      </c>
      <c r="F780" s="12">
        <v>45667.25</v>
      </c>
      <c r="G780" s="12">
        <v>45667.897962962998</v>
      </c>
      <c r="H780" t="str">
        <f t="shared" si="24"/>
        <v>BSA</v>
      </c>
      <c r="I780" t="str">
        <f t="shared" si="25"/>
        <v>BSA</v>
      </c>
      <c r="J780" s="3">
        <f>(F780-VLOOKUP($A780,Runs!$A$2:$E$9,5,FALSE()))*1440</f>
        <v>360</v>
      </c>
      <c r="K780" s="3">
        <f>(G780-VLOOKUP($A780,Runs!$A$2:$E$9,5,FALSE()))*1440</f>
        <v>1293.0666667164769</v>
      </c>
    </row>
    <row r="781" spans="1:11" ht="15" customHeight="1" x14ac:dyDescent="0.25">
      <c r="A781" t="s">
        <v>8</v>
      </c>
      <c r="B781">
        <v>6</v>
      </c>
      <c r="C781" t="s">
        <v>224</v>
      </c>
      <c r="D781" t="s">
        <v>85</v>
      </c>
      <c r="E781" t="s">
        <v>185</v>
      </c>
      <c r="F781" s="12">
        <v>45667.3125</v>
      </c>
      <c r="G781" s="12">
        <v>45667.920046296298</v>
      </c>
      <c r="H781" t="str">
        <f t="shared" si="24"/>
        <v>FT</v>
      </c>
      <c r="I781" t="str">
        <f t="shared" si="25"/>
        <v>FT</v>
      </c>
      <c r="J781" s="3">
        <f>(F781-VLOOKUP($A781,Runs!$A$2:$E$9,5,FALSE()))*1440</f>
        <v>450</v>
      </c>
      <c r="K781" s="3">
        <f>(G781-VLOOKUP($A781,Runs!$A$2:$E$9,5,FALSE()))*1440</f>
        <v>1324.8666666692588</v>
      </c>
    </row>
    <row r="782" spans="1:11" ht="15" customHeight="1" x14ac:dyDescent="0.25">
      <c r="A782" t="s">
        <v>8</v>
      </c>
      <c r="B782">
        <v>5</v>
      </c>
      <c r="C782" t="s">
        <v>148</v>
      </c>
      <c r="D782" t="s">
        <v>85</v>
      </c>
      <c r="E782" t="s">
        <v>149</v>
      </c>
      <c r="F782" s="12">
        <v>45667.25</v>
      </c>
      <c r="G782" s="12">
        <v>45667.9211111111</v>
      </c>
      <c r="H782" t="str">
        <f t="shared" si="24"/>
        <v>CSEB-NABS</v>
      </c>
      <c r="I782" t="str">
        <f t="shared" si="25"/>
        <v>CSEB-NABS</v>
      </c>
      <c r="J782" s="3">
        <f>(F782-VLOOKUP($A782,Runs!$A$2:$E$9,5,FALSE()))*1440</f>
        <v>360</v>
      </c>
      <c r="K782" s="3">
        <f>(G782-VLOOKUP($A782,Runs!$A$2:$E$9,5,FALSE()))*1440</f>
        <v>1326.3999999838416</v>
      </c>
    </row>
    <row r="783" spans="1:11" ht="15" customHeight="1" x14ac:dyDescent="0.25">
      <c r="A783" t="s">
        <v>8</v>
      </c>
      <c r="B783">
        <v>3</v>
      </c>
      <c r="C783" t="s">
        <v>116</v>
      </c>
      <c r="D783" t="s">
        <v>85</v>
      </c>
      <c r="E783" t="s">
        <v>206</v>
      </c>
      <c r="F783" s="12">
        <v>45667.125</v>
      </c>
      <c r="G783" s="12">
        <v>45667.938564814802</v>
      </c>
      <c r="H783" t="str">
        <f t="shared" si="24"/>
        <v>BSA</v>
      </c>
      <c r="I783" t="str">
        <f t="shared" si="25"/>
        <v>BSA</v>
      </c>
      <c r="J783" s="3">
        <f>(F783-VLOOKUP($A783,Runs!$A$2:$E$9,5,FALSE()))*1440</f>
        <v>180</v>
      </c>
      <c r="K783" s="3">
        <f>(G783-VLOOKUP($A783,Runs!$A$2:$E$9,5,FALSE()))*1440</f>
        <v>1351.5333333145827</v>
      </c>
    </row>
    <row r="784" spans="1:11" ht="15" customHeight="1" x14ac:dyDescent="0.25">
      <c r="A784" t="s">
        <v>8</v>
      </c>
      <c r="B784">
        <v>7</v>
      </c>
      <c r="C784" t="s">
        <v>144</v>
      </c>
      <c r="D784" t="s">
        <v>85</v>
      </c>
      <c r="E784" t="s">
        <v>89</v>
      </c>
      <c r="F784" s="12">
        <v>45667.375</v>
      </c>
      <c r="G784" s="12">
        <v>45667.980231481502</v>
      </c>
      <c r="H784" t="str">
        <f t="shared" si="24"/>
        <v>RT</v>
      </c>
      <c r="I784" t="str">
        <f t="shared" si="25"/>
        <v>RT</v>
      </c>
      <c r="J784" s="3">
        <f>(F784-VLOOKUP($A784,Runs!$A$2:$E$9,5,FALSE()))*1440</f>
        <v>540</v>
      </c>
      <c r="K784" s="3">
        <f>(G784-VLOOKUP($A784,Runs!$A$2:$E$9,5,FALSE()))*1440</f>
        <v>1411.5333333634771</v>
      </c>
    </row>
    <row r="785" spans="1:11" ht="15" customHeight="1" x14ac:dyDescent="0.25">
      <c r="A785" t="s">
        <v>8</v>
      </c>
      <c r="B785">
        <v>3</v>
      </c>
      <c r="C785" t="s">
        <v>122</v>
      </c>
      <c r="D785" t="s">
        <v>85</v>
      </c>
      <c r="E785" t="s">
        <v>206</v>
      </c>
      <c r="F785" s="12">
        <v>45667.125</v>
      </c>
      <c r="G785" s="12">
        <v>45667.981296296297</v>
      </c>
      <c r="H785" t="str">
        <f t="shared" si="24"/>
        <v>BSA</v>
      </c>
      <c r="I785" t="str">
        <f t="shared" si="25"/>
        <v>BSA</v>
      </c>
      <c r="J785" s="3">
        <f>(F785-VLOOKUP($A785,Runs!$A$2:$E$9,5,FALSE()))*1440</f>
        <v>180</v>
      </c>
      <c r="K785" s="3">
        <f>(G785-VLOOKUP($A785,Runs!$A$2:$E$9,5,FALSE()))*1440</f>
        <v>1413.0666666675825</v>
      </c>
    </row>
    <row r="786" spans="1:11" ht="15" customHeight="1" x14ac:dyDescent="0.25">
      <c r="A786" t="s">
        <v>8</v>
      </c>
      <c r="B786">
        <v>3</v>
      </c>
      <c r="C786" t="s">
        <v>217</v>
      </c>
      <c r="D786" t="s">
        <v>85</v>
      </c>
      <c r="E786" t="s">
        <v>211</v>
      </c>
      <c r="F786" s="12">
        <v>45667.125</v>
      </c>
      <c r="G786" s="12">
        <v>45668.001064814802</v>
      </c>
      <c r="H786" t="str">
        <f t="shared" si="24"/>
        <v>RAX_HD</v>
      </c>
      <c r="I786" t="str">
        <f t="shared" si="25"/>
        <v>RAX_HD</v>
      </c>
      <c r="J786" s="3">
        <f>(F786-VLOOKUP($A786,Runs!$A$2:$E$9,5,FALSE()))*1440</f>
        <v>180</v>
      </c>
      <c r="K786" s="3">
        <f>(G786-VLOOKUP($A786,Runs!$A$2:$E$9,5,FALSE()))*1440</f>
        <v>1441.5333333145827</v>
      </c>
    </row>
    <row r="787" spans="1:11" ht="15" customHeight="1" x14ac:dyDescent="0.25">
      <c r="A787" t="s">
        <v>8</v>
      </c>
      <c r="B787">
        <v>7</v>
      </c>
      <c r="C787" t="s">
        <v>147</v>
      </c>
      <c r="D787" t="s">
        <v>85</v>
      </c>
      <c r="E787" t="s">
        <v>89</v>
      </c>
      <c r="F787" s="12">
        <v>45667.375</v>
      </c>
      <c r="G787" s="12">
        <v>45668.0238888889</v>
      </c>
      <c r="H787" t="str">
        <f t="shared" si="24"/>
        <v>RT</v>
      </c>
      <c r="I787" t="str">
        <f t="shared" si="25"/>
        <v>RT</v>
      </c>
      <c r="J787" s="3">
        <f>(F787-VLOOKUP($A787,Runs!$A$2:$E$9,5,FALSE()))*1440</f>
        <v>540</v>
      </c>
      <c r="K787" s="3">
        <f>(G787-VLOOKUP($A787,Runs!$A$2:$E$9,5,FALSE()))*1440</f>
        <v>1474.4000000157394</v>
      </c>
    </row>
    <row r="788" spans="1:11" ht="15" customHeight="1" x14ac:dyDescent="0.25">
      <c r="A788" t="s">
        <v>8</v>
      </c>
      <c r="B788">
        <v>10</v>
      </c>
      <c r="C788" t="s">
        <v>169</v>
      </c>
      <c r="D788" t="s">
        <v>85</v>
      </c>
      <c r="E788" t="s">
        <v>128</v>
      </c>
      <c r="F788" s="12">
        <v>45667.5625</v>
      </c>
      <c r="G788" s="12">
        <v>45668.0640277778</v>
      </c>
      <c r="H788" t="str">
        <f t="shared" si="24"/>
        <v>RT</v>
      </c>
      <c r="I788" t="str">
        <f t="shared" si="25"/>
        <v>RT</v>
      </c>
      <c r="J788" s="3">
        <f>(F788-VLOOKUP($A788,Runs!$A$2:$E$9,5,FALSE()))*1440</f>
        <v>810</v>
      </c>
      <c r="K788" s="3">
        <f>(G788-VLOOKUP($A788,Runs!$A$2:$E$9,5,FALSE()))*1440</f>
        <v>1532.2000000323169</v>
      </c>
    </row>
    <row r="789" spans="1:11" ht="15" customHeight="1" x14ac:dyDescent="0.25">
      <c r="A789" t="s">
        <v>8</v>
      </c>
      <c r="B789">
        <v>10</v>
      </c>
      <c r="C789" t="s">
        <v>170</v>
      </c>
      <c r="D789" t="s">
        <v>85</v>
      </c>
      <c r="E789" t="s">
        <v>128</v>
      </c>
      <c r="F789" s="12">
        <v>45667.5625</v>
      </c>
      <c r="G789" s="12">
        <v>45668.105231481502</v>
      </c>
      <c r="H789" t="str">
        <f t="shared" si="24"/>
        <v>RT</v>
      </c>
      <c r="I789" t="str">
        <f t="shared" si="25"/>
        <v>RT</v>
      </c>
      <c r="J789" s="3">
        <f>(F789-VLOOKUP($A789,Runs!$A$2:$E$9,5,FALSE()))*1440</f>
        <v>810</v>
      </c>
      <c r="K789" s="3">
        <f>(G789-VLOOKUP($A789,Runs!$A$2:$E$9,5,FALSE()))*1440</f>
        <v>1591.5333333634771</v>
      </c>
    </row>
    <row r="790" spans="1:11" ht="15" customHeight="1" x14ac:dyDescent="0.25">
      <c r="A790" t="s">
        <v>8</v>
      </c>
      <c r="B790">
        <v>6</v>
      </c>
      <c r="C790" t="s">
        <v>227</v>
      </c>
      <c r="D790" t="s">
        <v>85</v>
      </c>
      <c r="E790" t="s">
        <v>192</v>
      </c>
      <c r="F790" s="12">
        <v>45667.3125</v>
      </c>
      <c r="G790" s="12">
        <v>45668.106296296297</v>
      </c>
      <c r="H790" t="str">
        <f t="shared" si="24"/>
        <v>SSA</v>
      </c>
      <c r="I790" t="str">
        <f t="shared" si="25"/>
        <v>SSA</v>
      </c>
      <c r="J790" s="3">
        <f>(F790-VLOOKUP($A790,Runs!$A$2:$E$9,5,FALSE()))*1440</f>
        <v>450</v>
      </c>
      <c r="K790" s="3">
        <f>(G790-VLOOKUP($A790,Runs!$A$2:$E$9,5,FALSE()))*1440</f>
        <v>1593.0666666675825</v>
      </c>
    </row>
    <row r="791" spans="1:11" ht="15" customHeight="1" x14ac:dyDescent="0.25">
      <c r="A791" t="s">
        <v>8</v>
      </c>
      <c r="B791">
        <v>7</v>
      </c>
      <c r="C791" t="s">
        <v>153</v>
      </c>
      <c r="D791" t="s">
        <v>85</v>
      </c>
      <c r="E791" t="s">
        <v>95</v>
      </c>
      <c r="F791" s="12">
        <v>45667.375</v>
      </c>
      <c r="G791" s="12">
        <v>45668.127361111103</v>
      </c>
      <c r="H791" t="str">
        <f t="shared" si="24"/>
        <v>CORE</v>
      </c>
      <c r="I791" t="str">
        <f t="shared" si="25"/>
        <v>CHS</v>
      </c>
      <c r="J791" s="3">
        <f>(F791-VLOOKUP($A791,Runs!$A$2:$E$9,5,FALSE()))*1440</f>
        <v>540</v>
      </c>
      <c r="K791" s="3">
        <f>(G791-VLOOKUP($A791,Runs!$A$2:$E$9,5,FALSE()))*1440</f>
        <v>1623.3999999880325</v>
      </c>
    </row>
    <row r="792" spans="1:11" ht="15" customHeight="1" x14ac:dyDescent="0.25">
      <c r="A792" t="s">
        <v>8</v>
      </c>
      <c r="B792">
        <v>10</v>
      </c>
      <c r="C792" t="s">
        <v>171</v>
      </c>
      <c r="D792" t="s">
        <v>85</v>
      </c>
      <c r="E792" t="s">
        <v>131</v>
      </c>
      <c r="F792" s="12">
        <v>45667.5625</v>
      </c>
      <c r="G792" s="12">
        <v>45668.146898148101</v>
      </c>
      <c r="H792" t="str">
        <f t="shared" si="24"/>
        <v>FT</v>
      </c>
      <c r="I792" t="str">
        <f t="shared" si="25"/>
        <v>FT</v>
      </c>
      <c r="J792" s="3">
        <f>(F792-VLOOKUP($A792,Runs!$A$2:$E$9,5,FALSE()))*1440</f>
        <v>810</v>
      </c>
      <c r="K792" s="3">
        <f>(G792-VLOOKUP($A792,Runs!$A$2:$E$9,5,FALSE()))*1440</f>
        <v>1651.5333332656883</v>
      </c>
    </row>
    <row r="793" spans="1:11" ht="15" customHeight="1" x14ac:dyDescent="0.25">
      <c r="A793" t="s">
        <v>8</v>
      </c>
      <c r="B793">
        <v>10</v>
      </c>
      <c r="C793" t="s">
        <v>173</v>
      </c>
      <c r="D793" t="s">
        <v>85</v>
      </c>
      <c r="E793" t="s">
        <v>131</v>
      </c>
      <c r="F793" s="12">
        <v>45667.5625</v>
      </c>
      <c r="G793" s="12">
        <v>45668.170046296298</v>
      </c>
      <c r="H793" t="str">
        <f t="shared" si="24"/>
        <v>FT</v>
      </c>
      <c r="I793" t="str">
        <f t="shared" si="25"/>
        <v>FT</v>
      </c>
      <c r="J793" s="3">
        <f>(F793-VLOOKUP($A793,Runs!$A$2:$E$9,5,FALSE()))*1440</f>
        <v>810</v>
      </c>
      <c r="K793" s="3">
        <f>(G793-VLOOKUP($A793,Runs!$A$2:$E$9,5,FALSE()))*1440</f>
        <v>1684.8666666692588</v>
      </c>
    </row>
    <row r="794" spans="1:11" ht="15" customHeight="1" x14ac:dyDescent="0.25">
      <c r="A794" t="s">
        <v>8</v>
      </c>
      <c r="B794">
        <v>6</v>
      </c>
      <c r="C794" t="s">
        <v>230</v>
      </c>
      <c r="D794" t="s">
        <v>85</v>
      </c>
      <c r="E794" t="s">
        <v>192</v>
      </c>
      <c r="F794" s="12">
        <v>45667.3125</v>
      </c>
      <c r="G794" s="12">
        <v>45668.1711111111</v>
      </c>
      <c r="H794" t="str">
        <f t="shared" si="24"/>
        <v>SSA</v>
      </c>
      <c r="I794" t="str">
        <f t="shared" si="25"/>
        <v>SSA</v>
      </c>
      <c r="J794" s="3">
        <f>(F794-VLOOKUP($A794,Runs!$A$2:$E$9,5,FALSE()))*1440</f>
        <v>450</v>
      </c>
      <c r="K794" s="3">
        <f>(G794-VLOOKUP($A794,Runs!$A$2:$E$9,5,FALSE()))*1440</f>
        <v>1686.3999999838416</v>
      </c>
    </row>
    <row r="795" spans="1:11" ht="15" customHeight="1" x14ac:dyDescent="0.25">
      <c r="A795" t="s">
        <v>8</v>
      </c>
      <c r="B795">
        <v>6</v>
      </c>
      <c r="C795" t="s">
        <v>231</v>
      </c>
      <c r="D795" t="s">
        <v>85</v>
      </c>
      <c r="E795" t="s">
        <v>197</v>
      </c>
      <c r="F795" s="12">
        <v>45667.3125</v>
      </c>
      <c r="G795" s="12">
        <v>45668.188564814802</v>
      </c>
      <c r="H795" t="str">
        <f t="shared" si="24"/>
        <v>FAX</v>
      </c>
      <c r="I795" t="str">
        <f t="shared" si="25"/>
        <v>FAX</v>
      </c>
      <c r="J795" s="3">
        <f>(F795-VLOOKUP($A795,Runs!$A$2:$E$9,5,FALSE()))*1440</f>
        <v>450</v>
      </c>
      <c r="K795" s="3">
        <f>(G795-VLOOKUP($A795,Runs!$A$2:$E$9,5,FALSE()))*1440</f>
        <v>1711.5333333145827</v>
      </c>
    </row>
    <row r="796" spans="1:11" ht="15" customHeight="1" x14ac:dyDescent="0.25">
      <c r="A796" t="s">
        <v>8</v>
      </c>
      <c r="B796">
        <v>7</v>
      </c>
      <c r="C796" t="s">
        <v>158</v>
      </c>
      <c r="D796" t="s">
        <v>85</v>
      </c>
      <c r="E796" t="s">
        <v>100</v>
      </c>
      <c r="F796" s="12">
        <v>45667.375</v>
      </c>
      <c r="G796" s="12">
        <v>45668.209398148101</v>
      </c>
      <c r="H796" t="str">
        <f t="shared" si="24"/>
        <v>BSA</v>
      </c>
      <c r="I796" t="str">
        <f t="shared" si="25"/>
        <v>BSA</v>
      </c>
      <c r="J796" s="3">
        <f>(F796-VLOOKUP($A796,Runs!$A$2:$E$9,5,FALSE()))*1440</f>
        <v>540</v>
      </c>
      <c r="K796" s="3">
        <f>(G796-VLOOKUP($A796,Runs!$A$2:$E$9,5,FALSE()))*1440</f>
        <v>1741.5333332656883</v>
      </c>
    </row>
    <row r="797" spans="1:11" ht="15" customHeight="1" x14ac:dyDescent="0.25">
      <c r="A797" t="s">
        <v>8</v>
      </c>
      <c r="B797">
        <v>8</v>
      </c>
      <c r="C797" t="s">
        <v>157</v>
      </c>
      <c r="D797" t="s">
        <v>85</v>
      </c>
      <c r="E797" t="s">
        <v>181</v>
      </c>
      <c r="F797" s="12">
        <v>45667.4375</v>
      </c>
      <c r="G797" s="12">
        <v>45668.230231481502</v>
      </c>
      <c r="H797" t="str">
        <f t="shared" si="24"/>
        <v>RT</v>
      </c>
      <c r="I797" t="str">
        <f t="shared" si="25"/>
        <v>RT</v>
      </c>
      <c r="J797" s="3">
        <f>(F797-VLOOKUP($A797,Runs!$A$2:$E$9,5,FALSE()))*1440</f>
        <v>630</v>
      </c>
      <c r="K797" s="3">
        <f>(G797-VLOOKUP($A797,Runs!$A$2:$E$9,5,FALSE()))*1440</f>
        <v>1771.5333333634771</v>
      </c>
    </row>
    <row r="798" spans="1:11" ht="15" customHeight="1" x14ac:dyDescent="0.25">
      <c r="A798" t="s">
        <v>8</v>
      </c>
      <c r="B798">
        <v>6</v>
      </c>
      <c r="C798" t="s">
        <v>237</v>
      </c>
      <c r="D798" t="s">
        <v>85</v>
      </c>
      <c r="E798" t="s">
        <v>203</v>
      </c>
      <c r="F798" s="12">
        <v>45667.3125</v>
      </c>
      <c r="G798" s="12">
        <v>45668.232592592598</v>
      </c>
      <c r="H798" t="str">
        <f t="shared" si="24"/>
        <v>CHS</v>
      </c>
      <c r="I798" t="str">
        <f t="shared" si="25"/>
        <v>CHS</v>
      </c>
      <c r="J798" s="3">
        <f>(F798-VLOOKUP($A798,Runs!$A$2:$E$9,5,FALSE()))*1440</f>
        <v>450</v>
      </c>
      <c r="K798" s="3">
        <f>(G798-VLOOKUP($A798,Runs!$A$2:$E$9,5,FALSE()))*1440</f>
        <v>1774.9333333410323</v>
      </c>
    </row>
    <row r="799" spans="1:11" ht="15" customHeight="1" x14ac:dyDescent="0.25">
      <c r="A799" t="s">
        <v>8</v>
      </c>
      <c r="B799">
        <v>7</v>
      </c>
      <c r="C799" t="s">
        <v>161</v>
      </c>
      <c r="D799" t="s">
        <v>85</v>
      </c>
      <c r="E799" t="s">
        <v>100</v>
      </c>
      <c r="F799" s="12">
        <v>45667.375</v>
      </c>
      <c r="G799" s="12">
        <v>45668.251064814802</v>
      </c>
      <c r="H799" t="str">
        <f t="shared" si="24"/>
        <v>BSA</v>
      </c>
      <c r="I799" t="str">
        <f t="shared" si="25"/>
        <v>BSA</v>
      </c>
      <c r="J799" s="3">
        <f>(F799-VLOOKUP($A799,Runs!$A$2:$E$9,5,FALSE()))*1440</f>
        <v>540</v>
      </c>
      <c r="K799" s="3">
        <f>(G799-VLOOKUP($A799,Runs!$A$2:$E$9,5,FALSE()))*1440</f>
        <v>1801.5333333145827</v>
      </c>
    </row>
    <row r="800" spans="1:11" ht="15" customHeight="1" x14ac:dyDescent="0.25">
      <c r="A800" t="s">
        <v>8</v>
      </c>
      <c r="B800">
        <v>8</v>
      </c>
      <c r="C800" t="s">
        <v>159</v>
      </c>
      <c r="D800" t="s">
        <v>85</v>
      </c>
      <c r="E800" t="s">
        <v>181</v>
      </c>
      <c r="F800" s="12">
        <v>45667.4375</v>
      </c>
      <c r="G800" s="12">
        <v>45668.271898148101</v>
      </c>
      <c r="H800" t="str">
        <f t="shared" si="24"/>
        <v>RT</v>
      </c>
      <c r="I800" t="str">
        <f t="shared" si="25"/>
        <v>RT</v>
      </c>
      <c r="J800" s="3">
        <f>(F800-VLOOKUP($A800,Runs!$A$2:$E$9,5,FALSE()))*1440</f>
        <v>630</v>
      </c>
      <c r="K800" s="3">
        <f>(G800-VLOOKUP($A800,Runs!$A$2:$E$9,5,FALSE()))*1440</f>
        <v>1831.5333332656883</v>
      </c>
    </row>
    <row r="801" spans="1:11" ht="15" customHeight="1" x14ac:dyDescent="0.25">
      <c r="A801" t="s">
        <v>8</v>
      </c>
      <c r="B801">
        <v>7</v>
      </c>
      <c r="C801" t="s">
        <v>162</v>
      </c>
      <c r="D801" t="s">
        <v>85</v>
      </c>
      <c r="E801" t="s">
        <v>106</v>
      </c>
      <c r="F801" s="12">
        <v>45667.375</v>
      </c>
      <c r="G801" s="12">
        <v>45668.272962962998</v>
      </c>
      <c r="H801" t="str">
        <f t="shared" si="24"/>
        <v>RAX_RD</v>
      </c>
      <c r="I801" t="str">
        <f t="shared" si="25"/>
        <v>RAX_RD</v>
      </c>
      <c r="J801" s="3">
        <f>(F801-VLOOKUP($A801,Runs!$A$2:$E$9,5,FALSE()))*1440</f>
        <v>540</v>
      </c>
      <c r="K801" s="3">
        <f>(G801-VLOOKUP($A801,Runs!$A$2:$E$9,5,FALSE()))*1440</f>
        <v>1833.0666667164769</v>
      </c>
    </row>
    <row r="802" spans="1:11" ht="15" customHeight="1" x14ac:dyDescent="0.25">
      <c r="A802" t="s">
        <v>8</v>
      </c>
      <c r="B802">
        <v>8</v>
      </c>
      <c r="C802" t="s">
        <v>160</v>
      </c>
      <c r="D802" t="s">
        <v>85</v>
      </c>
      <c r="E802" t="s">
        <v>185</v>
      </c>
      <c r="F802" s="12">
        <v>45667.4375</v>
      </c>
      <c r="G802" s="12">
        <v>45668.292731481502</v>
      </c>
      <c r="H802" t="str">
        <f t="shared" si="24"/>
        <v>FT</v>
      </c>
      <c r="I802" t="str">
        <f t="shared" si="25"/>
        <v>FT</v>
      </c>
      <c r="J802" s="3">
        <f>(F802-VLOOKUP($A802,Runs!$A$2:$E$9,5,FALSE()))*1440</f>
        <v>630</v>
      </c>
      <c r="K802" s="3">
        <f>(G802-VLOOKUP($A802,Runs!$A$2:$E$9,5,FALSE()))*1440</f>
        <v>1861.5333333634771</v>
      </c>
    </row>
    <row r="803" spans="1:11" ht="15" customHeight="1" x14ac:dyDescent="0.25">
      <c r="A803" t="s">
        <v>8</v>
      </c>
      <c r="B803">
        <v>10</v>
      </c>
      <c r="C803" t="s">
        <v>177</v>
      </c>
      <c r="D803" t="s">
        <v>85</v>
      </c>
      <c r="E803" t="s">
        <v>136</v>
      </c>
      <c r="F803" s="12">
        <v>45667.5625</v>
      </c>
      <c r="G803" s="12">
        <v>45668.313564814802</v>
      </c>
      <c r="H803" t="str">
        <f t="shared" si="24"/>
        <v>SSA</v>
      </c>
      <c r="I803" t="str">
        <f t="shared" si="25"/>
        <v>SSA</v>
      </c>
      <c r="J803" s="3">
        <f>(F803-VLOOKUP($A803,Runs!$A$2:$E$9,5,FALSE()))*1440</f>
        <v>810</v>
      </c>
      <c r="K803" s="3">
        <f>(G803-VLOOKUP($A803,Runs!$A$2:$E$9,5,FALSE()))*1440</f>
        <v>1891.5333333145827</v>
      </c>
    </row>
    <row r="804" spans="1:11" ht="15" customHeight="1" x14ac:dyDescent="0.25">
      <c r="A804" t="s">
        <v>8</v>
      </c>
      <c r="B804">
        <v>8</v>
      </c>
      <c r="C804" t="s">
        <v>163</v>
      </c>
      <c r="D804" t="s">
        <v>85</v>
      </c>
      <c r="E804" t="s">
        <v>185</v>
      </c>
      <c r="F804" s="12">
        <v>45667.4375</v>
      </c>
      <c r="G804" s="12">
        <v>45668.336712962999</v>
      </c>
      <c r="H804" t="str">
        <f t="shared" si="24"/>
        <v>FT</v>
      </c>
      <c r="I804" t="str">
        <f t="shared" si="25"/>
        <v>FT</v>
      </c>
      <c r="J804" s="3">
        <f>(F804-VLOOKUP($A804,Runs!$A$2:$E$9,5,FALSE()))*1440</f>
        <v>630</v>
      </c>
      <c r="K804" s="3">
        <f>(G804-VLOOKUP($A804,Runs!$A$2:$E$9,5,FALSE()))*1440</f>
        <v>1924.8666667181533</v>
      </c>
    </row>
    <row r="805" spans="1:11" ht="15" customHeight="1" x14ac:dyDescent="0.25">
      <c r="A805" t="s">
        <v>8</v>
      </c>
      <c r="B805">
        <v>9</v>
      </c>
      <c r="C805" t="s">
        <v>167</v>
      </c>
      <c r="D805" t="s">
        <v>85</v>
      </c>
      <c r="E805" t="s">
        <v>89</v>
      </c>
      <c r="F805" s="12">
        <v>45667.5</v>
      </c>
      <c r="G805" s="12">
        <v>45668.376064814802</v>
      </c>
      <c r="H805" t="str">
        <f t="shared" si="24"/>
        <v>RT</v>
      </c>
      <c r="I805" t="str">
        <f t="shared" si="25"/>
        <v>RT</v>
      </c>
      <c r="J805" s="3">
        <f>(F805-VLOOKUP($A805,Runs!$A$2:$E$9,5,FALSE()))*1440</f>
        <v>720</v>
      </c>
      <c r="K805" s="3">
        <f>(G805-VLOOKUP($A805,Runs!$A$2:$E$9,5,FALSE()))*1440</f>
        <v>1981.5333333145827</v>
      </c>
    </row>
    <row r="806" spans="1:11" ht="15" customHeight="1" x14ac:dyDescent="0.25">
      <c r="A806" t="s">
        <v>8</v>
      </c>
      <c r="B806">
        <v>10</v>
      </c>
      <c r="C806" t="s">
        <v>254</v>
      </c>
      <c r="D806" t="s">
        <v>85</v>
      </c>
      <c r="E806" t="s">
        <v>136</v>
      </c>
      <c r="F806" s="12">
        <v>45667.5625</v>
      </c>
      <c r="G806" s="12">
        <v>45668.377129629604</v>
      </c>
      <c r="H806" t="str">
        <f t="shared" si="24"/>
        <v>SSA</v>
      </c>
      <c r="I806" t="str">
        <f t="shared" si="25"/>
        <v>SSA</v>
      </c>
      <c r="J806" s="3">
        <f>(F806-VLOOKUP($A806,Runs!$A$2:$E$9,5,FALSE()))*1440</f>
        <v>810</v>
      </c>
      <c r="K806" s="3">
        <f>(G806-VLOOKUP($A806,Runs!$A$2:$E$9,5,FALSE()))*1440</f>
        <v>1983.0666666291654</v>
      </c>
    </row>
    <row r="807" spans="1:11" ht="15" customHeight="1" x14ac:dyDescent="0.25">
      <c r="A807" t="s">
        <v>8</v>
      </c>
      <c r="B807">
        <v>9</v>
      </c>
      <c r="C807" t="s">
        <v>168</v>
      </c>
      <c r="D807" t="s">
        <v>85</v>
      </c>
      <c r="E807" t="s">
        <v>89</v>
      </c>
      <c r="F807" s="12">
        <v>45667.5</v>
      </c>
      <c r="G807" s="12">
        <v>45668.419722222199</v>
      </c>
      <c r="H807" t="str">
        <f t="shared" si="24"/>
        <v>RT</v>
      </c>
      <c r="I807" t="str">
        <f t="shared" si="25"/>
        <v>RT</v>
      </c>
      <c r="J807" s="3">
        <f>(F807-VLOOKUP($A807,Runs!$A$2:$E$9,5,FALSE()))*1440</f>
        <v>720</v>
      </c>
      <c r="K807" s="3">
        <f>(G807-VLOOKUP($A807,Runs!$A$2:$E$9,5,FALSE()))*1440</f>
        <v>2044.3999999668449</v>
      </c>
    </row>
    <row r="808" spans="1:11" ht="15" customHeight="1" x14ac:dyDescent="0.25">
      <c r="A808" t="s">
        <v>8</v>
      </c>
      <c r="B808">
        <v>10</v>
      </c>
      <c r="C808" t="s">
        <v>258</v>
      </c>
      <c r="D808" t="s">
        <v>85</v>
      </c>
      <c r="E808" t="s">
        <v>142</v>
      </c>
      <c r="F808" s="12">
        <v>45667.5625</v>
      </c>
      <c r="G808" s="12">
        <v>45668.420787037001</v>
      </c>
      <c r="H808" t="str">
        <f t="shared" si="24"/>
        <v>BSA</v>
      </c>
      <c r="I808" t="str">
        <f t="shared" si="25"/>
        <v>BSA</v>
      </c>
      <c r="J808" s="3">
        <f>(F808-VLOOKUP($A808,Runs!$A$2:$E$9,5,FALSE()))*1440</f>
        <v>810</v>
      </c>
      <c r="K808" s="3">
        <f>(G808-VLOOKUP($A808,Runs!$A$2:$E$9,5,FALSE()))*1440</f>
        <v>2045.9333332814276</v>
      </c>
    </row>
    <row r="809" spans="1:11" ht="15" customHeight="1" x14ac:dyDescent="0.25">
      <c r="A809" t="s">
        <v>8</v>
      </c>
      <c r="B809">
        <v>10</v>
      </c>
      <c r="C809" t="s">
        <v>260</v>
      </c>
      <c r="D809" t="s">
        <v>85</v>
      </c>
      <c r="E809" t="s">
        <v>142</v>
      </c>
      <c r="F809" s="12">
        <v>45667.5625</v>
      </c>
      <c r="G809" s="12">
        <v>45668.463148148199</v>
      </c>
      <c r="H809" t="str">
        <f t="shared" si="24"/>
        <v>BSA</v>
      </c>
      <c r="I809" t="str">
        <f t="shared" si="25"/>
        <v>BSA</v>
      </c>
      <c r="J809" s="3">
        <f>(F809-VLOOKUP($A809,Runs!$A$2:$E$9,5,FALSE()))*1440</f>
        <v>810</v>
      </c>
      <c r="K809" s="3">
        <f>(G809-VLOOKUP($A809,Runs!$A$2:$E$9,5,FALSE()))*1440</f>
        <v>2106.9333334069233</v>
      </c>
    </row>
    <row r="810" spans="1:11" ht="15" customHeight="1" x14ac:dyDescent="0.25">
      <c r="A810" t="s">
        <v>8</v>
      </c>
      <c r="B810">
        <v>10</v>
      </c>
      <c r="C810" t="s">
        <v>267</v>
      </c>
      <c r="D810" t="s">
        <v>85</v>
      </c>
      <c r="E810" t="s">
        <v>149</v>
      </c>
      <c r="F810" s="12">
        <v>45667.5625</v>
      </c>
      <c r="G810" s="12">
        <v>45668.480231481502</v>
      </c>
      <c r="H810" t="str">
        <f t="shared" si="24"/>
        <v>CSEB-NABS</v>
      </c>
      <c r="I810" t="str">
        <f t="shared" si="25"/>
        <v>CSEB-NABS</v>
      </c>
      <c r="J810" s="3">
        <f>(F810-VLOOKUP($A810,Runs!$A$2:$E$9,5,FALSE()))*1440</f>
        <v>810</v>
      </c>
      <c r="K810" s="3">
        <f>(G810-VLOOKUP($A810,Runs!$A$2:$E$9,5,FALSE()))*1440</f>
        <v>2131.5333333634771</v>
      </c>
    </row>
    <row r="811" spans="1:11" ht="15" customHeight="1" x14ac:dyDescent="0.25">
      <c r="A811" t="s">
        <v>8</v>
      </c>
      <c r="B811">
        <v>6</v>
      </c>
      <c r="C811" t="s">
        <v>151</v>
      </c>
      <c r="D811" t="s">
        <v>85</v>
      </c>
      <c r="E811" t="s">
        <v>206</v>
      </c>
      <c r="F811" s="12">
        <v>45667.3125</v>
      </c>
      <c r="G811" s="12">
        <v>45668.501064814802</v>
      </c>
      <c r="H811" t="str">
        <f t="shared" si="24"/>
        <v>BSA</v>
      </c>
      <c r="I811" t="str">
        <f t="shared" si="25"/>
        <v>BSA</v>
      </c>
      <c r="J811" s="3">
        <f>(F811-VLOOKUP($A811,Runs!$A$2:$E$9,5,FALSE()))*1440</f>
        <v>450</v>
      </c>
      <c r="K811" s="3">
        <f>(G811-VLOOKUP($A811,Runs!$A$2:$E$9,5,FALSE()))*1440</f>
        <v>2161.5333333145827</v>
      </c>
    </row>
    <row r="812" spans="1:11" ht="15" customHeight="1" x14ac:dyDescent="0.25">
      <c r="A812" t="s">
        <v>8</v>
      </c>
      <c r="B812">
        <v>9</v>
      </c>
      <c r="C812" t="s">
        <v>172</v>
      </c>
      <c r="D812" t="s">
        <v>85</v>
      </c>
      <c r="E812" t="s">
        <v>95</v>
      </c>
      <c r="F812" s="12">
        <v>45667.5</v>
      </c>
      <c r="G812" s="12">
        <v>45668.523194444497</v>
      </c>
      <c r="H812" t="str">
        <f t="shared" si="24"/>
        <v>CORE</v>
      </c>
      <c r="I812" t="str">
        <f t="shared" si="25"/>
        <v>CHS</v>
      </c>
      <c r="J812" s="3">
        <f>(F812-VLOOKUP($A812,Runs!$A$2:$E$9,5,FALSE()))*1440</f>
        <v>720</v>
      </c>
      <c r="K812" s="3">
        <f>(G812-VLOOKUP($A812,Runs!$A$2:$E$9,5,FALSE()))*1440</f>
        <v>2193.400000075344</v>
      </c>
    </row>
    <row r="813" spans="1:11" ht="15" customHeight="1" x14ac:dyDescent="0.25">
      <c r="A813" t="s">
        <v>8</v>
      </c>
      <c r="B813">
        <v>6</v>
      </c>
      <c r="C813" t="s">
        <v>154</v>
      </c>
      <c r="D813" t="s">
        <v>85</v>
      </c>
      <c r="E813" t="s">
        <v>206</v>
      </c>
      <c r="F813" s="12">
        <v>45667.3125</v>
      </c>
      <c r="G813" s="12">
        <v>45668.542731481502</v>
      </c>
      <c r="H813" t="str">
        <f t="shared" si="24"/>
        <v>BSA</v>
      </c>
      <c r="I813" t="str">
        <f t="shared" si="25"/>
        <v>BSA</v>
      </c>
      <c r="J813" s="3">
        <f>(F813-VLOOKUP($A813,Runs!$A$2:$E$9,5,FALSE()))*1440</f>
        <v>450</v>
      </c>
      <c r="K813" s="3">
        <f>(G813-VLOOKUP($A813,Runs!$A$2:$E$9,5,FALSE()))*1440</f>
        <v>2221.5333333634771</v>
      </c>
    </row>
    <row r="814" spans="1:11" ht="15" customHeight="1" x14ac:dyDescent="0.25">
      <c r="A814" t="s">
        <v>8</v>
      </c>
      <c r="B814">
        <v>6</v>
      </c>
      <c r="C814" t="s">
        <v>242</v>
      </c>
      <c r="D814" t="s">
        <v>85</v>
      </c>
      <c r="E814" t="s">
        <v>211</v>
      </c>
      <c r="F814" s="12">
        <v>45667.3125</v>
      </c>
      <c r="G814" s="12">
        <v>45668.563564814802</v>
      </c>
      <c r="H814" t="str">
        <f t="shared" si="24"/>
        <v>RAX_HD</v>
      </c>
      <c r="I814" t="str">
        <f t="shared" si="25"/>
        <v>RAX_HD</v>
      </c>
      <c r="J814" s="3">
        <f>(F814-VLOOKUP($A814,Runs!$A$2:$E$9,5,FALSE()))*1440</f>
        <v>450</v>
      </c>
      <c r="K814" s="3">
        <f>(G814-VLOOKUP($A814,Runs!$A$2:$E$9,5,FALSE()))*1440</f>
        <v>2251.5333333145827</v>
      </c>
    </row>
    <row r="815" spans="1:11" ht="15" customHeight="1" x14ac:dyDescent="0.25">
      <c r="A815" t="s">
        <v>8</v>
      </c>
      <c r="B815">
        <v>8</v>
      </c>
      <c r="C815" t="s">
        <v>232</v>
      </c>
      <c r="D815" t="s">
        <v>85</v>
      </c>
      <c r="E815" t="s">
        <v>192</v>
      </c>
      <c r="F815" s="12">
        <v>45667.4375</v>
      </c>
      <c r="G815" s="12">
        <v>45668.605231481502</v>
      </c>
      <c r="H815" t="str">
        <f t="shared" si="24"/>
        <v>SSA</v>
      </c>
      <c r="I815" t="str">
        <f t="shared" si="25"/>
        <v>SSA</v>
      </c>
      <c r="J815" s="3">
        <f>(F815-VLOOKUP($A815,Runs!$A$2:$E$9,5,FALSE()))*1440</f>
        <v>630</v>
      </c>
      <c r="K815" s="3">
        <f>(G815-VLOOKUP($A815,Runs!$A$2:$E$9,5,FALSE()))*1440</f>
        <v>2311.5333333634771</v>
      </c>
    </row>
    <row r="816" spans="1:11" ht="15" customHeight="1" x14ac:dyDescent="0.25">
      <c r="A816" t="s">
        <v>8</v>
      </c>
      <c r="B816">
        <v>8</v>
      </c>
      <c r="C816" t="s">
        <v>241</v>
      </c>
      <c r="D816" t="s">
        <v>85</v>
      </c>
      <c r="E816" t="s">
        <v>203</v>
      </c>
      <c r="F816" s="12">
        <v>45667.4375</v>
      </c>
      <c r="G816" s="12">
        <v>45668.627361111103</v>
      </c>
      <c r="H816" t="str">
        <f t="shared" si="24"/>
        <v>CHS</v>
      </c>
      <c r="I816" t="str">
        <f t="shared" si="25"/>
        <v>CHS</v>
      </c>
      <c r="J816" s="3">
        <f>(F816-VLOOKUP($A816,Runs!$A$2:$E$9,5,FALSE()))*1440</f>
        <v>630</v>
      </c>
      <c r="K816" s="3">
        <f>(G816-VLOOKUP($A816,Runs!$A$2:$E$9,5,FALSE()))*1440</f>
        <v>2343.3999999880325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B7DB1"/>
  </sheetPr>
  <dimension ref="A1:G81"/>
  <sheetViews>
    <sheetView zoomScale="190" zoomScaleNormal="190" workbookViewId="0">
      <pane ySplit="1" topLeftCell="A2" activePane="bottomLeft" state="frozen"/>
      <selection pane="bottomLeft" activeCell="E8" sqref="E8"/>
    </sheetView>
  </sheetViews>
  <sheetFormatPr baseColWidth="10" defaultColWidth="9.140625" defaultRowHeight="15" x14ac:dyDescent="0.25"/>
  <cols>
    <col min="1" max="1" width="4.42578125" bestFit="1" customWidth="1"/>
    <col min="2" max="2" width="6.7109375" bestFit="1" customWidth="1"/>
    <col min="3" max="3" width="12.85546875" bestFit="1" customWidth="1"/>
    <col min="4" max="4" width="19.28515625" bestFit="1" customWidth="1"/>
    <col min="5" max="5" width="173.42578125" bestFit="1" customWidth="1"/>
    <col min="6" max="6" width="8.140625" bestFit="1" customWidth="1"/>
    <col min="7" max="7" width="6.85546875" bestFit="1" customWidth="1"/>
  </cols>
  <sheetData>
    <row r="1" spans="1:7" ht="15" customHeight="1" x14ac:dyDescent="0.25">
      <c r="A1" s="11" t="s">
        <v>55</v>
      </c>
      <c r="B1" s="11" t="s">
        <v>74</v>
      </c>
      <c r="C1" s="11" t="s">
        <v>268</v>
      </c>
      <c r="D1" s="11" t="s">
        <v>78</v>
      </c>
      <c r="E1" s="11" t="s">
        <v>269</v>
      </c>
      <c r="F1" s="2" t="s">
        <v>270</v>
      </c>
      <c r="G1" s="2" t="s">
        <v>271</v>
      </c>
    </row>
    <row r="2" spans="1:7" ht="15" customHeight="1" x14ac:dyDescent="0.25">
      <c r="A2" t="s">
        <v>1</v>
      </c>
      <c r="B2">
        <v>1</v>
      </c>
      <c r="C2" t="s">
        <v>272</v>
      </c>
      <c r="D2" t="s">
        <v>273</v>
      </c>
      <c r="E2" t="s">
        <v>274</v>
      </c>
      <c r="F2">
        <v>8</v>
      </c>
      <c r="G2" t="str">
        <f t="shared" ref="G2:G33" si="0">A2&amp;"|"&amp;B2</f>
        <v>S1|1</v>
      </c>
    </row>
    <row r="3" spans="1:7" ht="15" customHeight="1" x14ac:dyDescent="0.25">
      <c r="A3" t="s">
        <v>1</v>
      </c>
      <c r="B3">
        <v>2</v>
      </c>
      <c r="C3" t="s">
        <v>272</v>
      </c>
      <c r="D3" t="s">
        <v>275</v>
      </c>
      <c r="E3" t="s">
        <v>274</v>
      </c>
      <c r="F3">
        <v>8</v>
      </c>
      <c r="G3" t="str">
        <f t="shared" si="0"/>
        <v>S1|2</v>
      </c>
    </row>
    <row r="4" spans="1:7" ht="15" customHeight="1" x14ac:dyDescent="0.25">
      <c r="A4" t="s">
        <v>1</v>
      </c>
      <c r="B4">
        <v>3</v>
      </c>
      <c r="C4" t="s">
        <v>272</v>
      </c>
      <c r="D4" t="s">
        <v>276</v>
      </c>
      <c r="E4" t="s">
        <v>274</v>
      </c>
      <c r="F4">
        <v>8</v>
      </c>
      <c r="G4" t="str">
        <f t="shared" si="0"/>
        <v>S1|3</v>
      </c>
    </row>
    <row r="5" spans="1:7" ht="15" customHeight="1" x14ac:dyDescent="0.25">
      <c r="A5" t="s">
        <v>1</v>
      </c>
      <c r="B5">
        <v>4</v>
      </c>
      <c r="C5" t="s">
        <v>277</v>
      </c>
      <c r="D5" t="s">
        <v>278</v>
      </c>
      <c r="E5" t="s">
        <v>279</v>
      </c>
      <c r="F5">
        <v>8</v>
      </c>
      <c r="G5" t="str">
        <f t="shared" si="0"/>
        <v>S1|4</v>
      </c>
    </row>
    <row r="6" spans="1:7" ht="15" customHeight="1" x14ac:dyDescent="0.25">
      <c r="A6" t="s">
        <v>1</v>
      </c>
      <c r="B6">
        <v>5</v>
      </c>
      <c r="C6" t="s">
        <v>280</v>
      </c>
      <c r="D6" t="s">
        <v>281</v>
      </c>
      <c r="E6" t="s">
        <v>282</v>
      </c>
      <c r="F6">
        <v>9</v>
      </c>
      <c r="G6" t="str">
        <f t="shared" si="0"/>
        <v>S1|5</v>
      </c>
    </row>
    <row r="7" spans="1:7" ht="15" customHeight="1" x14ac:dyDescent="0.25">
      <c r="A7" t="s">
        <v>1</v>
      </c>
      <c r="B7">
        <v>6</v>
      </c>
      <c r="C7" t="s">
        <v>272</v>
      </c>
      <c r="D7" t="s">
        <v>283</v>
      </c>
      <c r="E7" t="s">
        <v>274</v>
      </c>
      <c r="F7">
        <v>8</v>
      </c>
      <c r="G7" t="str">
        <f t="shared" si="0"/>
        <v>S1|6</v>
      </c>
    </row>
    <row r="8" spans="1:7" ht="15" customHeight="1" x14ac:dyDescent="0.25">
      <c r="A8" t="s">
        <v>1</v>
      </c>
      <c r="B8">
        <v>7</v>
      </c>
      <c r="C8" t="s">
        <v>272</v>
      </c>
      <c r="D8" t="s">
        <v>284</v>
      </c>
      <c r="E8" t="s">
        <v>274</v>
      </c>
      <c r="F8">
        <v>8</v>
      </c>
      <c r="G8" t="str">
        <f t="shared" si="0"/>
        <v>S1|7</v>
      </c>
    </row>
    <row r="9" spans="1:7" ht="15" customHeight="1" x14ac:dyDescent="0.25">
      <c r="A9" t="s">
        <v>1</v>
      </c>
      <c r="B9">
        <v>8</v>
      </c>
      <c r="C9" t="s">
        <v>277</v>
      </c>
      <c r="D9" t="s">
        <v>285</v>
      </c>
      <c r="E9" t="s">
        <v>279</v>
      </c>
      <c r="F9">
        <v>8</v>
      </c>
      <c r="G9" t="str">
        <f t="shared" si="0"/>
        <v>S1|8</v>
      </c>
    </row>
    <row r="10" spans="1:7" ht="15" customHeight="1" x14ac:dyDescent="0.25">
      <c r="A10" t="s">
        <v>1</v>
      </c>
      <c r="B10">
        <v>9</v>
      </c>
      <c r="C10" t="s">
        <v>272</v>
      </c>
      <c r="D10" t="s">
        <v>286</v>
      </c>
      <c r="E10" t="s">
        <v>274</v>
      </c>
      <c r="F10">
        <v>8</v>
      </c>
      <c r="G10" t="str">
        <f t="shared" si="0"/>
        <v>S1|9</v>
      </c>
    </row>
    <row r="11" spans="1:7" ht="15" customHeight="1" x14ac:dyDescent="0.25">
      <c r="A11" t="s">
        <v>1</v>
      </c>
      <c r="B11">
        <v>10</v>
      </c>
      <c r="C11" t="s">
        <v>280</v>
      </c>
      <c r="D11" t="s">
        <v>287</v>
      </c>
      <c r="E11" t="s">
        <v>282</v>
      </c>
      <c r="F11">
        <v>9</v>
      </c>
      <c r="G11" t="str">
        <f t="shared" si="0"/>
        <v>S1|10</v>
      </c>
    </row>
    <row r="12" spans="1:7" ht="15" customHeight="1" x14ac:dyDescent="0.25">
      <c r="A12" t="s">
        <v>2</v>
      </c>
      <c r="B12">
        <v>1</v>
      </c>
      <c r="C12" t="s">
        <v>288</v>
      </c>
      <c r="D12" t="s">
        <v>289</v>
      </c>
      <c r="E12" t="s">
        <v>290</v>
      </c>
      <c r="F12">
        <v>14</v>
      </c>
      <c r="G12" t="str">
        <f t="shared" si="0"/>
        <v>S2|1</v>
      </c>
    </row>
    <row r="13" spans="1:7" ht="15" customHeight="1" x14ac:dyDescent="0.25">
      <c r="A13" t="s">
        <v>2</v>
      </c>
      <c r="B13">
        <v>2</v>
      </c>
      <c r="C13" t="s">
        <v>288</v>
      </c>
      <c r="D13" t="s">
        <v>291</v>
      </c>
      <c r="E13" t="s">
        <v>290</v>
      </c>
      <c r="F13">
        <v>14</v>
      </c>
      <c r="G13" t="str">
        <f t="shared" si="0"/>
        <v>S2|2</v>
      </c>
    </row>
    <row r="14" spans="1:7" ht="15" customHeight="1" x14ac:dyDescent="0.25">
      <c r="A14" t="s">
        <v>2</v>
      </c>
      <c r="B14">
        <v>3</v>
      </c>
      <c r="C14" t="s">
        <v>288</v>
      </c>
      <c r="D14" t="s">
        <v>292</v>
      </c>
      <c r="E14" t="s">
        <v>290</v>
      </c>
      <c r="F14">
        <v>14</v>
      </c>
      <c r="G14" t="str">
        <f t="shared" si="0"/>
        <v>S2|3</v>
      </c>
    </row>
    <row r="15" spans="1:7" ht="15" customHeight="1" x14ac:dyDescent="0.25">
      <c r="A15" t="s">
        <v>2</v>
      </c>
      <c r="B15">
        <v>4</v>
      </c>
      <c r="C15" t="s">
        <v>288</v>
      </c>
      <c r="D15" t="s">
        <v>293</v>
      </c>
      <c r="E15" t="s">
        <v>290</v>
      </c>
      <c r="F15">
        <v>14</v>
      </c>
      <c r="G15" t="str">
        <f t="shared" si="0"/>
        <v>S2|4</v>
      </c>
    </row>
    <row r="16" spans="1:7" ht="15" customHeight="1" x14ac:dyDescent="0.25">
      <c r="A16" t="s">
        <v>2</v>
      </c>
      <c r="B16">
        <v>5</v>
      </c>
      <c r="C16" t="s">
        <v>288</v>
      </c>
      <c r="D16" t="s">
        <v>294</v>
      </c>
      <c r="E16" t="s">
        <v>290</v>
      </c>
      <c r="F16">
        <v>14</v>
      </c>
      <c r="G16" t="str">
        <f t="shared" si="0"/>
        <v>S2|5</v>
      </c>
    </row>
    <row r="17" spans="1:7" ht="15" customHeight="1" x14ac:dyDescent="0.25">
      <c r="A17" t="s">
        <v>2</v>
      </c>
      <c r="B17">
        <v>6</v>
      </c>
      <c r="C17" t="s">
        <v>288</v>
      </c>
      <c r="D17" t="s">
        <v>295</v>
      </c>
      <c r="E17" t="s">
        <v>290</v>
      </c>
      <c r="F17">
        <v>14</v>
      </c>
      <c r="G17" t="str">
        <f t="shared" si="0"/>
        <v>S2|6</v>
      </c>
    </row>
    <row r="18" spans="1:7" ht="15" customHeight="1" x14ac:dyDescent="0.25">
      <c r="A18" t="s">
        <v>2</v>
      </c>
      <c r="B18">
        <v>7</v>
      </c>
      <c r="C18" t="s">
        <v>288</v>
      </c>
      <c r="D18" t="s">
        <v>296</v>
      </c>
      <c r="E18" t="s">
        <v>290</v>
      </c>
      <c r="F18">
        <v>14</v>
      </c>
      <c r="G18" t="str">
        <f t="shared" si="0"/>
        <v>S2|7</v>
      </c>
    </row>
    <row r="19" spans="1:7" ht="15" customHeight="1" x14ac:dyDescent="0.25">
      <c r="A19" t="s">
        <v>2</v>
      </c>
      <c r="B19">
        <v>8</v>
      </c>
      <c r="C19" t="s">
        <v>288</v>
      </c>
      <c r="D19" t="s">
        <v>297</v>
      </c>
      <c r="E19" t="s">
        <v>290</v>
      </c>
      <c r="F19">
        <v>14</v>
      </c>
      <c r="G19" t="str">
        <f t="shared" si="0"/>
        <v>S2|8</v>
      </c>
    </row>
    <row r="20" spans="1:7" ht="15" customHeight="1" x14ac:dyDescent="0.25">
      <c r="A20" t="s">
        <v>2</v>
      </c>
      <c r="B20">
        <v>9</v>
      </c>
      <c r="C20" t="s">
        <v>288</v>
      </c>
      <c r="D20" t="s">
        <v>298</v>
      </c>
      <c r="E20" t="s">
        <v>290</v>
      </c>
      <c r="F20">
        <v>14</v>
      </c>
      <c r="G20" t="str">
        <f t="shared" si="0"/>
        <v>S2|9</v>
      </c>
    </row>
    <row r="21" spans="1:7" ht="15" customHeight="1" x14ac:dyDescent="0.25">
      <c r="A21" t="s">
        <v>2</v>
      </c>
      <c r="B21">
        <v>10</v>
      </c>
      <c r="C21" t="s">
        <v>288</v>
      </c>
      <c r="D21" t="s">
        <v>299</v>
      </c>
      <c r="E21" t="s">
        <v>290</v>
      </c>
      <c r="F21">
        <v>14</v>
      </c>
      <c r="G21" t="str">
        <f t="shared" si="0"/>
        <v>S2|10</v>
      </c>
    </row>
    <row r="22" spans="1:7" ht="15" customHeight="1" x14ac:dyDescent="0.25">
      <c r="A22" t="s">
        <v>3</v>
      </c>
      <c r="B22">
        <v>1</v>
      </c>
      <c r="C22" t="s">
        <v>288</v>
      </c>
      <c r="D22" t="s">
        <v>300</v>
      </c>
      <c r="E22" t="s">
        <v>290</v>
      </c>
      <c r="F22">
        <v>14</v>
      </c>
      <c r="G22" t="str">
        <f t="shared" si="0"/>
        <v>S3|1</v>
      </c>
    </row>
    <row r="23" spans="1:7" ht="15" customHeight="1" x14ac:dyDescent="0.25">
      <c r="A23" t="s">
        <v>3</v>
      </c>
      <c r="B23">
        <v>2</v>
      </c>
      <c r="C23" t="s">
        <v>288</v>
      </c>
      <c r="D23" t="s">
        <v>301</v>
      </c>
      <c r="E23" t="s">
        <v>290</v>
      </c>
      <c r="F23">
        <v>14</v>
      </c>
      <c r="G23" t="str">
        <f t="shared" si="0"/>
        <v>S3|2</v>
      </c>
    </row>
    <row r="24" spans="1:7" ht="15" customHeight="1" x14ac:dyDescent="0.25">
      <c r="A24" t="s">
        <v>3</v>
      </c>
      <c r="B24">
        <v>3</v>
      </c>
      <c r="C24" t="s">
        <v>288</v>
      </c>
      <c r="D24" t="s">
        <v>302</v>
      </c>
      <c r="E24" t="s">
        <v>290</v>
      </c>
      <c r="F24">
        <v>14</v>
      </c>
      <c r="G24" t="str">
        <f t="shared" si="0"/>
        <v>S3|3</v>
      </c>
    </row>
    <row r="25" spans="1:7" ht="15" customHeight="1" x14ac:dyDescent="0.25">
      <c r="A25" t="s">
        <v>3</v>
      </c>
      <c r="B25">
        <v>4</v>
      </c>
      <c r="C25" t="s">
        <v>288</v>
      </c>
      <c r="D25" t="s">
        <v>303</v>
      </c>
      <c r="E25" t="s">
        <v>290</v>
      </c>
      <c r="F25">
        <v>14</v>
      </c>
      <c r="G25" t="str">
        <f t="shared" si="0"/>
        <v>S3|4</v>
      </c>
    </row>
    <row r="26" spans="1:7" ht="15" customHeight="1" x14ac:dyDescent="0.25">
      <c r="A26" t="s">
        <v>3</v>
      </c>
      <c r="B26">
        <v>5</v>
      </c>
      <c r="C26" t="s">
        <v>288</v>
      </c>
      <c r="D26" t="s">
        <v>304</v>
      </c>
      <c r="E26" t="s">
        <v>290</v>
      </c>
      <c r="F26">
        <v>14</v>
      </c>
      <c r="G26" t="str">
        <f t="shared" si="0"/>
        <v>S3|5</v>
      </c>
    </row>
    <row r="27" spans="1:7" ht="15" customHeight="1" x14ac:dyDescent="0.25">
      <c r="A27" t="s">
        <v>3</v>
      </c>
      <c r="B27">
        <v>6</v>
      </c>
      <c r="C27" t="s">
        <v>288</v>
      </c>
      <c r="D27" t="s">
        <v>305</v>
      </c>
      <c r="E27" t="s">
        <v>290</v>
      </c>
      <c r="F27">
        <v>14</v>
      </c>
      <c r="G27" t="str">
        <f t="shared" si="0"/>
        <v>S3|6</v>
      </c>
    </row>
    <row r="28" spans="1:7" ht="15" customHeight="1" x14ac:dyDescent="0.25">
      <c r="A28" t="s">
        <v>3</v>
      </c>
      <c r="B28">
        <v>7</v>
      </c>
      <c r="C28" t="s">
        <v>288</v>
      </c>
      <c r="D28" t="s">
        <v>306</v>
      </c>
      <c r="E28" t="s">
        <v>290</v>
      </c>
      <c r="F28">
        <v>14</v>
      </c>
      <c r="G28" t="str">
        <f t="shared" si="0"/>
        <v>S3|7</v>
      </c>
    </row>
    <row r="29" spans="1:7" ht="15" customHeight="1" x14ac:dyDescent="0.25">
      <c r="A29" t="s">
        <v>3</v>
      </c>
      <c r="B29">
        <v>8</v>
      </c>
      <c r="C29" t="s">
        <v>288</v>
      </c>
      <c r="D29" t="s">
        <v>307</v>
      </c>
      <c r="E29" t="s">
        <v>290</v>
      </c>
      <c r="F29">
        <v>14</v>
      </c>
      <c r="G29" t="str">
        <f t="shared" si="0"/>
        <v>S3|8</v>
      </c>
    </row>
    <row r="30" spans="1:7" ht="15" customHeight="1" x14ac:dyDescent="0.25">
      <c r="A30" t="s">
        <v>3</v>
      </c>
      <c r="B30">
        <v>9</v>
      </c>
      <c r="C30" t="s">
        <v>288</v>
      </c>
      <c r="D30" t="s">
        <v>308</v>
      </c>
      <c r="E30" t="s">
        <v>290</v>
      </c>
      <c r="F30">
        <v>14</v>
      </c>
      <c r="G30" t="str">
        <f t="shared" si="0"/>
        <v>S3|9</v>
      </c>
    </row>
    <row r="31" spans="1:7" ht="15" customHeight="1" x14ac:dyDescent="0.25">
      <c r="A31" t="s">
        <v>3</v>
      </c>
      <c r="B31">
        <v>10</v>
      </c>
      <c r="C31" t="s">
        <v>288</v>
      </c>
      <c r="D31" t="s">
        <v>309</v>
      </c>
      <c r="E31" t="s">
        <v>290</v>
      </c>
      <c r="F31">
        <v>14</v>
      </c>
      <c r="G31" t="str">
        <f t="shared" si="0"/>
        <v>S3|10</v>
      </c>
    </row>
    <row r="32" spans="1:7" ht="15" customHeight="1" x14ac:dyDescent="0.25">
      <c r="A32" t="s">
        <v>4</v>
      </c>
      <c r="B32">
        <v>1</v>
      </c>
      <c r="C32" t="s">
        <v>288</v>
      </c>
      <c r="D32" t="s">
        <v>300</v>
      </c>
      <c r="E32" t="s">
        <v>290</v>
      </c>
      <c r="F32">
        <v>14</v>
      </c>
      <c r="G32" t="str">
        <f t="shared" si="0"/>
        <v>S3s|1</v>
      </c>
    </row>
    <row r="33" spans="1:7" ht="15" customHeight="1" x14ac:dyDescent="0.25">
      <c r="A33" t="s">
        <v>4</v>
      </c>
      <c r="B33">
        <v>2</v>
      </c>
      <c r="C33" t="s">
        <v>288</v>
      </c>
      <c r="D33" t="s">
        <v>301</v>
      </c>
      <c r="E33" t="s">
        <v>290</v>
      </c>
      <c r="F33">
        <v>14</v>
      </c>
      <c r="G33" t="str">
        <f t="shared" si="0"/>
        <v>S3s|2</v>
      </c>
    </row>
    <row r="34" spans="1:7" ht="15" customHeight="1" x14ac:dyDescent="0.25">
      <c r="A34" t="s">
        <v>4</v>
      </c>
      <c r="B34">
        <v>3</v>
      </c>
      <c r="C34" t="s">
        <v>288</v>
      </c>
      <c r="D34" t="s">
        <v>302</v>
      </c>
      <c r="E34" t="s">
        <v>290</v>
      </c>
      <c r="F34">
        <v>14</v>
      </c>
      <c r="G34" t="str">
        <f t="shared" ref="G34:G65" si="1">A34&amp;"|"&amp;B34</f>
        <v>S3s|3</v>
      </c>
    </row>
    <row r="35" spans="1:7" ht="15" customHeight="1" x14ac:dyDescent="0.25">
      <c r="A35" t="s">
        <v>4</v>
      </c>
      <c r="B35">
        <v>4</v>
      </c>
      <c r="C35" t="s">
        <v>288</v>
      </c>
      <c r="D35" t="s">
        <v>303</v>
      </c>
      <c r="E35" t="s">
        <v>290</v>
      </c>
      <c r="F35">
        <v>14</v>
      </c>
      <c r="G35" t="str">
        <f t="shared" si="1"/>
        <v>S3s|4</v>
      </c>
    </row>
    <row r="36" spans="1:7" ht="15" customHeight="1" x14ac:dyDescent="0.25">
      <c r="A36" t="s">
        <v>4</v>
      </c>
      <c r="B36">
        <v>5</v>
      </c>
      <c r="C36" t="s">
        <v>288</v>
      </c>
      <c r="D36" t="s">
        <v>304</v>
      </c>
      <c r="E36" t="s">
        <v>290</v>
      </c>
      <c r="F36">
        <v>14</v>
      </c>
      <c r="G36" t="str">
        <f t="shared" si="1"/>
        <v>S3s|5</v>
      </c>
    </row>
    <row r="37" spans="1:7" ht="15" customHeight="1" x14ac:dyDescent="0.25">
      <c r="A37" t="s">
        <v>4</v>
      </c>
      <c r="B37">
        <v>6</v>
      </c>
      <c r="C37" t="s">
        <v>288</v>
      </c>
      <c r="D37" t="s">
        <v>305</v>
      </c>
      <c r="E37" t="s">
        <v>290</v>
      </c>
      <c r="F37">
        <v>14</v>
      </c>
      <c r="G37" t="str">
        <f t="shared" si="1"/>
        <v>S3s|6</v>
      </c>
    </row>
    <row r="38" spans="1:7" ht="15" customHeight="1" x14ac:dyDescent="0.25">
      <c r="A38" t="s">
        <v>4</v>
      </c>
      <c r="B38">
        <v>7</v>
      </c>
      <c r="C38" t="s">
        <v>288</v>
      </c>
      <c r="D38" t="s">
        <v>306</v>
      </c>
      <c r="E38" t="s">
        <v>290</v>
      </c>
      <c r="F38">
        <v>14</v>
      </c>
      <c r="G38" t="str">
        <f t="shared" si="1"/>
        <v>S3s|7</v>
      </c>
    </row>
    <row r="39" spans="1:7" ht="15" customHeight="1" x14ac:dyDescent="0.25">
      <c r="A39" t="s">
        <v>4</v>
      </c>
      <c r="B39">
        <v>8</v>
      </c>
      <c r="C39" t="s">
        <v>288</v>
      </c>
      <c r="D39" t="s">
        <v>307</v>
      </c>
      <c r="E39" t="s">
        <v>290</v>
      </c>
      <c r="F39">
        <v>14</v>
      </c>
      <c r="G39" t="str">
        <f t="shared" si="1"/>
        <v>S3s|8</v>
      </c>
    </row>
    <row r="40" spans="1:7" ht="15" customHeight="1" x14ac:dyDescent="0.25">
      <c r="A40" t="s">
        <v>4</v>
      </c>
      <c r="B40">
        <v>9</v>
      </c>
      <c r="C40" t="s">
        <v>288</v>
      </c>
      <c r="D40" t="s">
        <v>308</v>
      </c>
      <c r="E40" t="s">
        <v>290</v>
      </c>
      <c r="F40">
        <v>14</v>
      </c>
      <c r="G40" t="str">
        <f t="shared" si="1"/>
        <v>S3s|9</v>
      </c>
    </row>
    <row r="41" spans="1:7" ht="15" customHeight="1" x14ac:dyDescent="0.25">
      <c r="A41" t="s">
        <v>4</v>
      </c>
      <c r="B41">
        <v>10</v>
      </c>
      <c r="C41" t="s">
        <v>288</v>
      </c>
      <c r="D41" t="s">
        <v>309</v>
      </c>
      <c r="E41" t="s">
        <v>290</v>
      </c>
      <c r="F41">
        <v>14</v>
      </c>
      <c r="G41" t="str">
        <f t="shared" si="1"/>
        <v>S3s|10</v>
      </c>
    </row>
    <row r="42" spans="1:7" ht="15" customHeight="1" x14ac:dyDescent="0.25">
      <c r="A42" t="s">
        <v>5</v>
      </c>
      <c r="B42">
        <v>1</v>
      </c>
      <c r="C42" t="s">
        <v>288</v>
      </c>
      <c r="D42" t="s">
        <v>310</v>
      </c>
      <c r="E42" t="s">
        <v>290</v>
      </c>
      <c r="F42">
        <v>14</v>
      </c>
      <c r="G42" t="str">
        <f t="shared" si="1"/>
        <v>S4|1</v>
      </c>
    </row>
    <row r="43" spans="1:7" ht="15" customHeight="1" x14ac:dyDescent="0.25">
      <c r="A43" t="s">
        <v>5</v>
      </c>
      <c r="B43">
        <v>2</v>
      </c>
      <c r="C43" t="s">
        <v>288</v>
      </c>
      <c r="D43" t="s">
        <v>311</v>
      </c>
      <c r="E43" t="s">
        <v>290</v>
      </c>
      <c r="F43">
        <v>14</v>
      </c>
      <c r="G43" t="str">
        <f t="shared" si="1"/>
        <v>S4|2</v>
      </c>
    </row>
    <row r="44" spans="1:7" ht="15" customHeight="1" x14ac:dyDescent="0.25">
      <c r="A44" t="s">
        <v>5</v>
      </c>
      <c r="B44">
        <v>3</v>
      </c>
      <c r="C44" t="s">
        <v>288</v>
      </c>
      <c r="D44" t="s">
        <v>312</v>
      </c>
      <c r="E44" t="s">
        <v>290</v>
      </c>
      <c r="F44">
        <v>14</v>
      </c>
      <c r="G44" t="str">
        <f t="shared" si="1"/>
        <v>S4|3</v>
      </c>
    </row>
    <row r="45" spans="1:7" ht="15" customHeight="1" x14ac:dyDescent="0.25">
      <c r="A45" t="s">
        <v>5</v>
      </c>
      <c r="B45">
        <v>4</v>
      </c>
      <c r="C45" t="s">
        <v>288</v>
      </c>
      <c r="D45" t="s">
        <v>313</v>
      </c>
      <c r="E45" t="s">
        <v>290</v>
      </c>
      <c r="F45">
        <v>14</v>
      </c>
      <c r="G45" t="str">
        <f t="shared" si="1"/>
        <v>S4|4</v>
      </c>
    </row>
    <row r="46" spans="1:7" ht="15" customHeight="1" x14ac:dyDescent="0.25">
      <c r="A46" t="s">
        <v>5</v>
      </c>
      <c r="B46">
        <v>5</v>
      </c>
      <c r="C46" t="s">
        <v>288</v>
      </c>
      <c r="D46" t="s">
        <v>287</v>
      </c>
      <c r="E46" t="s">
        <v>290</v>
      </c>
      <c r="F46">
        <v>14</v>
      </c>
      <c r="G46" t="str">
        <f t="shared" si="1"/>
        <v>S4|5</v>
      </c>
    </row>
    <row r="47" spans="1:7" ht="15" customHeight="1" x14ac:dyDescent="0.25">
      <c r="A47" t="s">
        <v>5</v>
      </c>
      <c r="B47">
        <v>6</v>
      </c>
      <c r="C47" t="s">
        <v>288</v>
      </c>
      <c r="D47" t="s">
        <v>314</v>
      </c>
      <c r="E47" t="s">
        <v>290</v>
      </c>
      <c r="F47">
        <v>14</v>
      </c>
      <c r="G47" t="str">
        <f t="shared" si="1"/>
        <v>S4|6</v>
      </c>
    </row>
    <row r="48" spans="1:7" ht="15" customHeight="1" x14ac:dyDescent="0.25">
      <c r="A48" t="s">
        <v>5</v>
      </c>
      <c r="B48">
        <v>7</v>
      </c>
      <c r="C48" t="s">
        <v>288</v>
      </c>
      <c r="D48" t="s">
        <v>315</v>
      </c>
      <c r="E48" t="s">
        <v>290</v>
      </c>
      <c r="F48">
        <v>14</v>
      </c>
      <c r="G48" t="str">
        <f t="shared" si="1"/>
        <v>S4|7</v>
      </c>
    </row>
    <row r="49" spans="1:7" ht="15" customHeight="1" x14ac:dyDescent="0.25">
      <c r="A49" t="s">
        <v>5</v>
      </c>
      <c r="B49">
        <v>8</v>
      </c>
      <c r="C49" t="s">
        <v>288</v>
      </c>
      <c r="D49" t="s">
        <v>316</v>
      </c>
      <c r="E49" t="s">
        <v>290</v>
      </c>
      <c r="F49">
        <v>14</v>
      </c>
      <c r="G49" t="str">
        <f t="shared" si="1"/>
        <v>S4|8</v>
      </c>
    </row>
    <row r="50" spans="1:7" ht="15" customHeight="1" x14ac:dyDescent="0.25">
      <c r="A50" t="s">
        <v>5</v>
      </c>
      <c r="B50">
        <v>9</v>
      </c>
      <c r="C50" t="s">
        <v>288</v>
      </c>
      <c r="D50" t="s">
        <v>317</v>
      </c>
      <c r="E50" t="s">
        <v>290</v>
      </c>
      <c r="F50">
        <v>14</v>
      </c>
      <c r="G50" t="str">
        <f t="shared" si="1"/>
        <v>S4|9</v>
      </c>
    </row>
    <row r="51" spans="1:7" ht="15" customHeight="1" x14ac:dyDescent="0.25">
      <c r="A51" t="s">
        <v>5</v>
      </c>
      <c r="B51">
        <v>10</v>
      </c>
      <c r="C51" t="s">
        <v>288</v>
      </c>
      <c r="D51" t="s">
        <v>318</v>
      </c>
      <c r="E51" t="s">
        <v>290</v>
      </c>
      <c r="F51">
        <v>14</v>
      </c>
      <c r="G51" t="str">
        <f t="shared" si="1"/>
        <v>S4|10</v>
      </c>
    </row>
    <row r="52" spans="1:7" ht="15" customHeight="1" x14ac:dyDescent="0.25">
      <c r="A52" t="s">
        <v>6</v>
      </c>
      <c r="B52">
        <v>1</v>
      </c>
      <c r="C52" t="s">
        <v>288</v>
      </c>
      <c r="D52" t="s">
        <v>319</v>
      </c>
      <c r="E52" t="s">
        <v>290</v>
      </c>
      <c r="F52">
        <v>14</v>
      </c>
      <c r="G52" t="str">
        <f t="shared" si="1"/>
        <v>S5|1</v>
      </c>
    </row>
    <row r="53" spans="1:7" ht="15" customHeight="1" x14ac:dyDescent="0.25">
      <c r="A53" t="s">
        <v>6</v>
      </c>
      <c r="B53">
        <v>2</v>
      </c>
      <c r="C53" t="s">
        <v>277</v>
      </c>
      <c r="D53" t="s">
        <v>320</v>
      </c>
      <c r="E53" t="s">
        <v>279</v>
      </c>
      <c r="F53">
        <v>8</v>
      </c>
      <c r="G53" t="str">
        <f t="shared" si="1"/>
        <v>S5|2</v>
      </c>
    </row>
    <row r="54" spans="1:7" ht="15" customHeight="1" x14ac:dyDescent="0.25">
      <c r="A54" t="s">
        <v>6</v>
      </c>
      <c r="B54">
        <v>3</v>
      </c>
      <c r="C54" t="s">
        <v>288</v>
      </c>
      <c r="D54" t="s">
        <v>321</v>
      </c>
      <c r="E54" t="s">
        <v>290</v>
      </c>
      <c r="F54">
        <v>14</v>
      </c>
      <c r="G54" t="str">
        <f t="shared" si="1"/>
        <v>S5|3</v>
      </c>
    </row>
    <row r="55" spans="1:7" ht="15" customHeight="1" x14ac:dyDescent="0.25">
      <c r="A55" t="s">
        <v>6</v>
      </c>
      <c r="B55">
        <v>4</v>
      </c>
      <c r="C55" t="s">
        <v>288</v>
      </c>
      <c r="D55" t="s">
        <v>322</v>
      </c>
      <c r="E55" t="s">
        <v>290</v>
      </c>
      <c r="F55">
        <v>14</v>
      </c>
      <c r="G55" t="str">
        <f t="shared" si="1"/>
        <v>S5|4</v>
      </c>
    </row>
    <row r="56" spans="1:7" ht="15" customHeight="1" x14ac:dyDescent="0.25">
      <c r="A56" t="s">
        <v>6</v>
      </c>
      <c r="B56">
        <v>5</v>
      </c>
      <c r="C56" t="s">
        <v>280</v>
      </c>
      <c r="D56" t="s">
        <v>323</v>
      </c>
      <c r="E56" t="s">
        <v>282</v>
      </c>
      <c r="F56">
        <v>9</v>
      </c>
      <c r="G56" t="str">
        <f t="shared" si="1"/>
        <v>S5|5</v>
      </c>
    </row>
    <row r="57" spans="1:7" ht="15" customHeight="1" x14ac:dyDescent="0.25">
      <c r="A57" t="s">
        <v>6</v>
      </c>
      <c r="B57">
        <v>6</v>
      </c>
      <c r="C57" t="s">
        <v>272</v>
      </c>
      <c r="D57" t="s">
        <v>324</v>
      </c>
      <c r="E57" t="s">
        <v>274</v>
      </c>
      <c r="F57">
        <v>8</v>
      </c>
      <c r="G57" t="str">
        <f t="shared" si="1"/>
        <v>S5|6</v>
      </c>
    </row>
    <row r="58" spans="1:7" ht="15" customHeight="1" x14ac:dyDescent="0.25">
      <c r="A58" t="s">
        <v>6</v>
      </c>
      <c r="B58">
        <v>7</v>
      </c>
      <c r="C58" t="s">
        <v>288</v>
      </c>
      <c r="D58" t="s">
        <v>325</v>
      </c>
      <c r="E58" t="s">
        <v>290</v>
      </c>
      <c r="F58">
        <v>14</v>
      </c>
      <c r="G58" t="str">
        <f t="shared" si="1"/>
        <v>S5|7</v>
      </c>
    </row>
    <row r="59" spans="1:7" ht="15" customHeight="1" x14ac:dyDescent="0.25">
      <c r="A59" t="s">
        <v>6</v>
      </c>
      <c r="B59">
        <v>8</v>
      </c>
      <c r="C59" t="s">
        <v>272</v>
      </c>
      <c r="D59" t="s">
        <v>325</v>
      </c>
      <c r="E59" t="s">
        <v>274</v>
      </c>
      <c r="F59">
        <v>8</v>
      </c>
      <c r="G59" t="str">
        <f t="shared" si="1"/>
        <v>S5|8</v>
      </c>
    </row>
    <row r="60" spans="1:7" ht="15" customHeight="1" x14ac:dyDescent="0.25">
      <c r="A60" t="s">
        <v>6</v>
      </c>
      <c r="B60">
        <v>9</v>
      </c>
      <c r="C60" t="s">
        <v>288</v>
      </c>
      <c r="D60" t="s">
        <v>326</v>
      </c>
      <c r="E60" t="s">
        <v>290</v>
      </c>
      <c r="F60">
        <v>14</v>
      </c>
      <c r="G60" t="str">
        <f t="shared" si="1"/>
        <v>S5|9</v>
      </c>
    </row>
    <row r="61" spans="1:7" ht="15" customHeight="1" x14ac:dyDescent="0.25">
      <c r="A61" t="s">
        <v>6</v>
      </c>
      <c r="B61">
        <v>10</v>
      </c>
      <c r="C61" t="s">
        <v>288</v>
      </c>
      <c r="D61" t="s">
        <v>327</v>
      </c>
      <c r="E61" t="s">
        <v>290</v>
      </c>
      <c r="F61">
        <v>14</v>
      </c>
      <c r="G61" t="str">
        <f t="shared" si="1"/>
        <v>S5|10</v>
      </c>
    </row>
    <row r="62" spans="1:7" ht="15" customHeight="1" x14ac:dyDescent="0.25">
      <c r="A62" t="s">
        <v>7</v>
      </c>
      <c r="B62">
        <v>1</v>
      </c>
      <c r="C62" t="s">
        <v>280</v>
      </c>
      <c r="D62" t="s">
        <v>328</v>
      </c>
      <c r="E62" t="s">
        <v>282</v>
      </c>
      <c r="F62">
        <v>9</v>
      </c>
      <c r="G62" t="str">
        <f t="shared" si="1"/>
        <v>S6|1</v>
      </c>
    </row>
    <row r="63" spans="1:7" ht="15" customHeight="1" x14ac:dyDescent="0.25">
      <c r="A63" t="s">
        <v>7</v>
      </c>
      <c r="B63">
        <v>2</v>
      </c>
      <c r="C63" t="s">
        <v>272</v>
      </c>
      <c r="D63" t="s">
        <v>329</v>
      </c>
      <c r="E63" t="s">
        <v>274</v>
      </c>
      <c r="F63">
        <v>8</v>
      </c>
      <c r="G63" t="str">
        <f t="shared" si="1"/>
        <v>S6|2</v>
      </c>
    </row>
    <row r="64" spans="1:7" ht="15" customHeight="1" x14ac:dyDescent="0.25">
      <c r="A64" t="s">
        <v>7</v>
      </c>
      <c r="B64">
        <v>3</v>
      </c>
      <c r="C64" t="s">
        <v>288</v>
      </c>
      <c r="D64" t="s">
        <v>330</v>
      </c>
      <c r="E64" t="s">
        <v>290</v>
      </c>
      <c r="F64">
        <v>14</v>
      </c>
      <c r="G64" t="str">
        <f t="shared" si="1"/>
        <v>S6|3</v>
      </c>
    </row>
    <row r="65" spans="1:7" ht="15" customHeight="1" x14ac:dyDescent="0.25">
      <c r="A65" t="s">
        <v>7</v>
      </c>
      <c r="B65">
        <v>4</v>
      </c>
      <c r="C65" t="s">
        <v>277</v>
      </c>
      <c r="D65" t="s">
        <v>331</v>
      </c>
      <c r="E65" t="s">
        <v>279</v>
      </c>
      <c r="F65">
        <v>8</v>
      </c>
      <c r="G65" t="str">
        <f t="shared" si="1"/>
        <v>S6|4</v>
      </c>
    </row>
    <row r="66" spans="1:7" ht="15" customHeight="1" x14ac:dyDescent="0.25">
      <c r="A66" t="s">
        <v>7</v>
      </c>
      <c r="B66">
        <v>5</v>
      </c>
      <c r="C66" t="s">
        <v>280</v>
      </c>
      <c r="D66" t="s">
        <v>332</v>
      </c>
      <c r="E66" t="s">
        <v>282</v>
      </c>
      <c r="F66">
        <v>9</v>
      </c>
      <c r="G66" t="str">
        <f t="shared" ref="G66:G81" si="2">A66&amp;"|"&amp;B66</f>
        <v>S6|5</v>
      </c>
    </row>
    <row r="67" spans="1:7" ht="15" customHeight="1" x14ac:dyDescent="0.25">
      <c r="A67" t="s">
        <v>7</v>
      </c>
      <c r="B67">
        <v>6</v>
      </c>
      <c r="C67" t="s">
        <v>288</v>
      </c>
      <c r="D67" t="s">
        <v>333</v>
      </c>
      <c r="E67" t="s">
        <v>290</v>
      </c>
      <c r="F67">
        <v>14</v>
      </c>
      <c r="G67" t="str">
        <f t="shared" si="2"/>
        <v>S6|6</v>
      </c>
    </row>
    <row r="68" spans="1:7" ht="15" customHeight="1" x14ac:dyDescent="0.25">
      <c r="A68" t="s">
        <v>7</v>
      </c>
      <c r="B68">
        <v>7</v>
      </c>
      <c r="C68" t="s">
        <v>272</v>
      </c>
      <c r="D68" t="s">
        <v>334</v>
      </c>
      <c r="E68" t="s">
        <v>274</v>
      </c>
      <c r="F68">
        <v>8</v>
      </c>
      <c r="G68" t="str">
        <f t="shared" si="2"/>
        <v>S6|7</v>
      </c>
    </row>
    <row r="69" spans="1:7" ht="15" customHeight="1" x14ac:dyDescent="0.25">
      <c r="A69" t="s">
        <v>7</v>
      </c>
      <c r="B69">
        <v>8</v>
      </c>
      <c r="C69" t="s">
        <v>288</v>
      </c>
      <c r="D69" t="s">
        <v>335</v>
      </c>
      <c r="E69" t="s">
        <v>290</v>
      </c>
      <c r="F69">
        <v>14</v>
      </c>
      <c r="G69" t="str">
        <f t="shared" si="2"/>
        <v>S6|8</v>
      </c>
    </row>
    <row r="70" spans="1:7" ht="15" customHeight="1" x14ac:dyDescent="0.25">
      <c r="A70" t="s">
        <v>7</v>
      </c>
      <c r="B70">
        <v>9</v>
      </c>
      <c r="C70" t="s">
        <v>272</v>
      </c>
      <c r="D70" t="s">
        <v>336</v>
      </c>
      <c r="E70" t="s">
        <v>274</v>
      </c>
      <c r="F70">
        <v>8</v>
      </c>
      <c r="G70" t="str">
        <f t="shared" si="2"/>
        <v>S6|9</v>
      </c>
    </row>
    <row r="71" spans="1:7" ht="15" customHeight="1" x14ac:dyDescent="0.25">
      <c r="A71" t="s">
        <v>7</v>
      </c>
      <c r="B71">
        <v>10</v>
      </c>
      <c r="C71" t="s">
        <v>280</v>
      </c>
      <c r="D71" t="s">
        <v>337</v>
      </c>
      <c r="E71" t="s">
        <v>282</v>
      </c>
      <c r="F71">
        <v>9</v>
      </c>
      <c r="G71" t="str">
        <f t="shared" si="2"/>
        <v>S6|10</v>
      </c>
    </row>
    <row r="72" spans="1:7" ht="15" customHeight="1" x14ac:dyDescent="0.25">
      <c r="A72" t="s">
        <v>8</v>
      </c>
      <c r="B72">
        <v>1</v>
      </c>
      <c r="C72" t="s">
        <v>280</v>
      </c>
      <c r="D72" t="s">
        <v>328</v>
      </c>
      <c r="E72" t="s">
        <v>282</v>
      </c>
      <c r="F72">
        <v>9</v>
      </c>
      <c r="G72" t="str">
        <f t="shared" si="2"/>
        <v>S6s|1</v>
      </c>
    </row>
    <row r="73" spans="1:7" ht="15" customHeight="1" x14ac:dyDescent="0.25">
      <c r="A73" t="s">
        <v>8</v>
      </c>
      <c r="B73">
        <v>2</v>
      </c>
      <c r="C73" t="s">
        <v>272</v>
      </c>
      <c r="D73" t="s">
        <v>329</v>
      </c>
      <c r="E73" t="s">
        <v>274</v>
      </c>
      <c r="F73">
        <v>8</v>
      </c>
      <c r="G73" t="str">
        <f t="shared" si="2"/>
        <v>S6s|2</v>
      </c>
    </row>
    <row r="74" spans="1:7" ht="15" customHeight="1" x14ac:dyDescent="0.25">
      <c r="A74" t="s">
        <v>8</v>
      </c>
      <c r="B74">
        <v>3</v>
      </c>
      <c r="C74" t="s">
        <v>288</v>
      </c>
      <c r="D74" t="s">
        <v>330</v>
      </c>
      <c r="E74" t="s">
        <v>290</v>
      </c>
      <c r="F74">
        <v>14</v>
      </c>
      <c r="G74" t="str">
        <f t="shared" si="2"/>
        <v>S6s|3</v>
      </c>
    </row>
    <row r="75" spans="1:7" ht="15" customHeight="1" x14ac:dyDescent="0.25">
      <c r="A75" t="s">
        <v>8</v>
      </c>
      <c r="B75">
        <v>4</v>
      </c>
      <c r="C75" t="s">
        <v>277</v>
      </c>
      <c r="D75" t="s">
        <v>331</v>
      </c>
      <c r="E75" t="s">
        <v>279</v>
      </c>
      <c r="F75">
        <v>8</v>
      </c>
      <c r="G75" t="str">
        <f t="shared" si="2"/>
        <v>S6s|4</v>
      </c>
    </row>
    <row r="76" spans="1:7" ht="15" customHeight="1" x14ac:dyDescent="0.25">
      <c r="A76" t="s">
        <v>8</v>
      </c>
      <c r="B76">
        <v>5</v>
      </c>
      <c r="C76" t="s">
        <v>280</v>
      </c>
      <c r="D76" t="s">
        <v>332</v>
      </c>
      <c r="E76" t="s">
        <v>282</v>
      </c>
      <c r="F76">
        <v>9</v>
      </c>
      <c r="G76" t="str">
        <f t="shared" si="2"/>
        <v>S6s|5</v>
      </c>
    </row>
    <row r="77" spans="1:7" ht="15" customHeight="1" x14ac:dyDescent="0.25">
      <c r="A77" t="s">
        <v>8</v>
      </c>
      <c r="B77">
        <v>6</v>
      </c>
      <c r="C77" t="s">
        <v>288</v>
      </c>
      <c r="D77" t="s">
        <v>333</v>
      </c>
      <c r="E77" t="s">
        <v>290</v>
      </c>
      <c r="F77">
        <v>14</v>
      </c>
      <c r="G77" t="str">
        <f t="shared" si="2"/>
        <v>S6s|6</v>
      </c>
    </row>
    <row r="78" spans="1:7" ht="15" customHeight="1" x14ac:dyDescent="0.25">
      <c r="A78" t="s">
        <v>8</v>
      </c>
      <c r="B78">
        <v>7</v>
      </c>
      <c r="C78" t="s">
        <v>272</v>
      </c>
      <c r="D78" t="s">
        <v>334</v>
      </c>
      <c r="E78" t="s">
        <v>274</v>
      </c>
      <c r="F78">
        <v>8</v>
      </c>
      <c r="G78" t="str">
        <f t="shared" si="2"/>
        <v>S6s|7</v>
      </c>
    </row>
    <row r="79" spans="1:7" ht="15" customHeight="1" x14ac:dyDescent="0.25">
      <c r="A79" t="s">
        <v>8</v>
      </c>
      <c r="B79">
        <v>8</v>
      </c>
      <c r="C79" t="s">
        <v>288</v>
      </c>
      <c r="D79" t="s">
        <v>335</v>
      </c>
      <c r="E79" t="s">
        <v>290</v>
      </c>
      <c r="F79">
        <v>14</v>
      </c>
      <c r="G79" t="str">
        <f t="shared" si="2"/>
        <v>S6s|8</v>
      </c>
    </row>
    <row r="80" spans="1:7" ht="15" customHeight="1" x14ac:dyDescent="0.25">
      <c r="A80" t="s">
        <v>8</v>
      </c>
      <c r="B80">
        <v>9</v>
      </c>
      <c r="C80" t="s">
        <v>272</v>
      </c>
      <c r="D80" t="s">
        <v>336</v>
      </c>
      <c r="E80" t="s">
        <v>274</v>
      </c>
      <c r="F80">
        <v>8</v>
      </c>
      <c r="G80" t="str">
        <f t="shared" si="2"/>
        <v>S6s|9</v>
      </c>
    </row>
    <row r="81" spans="1:7" ht="15" customHeight="1" x14ac:dyDescent="0.25">
      <c r="A81" t="s">
        <v>8</v>
      </c>
      <c r="B81">
        <v>10</v>
      </c>
      <c r="C81" t="s">
        <v>280</v>
      </c>
      <c r="D81" t="s">
        <v>337</v>
      </c>
      <c r="E81" t="s">
        <v>282</v>
      </c>
      <c r="F81">
        <v>9</v>
      </c>
      <c r="G81" t="str">
        <f t="shared" si="2"/>
        <v>S6s|10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B7DB1"/>
  </sheetPr>
  <dimension ref="A1:J81"/>
  <sheetViews>
    <sheetView zoomScaleNormal="100" workbookViewId="0">
      <pane ySplit="1" topLeftCell="A2" activePane="bottomLeft" state="frozen"/>
      <selection pane="bottomLeft" sqref="A1:J1048576"/>
    </sheetView>
  </sheetViews>
  <sheetFormatPr baseColWidth="10" defaultColWidth="9.140625" defaultRowHeight="15" x14ac:dyDescent="0.25"/>
  <cols>
    <col min="1" max="1" width="4.42578125" bestFit="1" customWidth="1"/>
    <col min="2" max="2" width="6.7109375" bestFit="1" customWidth="1"/>
    <col min="3" max="3" width="12.85546875" bestFit="1" customWidth="1"/>
    <col min="4" max="4" width="13.42578125" bestFit="1" customWidth="1"/>
    <col min="5" max="5" width="9.5703125" bestFit="1" customWidth="1"/>
    <col min="6" max="6" width="16.28515625" bestFit="1" customWidth="1"/>
    <col min="7" max="7" width="22.42578125" bestFit="1" customWidth="1"/>
    <col min="8" max="8" width="22.7109375" bestFit="1" customWidth="1"/>
    <col min="9" max="9" width="27.5703125" bestFit="1" customWidth="1"/>
    <col min="10" max="10" width="6.85546875" bestFit="1" customWidth="1"/>
  </cols>
  <sheetData>
    <row r="1" spans="1:10" ht="15" customHeight="1" x14ac:dyDescent="0.25">
      <c r="A1" s="11" t="s">
        <v>55</v>
      </c>
      <c r="B1" s="11" t="s">
        <v>74</v>
      </c>
      <c r="C1" s="11" t="s">
        <v>268</v>
      </c>
      <c r="D1" s="11" t="s">
        <v>78</v>
      </c>
      <c r="E1" s="11" t="s">
        <v>338</v>
      </c>
      <c r="F1" s="11" t="s">
        <v>339</v>
      </c>
      <c r="G1" s="11" t="s">
        <v>340</v>
      </c>
      <c r="H1" s="11" t="s">
        <v>341</v>
      </c>
      <c r="I1" s="11" t="s">
        <v>342</v>
      </c>
      <c r="J1" s="2" t="s">
        <v>271</v>
      </c>
    </row>
    <row r="2" spans="1:10" ht="15" customHeight="1" x14ac:dyDescent="0.25">
      <c r="A2" t="s">
        <v>1</v>
      </c>
      <c r="B2">
        <v>1</v>
      </c>
      <c r="C2" t="s">
        <v>272</v>
      </c>
      <c r="D2">
        <v>0</v>
      </c>
      <c r="E2">
        <v>571.53</v>
      </c>
      <c r="F2">
        <v>571.53</v>
      </c>
      <c r="G2">
        <v>541.33000000000004</v>
      </c>
      <c r="H2">
        <v>445.1</v>
      </c>
      <c r="I2">
        <v>478.03</v>
      </c>
      <c r="J2" t="str">
        <f t="shared" ref="J2:J33" si="0">A2&amp;"|"&amp;B2</f>
        <v>S1|1</v>
      </c>
    </row>
    <row r="3" spans="1:10" ht="15" customHeight="1" x14ac:dyDescent="0.25">
      <c r="A3" t="s">
        <v>1</v>
      </c>
      <c r="B3">
        <v>2</v>
      </c>
      <c r="C3" t="s">
        <v>272</v>
      </c>
      <c r="D3">
        <v>120</v>
      </c>
      <c r="E3">
        <v>753.07</v>
      </c>
      <c r="F3">
        <v>633.07000000000005</v>
      </c>
      <c r="G3">
        <v>601.14</v>
      </c>
      <c r="H3">
        <v>445.1</v>
      </c>
      <c r="I3">
        <v>570.57000000000005</v>
      </c>
      <c r="J3" t="str">
        <f t="shared" si="0"/>
        <v>S1|2</v>
      </c>
    </row>
    <row r="4" spans="1:10" ht="15" customHeight="1" x14ac:dyDescent="0.25">
      <c r="A4" t="s">
        <v>1</v>
      </c>
      <c r="B4">
        <v>3</v>
      </c>
      <c r="C4" t="s">
        <v>272</v>
      </c>
      <c r="D4">
        <v>240</v>
      </c>
      <c r="E4">
        <v>901.53</v>
      </c>
      <c r="F4">
        <v>661.53</v>
      </c>
      <c r="G4">
        <v>629.6</v>
      </c>
      <c r="H4">
        <v>445.1</v>
      </c>
      <c r="I4">
        <v>482.57</v>
      </c>
      <c r="J4" t="str">
        <f t="shared" si="0"/>
        <v>S1|3</v>
      </c>
    </row>
    <row r="5" spans="1:10" ht="15" customHeight="1" x14ac:dyDescent="0.25">
      <c r="A5" t="s">
        <v>1</v>
      </c>
      <c r="B5">
        <v>4</v>
      </c>
      <c r="C5" t="s">
        <v>277</v>
      </c>
      <c r="D5">
        <v>360</v>
      </c>
      <c r="E5">
        <v>961.53</v>
      </c>
      <c r="F5">
        <v>601.53</v>
      </c>
      <c r="G5">
        <v>566.20000000000005</v>
      </c>
      <c r="H5">
        <v>374.1</v>
      </c>
      <c r="I5">
        <v>493.23</v>
      </c>
      <c r="J5" t="str">
        <f t="shared" si="0"/>
        <v>S1|4</v>
      </c>
    </row>
    <row r="6" spans="1:10" ht="15" customHeight="1" x14ac:dyDescent="0.25">
      <c r="A6" t="s">
        <v>1</v>
      </c>
      <c r="B6">
        <v>5</v>
      </c>
      <c r="C6" t="s">
        <v>280</v>
      </c>
      <c r="D6">
        <v>540</v>
      </c>
      <c r="E6">
        <v>1444.93</v>
      </c>
      <c r="F6">
        <v>904.93</v>
      </c>
      <c r="G6">
        <v>871.46</v>
      </c>
      <c r="H6">
        <v>444.1</v>
      </c>
      <c r="I6">
        <v>781.23</v>
      </c>
      <c r="J6" t="str">
        <f t="shared" si="0"/>
        <v>S1|5</v>
      </c>
    </row>
    <row r="7" spans="1:10" ht="15" customHeight="1" x14ac:dyDescent="0.25">
      <c r="A7" t="s">
        <v>1</v>
      </c>
      <c r="B7">
        <v>6</v>
      </c>
      <c r="C7" t="s">
        <v>272</v>
      </c>
      <c r="D7">
        <v>600</v>
      </c>
      <c r="E7">
        <v>1621.53</v>
      </c>
      <c r="F7">
        <v>1021.53</v>
      </c>
      <c r="G7">
        <v>986.53</v>
      </c>
      <c r="H7">
        <v>445.1</v>
      </c>
      <c r="I7">
        <v>922.9</v>
      </c>
      <c r="J7" t="str">
        <f t="shared" si="0"/>
        <v>S1|6</v>
      </c>
    </row>
    <row r="8" spans="1:10" ht="15" customHeight="1" x14ac:dyDescent="0.25">
      <c r="A8" t="s">
        <v>1</v>
      </c>
      <c r="B8">
        <v>7</v>
      </c>
      <c r="C8" t="s">
        <v>272</v>
      </c>
      <c r="D8">
        <v>720</v>
      </c>
      <c r="E8">
        <v>1801.53</v>
      </c>
      <c r="F8">
        <v>1081.53</v>
      </c>
      <c r="G8">
        <v>1046.53</v>
      </c>
      <c r="H8">
        <v>445.1</v>
      </c>
      <c r="I8">
        <v>987.83</v>
      </c>
      <c r="J8" t="str">
        <f t="shared" si="0"/>
        <v>S1|7</v>
      </c>
    </row>
    <row r="9" spans="1:10" ht="15" customHeight="1" x14ac:dyDescent="0.25">
      <c r="A9" t="s">
        <v>1</v>
      </c>
      <c r="B9">
        <v>8</v>
      </c>
      <c r="C9" t="s">
        <v>277</v>
      </c>
      <c r="D9">
        <v>870</v>
      </c>
      <c r="E9">
        <v>1860.87</v>
      </c>
      <c r="F9">
        <v>990.87</v>
      </c>
      <c r="G9">
        <v>957.4</v>
      </c>
      <c r="H9">
        <v>374.1</v>
      </c>
      <c r="I9">
        <v>913.1</v>
      </c>
      <c r="J9" t="str">
        <f t="shared" si="0"/>
        <v>S1|8</v>
      </c>
    </row>
    <row r="10" spans="1:10" ht="15" customHeight="1" x14ac:dyDescent="0.25">
      <c r="A10" t="s">
        <v>1</v>
      </c>
      <c r="B10">
        <v>9</v>
      </c>
      <c r="C10" t="s">
        <v>272</v>
      </c>
      <c r="D10">
        <v>1110</v>
      </c>
      <c r="E10">
        <v>2341.5300000000002</v>
      </c>
      <c r="F10">
        <v>1231.53</v>
      </c>
      <c r="G10">
        <v>1198.06</v>
      </c>
      <c r="H10">
        <v>445.1</v>
      </c>
      <c r="I10">
        <v>1107.83</v>
      </c>
      <c r="J10" t="str">
        <f t="shared" si="0"/>
        <v>S1|9</v>
      </c>
    </row>
    <row r="11" spans="1:10" ht="15" customHeight="1" x14ac:dyDescent="0.25">
      <c r="A11" t="s">
        <v>1</v>
      </c>
      <c r="B11">
        <v>10</v>
      </c>
      <c r="C11" t="s">
        <v>280</v>
      </c>
      <c r="D11">
        <v>1800</v>
      </c>
      <c r="E11">
        <v>2371.5300000000002</v>
      </c>
      <c r="F11">
        <v>571.53</v>
      </c>
      <c r="G11">
        <v>538.05999999999995</v>
      </c>
      <c r="H11">
        <v>236</v>
      </c>
      <c r="I11">
        <v>422.87</v>
      </c>
      <c r="J11" t="str">
        <f t="shared" si="0"/>
        <v>S1|10</v>
      </c>
    </row>
    <row r="12" spans="1:10" ht="15" customHeight="1" x14ac:dyDescent="0.25">
      <c r="A12" t="s">
        <v>2</v>
      </c>
      <c r="B12">
        <v>1</v>
      </c>
      <c r="C12" t="s">
        <v>288</v>
      </c>
      <c r="D12">
        <v>0</v>
      </c>
      <c r="E12">
        <v>1171.53</v>
      </c>
      <c r="F12">
        <v>1171.53</v>
      </c>
      <c r="G12">
        <v>1141.33</v>
      </c>
      <c r="H12">
        <v>1089.3</v>
      </c>
      <c r="I12">
        <v>594.5</v>
      </c>
      <c r="J12" t="str">
        <f t="shared" si="0"/>
        <v>S2|1</v>
      </c>
    </row>
    <row r="13" spans="1:10" ht="15" customHeight="1" x14ac:dyDescent="0.25">
      <c r="A13" t="s">
        <v>2</v>
      </c>
      <c r="B13">
        <v>2</v>
      </c>
      <c r="C13" t="s">
        <v>288</v>
      </c>
      <c r="D13">
        <v>60</v>
      </c>
      <c r="E13">
        <v>1233.07</v>
      </c>
      <c r="F13">
        <v>1173.07</v>
      </c>
      <c r="G13">
        <v>1140.27</v>
      </c>
      <c r="H13">
        <v>1089.3</v>
      </c>
      <c r="I13">
        <v>591.73</v>
      </c>
      <c r="J13" t="str">
        <f t="shared" si="0"/>
        <v>S2|2</v>
      </c>
    </row>
    <row r="14" spans="1:10" ht="15" customHeight="1" x14ac:dyDescent="0.25">
      <c r="A14" t="s">
        <v>2</v>
      </c>
      <c r="B14">
        <v>3</v>
      </c>
      <c r="C14" t="s">
        <v>288</v>
      </c>
      <c r="D14">
        <v>120</v>
      </c>
      <c r="E14">
        <v>1293.07</v>
      </c>
      <c r="F14">
        <v>1173.07</v>
      </c>
      <c r="G14">
        <v>1137.9000000000001</v>
      </c>
      <c r="H14">
        <v>1089.3</v>
      </c>
      <c r="I14">
        <v>589.5</v>
      </c>
      <c r="J14" t="str">
        <f t="shared" si="0"/>
        <v>S2|3</v>
      </c>
    </row>
    <row r="15" spans="1:10" ht="15" customHeight="1" x14ac:dyDescent="0.25">
      <c r="A15" t="s">
        <v>2</v>
      </c>
      <c r="B15">
        <v>4</v>
      </c>
      <c r="C15" t="s">
        <v>288</v>
      </c>
      <c r="D15">
        <v>180</v>
      </c>
      <c r="E15">
        <v>1353.07</v>
      </c>
      <c r="F15">
        <v>1173.07</v>
      </c>
      <c r="G15">
        <v>1137.17</v>
      </c>
      <c r="H15">
        <v>1089.3</v>
      </c>
      <c r="I15">
        <v>590.33000000000004</v>
      </c>
      <c r="J15" t="str">
        <f t="shared" si="0"/>
        <v>S2|4</v>
      </c>
    </row>
    <row r="16" spans="1:10" ht="15" customHeight="1" x14ac:dyDescent="0.25">
      <c r="A16" t="s">
        <v>2</v>
      </c>
      <c r="B16">
        <v>5</v>
      </c>
      <c r="C16" t="s">
        <v>288</v>
      </c>
      <c r="D16">
        <v>240</v>
      </c>
      <c r="E16">
        <v>2251.5300000000002</v>
      </c>
      <c r="F16">
        <v>2011.53</v>
      </c>
      <c r="G16">
        <v>1976.53</v>
      </c>
      <c r="H16">
        <v>1089.3</v>
      </c>
      <c r="I16">
        <v>1429.03</v>
      </c>
      <c r="J16" t="str">
        <f t="shared" si="0"/>
        <v>S2|5</v>
      </c>
    </row>
    <row r="17" spans="1:10" ht="15" customHeight="1" x14ac:dyDescent="0.25">
      <c r="A17" t="s">
        <v>2</v>
      </c>
      <c r="B17">
        <v>6</v>
      </c>
      <c r="C17" t="s">
        <v>288</v>
      </c>
      <c r="D17">
        <v>300</v>
      </c>
      <c r="E17">
        <v>2311.5300000000002</v>
      </c>
      <c r="F17">
        <v>2011.53</v>
      </c>
      <c r="G17">
        <v>1976.53</v>
      </c>
      <c r="H17">
        <v>1089.3</v>
      </c>
      <c r="I17">
        <v>1430.57</v>
      </c>
      <c r="J17" t="str">
        <f t="shared" si="0"/>
        <v>S2|6</v>
      </c>
    </row>
    <row r="18" spans="1:10" ht="15" customHeight="1" x14ac:dyDescent="0.25">
      <c r="A18" t="s">
        <v>2</v>
      </c>
      <c r="B18">
        <v>7</v>
      </c>
      <c r="C18" t="s">
        <v>288</v>
      </c>
      <c r="D18">
        <v>390</v>
      </c>
      <c r="E18">
        <v>2371.5300000000002</v>
      </c>
      <c r="F18">
        <v>1981.53</v>
      </c>
      <c r="G18">
        <v>1946.53</v>
      </c>
      <c r="H18">
        <v>1089.3</v>
      </c>
      <c r="I18">
        <v>1399.03</v>
      </c>
      <c r="J18" t="str">
        <f t="shared" si="0"/>
        <v>S2|7</v>
      </c>
    </row>
    <row r="19" spans="1:10" ht="15" customHeight="1" x14ac:dyDescent="0.25">
      <c r="A19" t="s">
        <v>2</v>
      </c>
      <c r="B19">
        <v>8</v>
      </c>
      <c r="C19" t="s">
        <v>288</v>
      </c>
      <c r="D19">
        <v>435</v>
      </c>
      <c r="E19">
        <v>2346.13</v>
      </c>
      <c r="F19">
        <v>1911.13</v>
      </c>
      <c r="G19">
        <v>1888.93</v>
      </c>
      <c r="H19">
        <v>1008.7</v>
      </c>
      <c r="I19">
        <v>1389.83</v>
      </c>
      <c r="J19" t="str">
        <f t="shared" si="0"/>
        <v>S2|8</v>
      </c>
    </row>
    <row r="20" spans="1:10" ht="15" customHeight="1" x14ac:dyDescent="0.25">
      <c r="A20" t="s">
        <v>2</v>
      </c>
      <c r="B20">
        <v>9</v>
      </c>
      <c r="C20" t="s">
        <v>288</v>
      </c>
      <c r="D20">
        <v>480</v>
      </c>
      <c r="E20">
        <v>2341.5300000000002</v>
      </c>
      <c r="F20">
        <v>1861.53</v>
      </c>
      <c r="G20">
        <v>1825</v>
      </c>
      <c r="H20">
        <v>97</v>
      </c>
      <c r="I20">
        <v>1787.13</v>
      </c>
      <c r="J20" t="str">
        <f t="shared" si="0"/>
        <v>S2|9</v>
      </c>
    </row>
    <row r="21" spans="1:10" ht="15" customHeight="1" x14ac:dyDescent="0.25">
      <c r="A21" t="s">
        <v>2</v>
      </c>
      <c r="B21">
        <v>10</v>
      </c>
      <c r="C21" t="s">
        <v>288</v>
      </c>
      <c r="D21">
        <v>540</v>
      </c>
      <c r="E21">
        <v>2343.0700000000002</v>
      </c>
      <c r="F21">
        <v>1803.07</v>
      </c>
      <c r="G21">
        <v>1767.4</v>
      </c>
      <c r="H21">
        <v>97</v>
      </c>
      <c r="I21">
        <v>1701.8</v>
      </c>
      <c r="J21" t="str">
        <f t="shared" si="0"/>
        <v>S2|10</v>
      </c>
    </row>
    <row r="22" spans="1:10" ht="15" customHeight="1" x14ac:dyDescent="0.25">
      <c r="A22" t="s">
        <v>3</v>
      </c>
      <c r="B22">
        <v>1</v>
      </c>
      <c r="C22" t="s">
        <v>288</v>
      </c>
      <c r="D22">
        <v>0</v>
      </c>
      <c r="E22">
        <v>843.93</v>
      </c>
      <c r="F22">
        <v>843.93</v>
      </c>
      <c r="G22">
        <v>813.73</v>
      </c>
      <c r="H22">
        <v>700.3</v>
      </c>
      <c r="I22">
        <v>539.77</v>
      </c>
      <c r="J22" t="str">
        <f t="shared" si="0"/>
        <v>S3|1</v>
      </c>
    </row>
    <row r="23" spans="1:10" ht="15" customHeight="1" x14ac:dyDescent="0.25">
      <c r="A23" t="s">
        <v>3</v>
      </c>
      <c r="B23">
        <v>2</v>
      </c>
      <c r="C23" t="s">
        <v>288</v>
      </c>
      <c r="D23">
        <v>90</v>
      </c>
      <c r="E23">
        <v>1084.5999999999999</v>
      </c>
      <c r="F23">
        <v>994.6</v>
      </c>
      <c r="G23">
        <v>962.67</v>
      </c>
      <c r="H23">
        <v>823.3</v>
      </c>
      <c r="I23">
        <v>566</v>
      </c>
      <c r="J23" t="str">
        <f t="shared" si="0"/>
        <v>S3|2</v>
      </c>
    </row>
    <row r="24" spans="1:10" ht="15" customHeight="1" x14ac:dyDescent="0.25">
      <c r="A24" t="s">
        <v>3</v>
      </c>
      <c r="B24">
        <v>3</v>
      </c>
      <c r="C24" t="s">
        <v>288</v>
      </c>
      <c r="D24">
        <v>180</v>
      </c>
      <c r="E24">
        <v>1321.53</v>
      </c>
      <c r="F24">
        <v>1141.53</v>
      </c>
      <c r="G24">
        <v>1106.53</v>
      </c>
      <c r="H24">
        <v>823.3</v>
      </c>
      <c r="I24">
        <v>644.70000000000005</v>
      </c>
      <c r="J24" t="str">
        <f t="shared" si="0"/>
        <v>S3|3</v>
      </c>
    </row>
    <row r="25" spans="1:10" ht="15" customHeight="1" x14ac:dyDescent="0.25">
      <c r="A25" t="s">
        <v>3</v>
      </c>
      <c r="B25">
        <v>4</v>
      </c>
      <c r="C25" t="s">
        <v>288</v>
      </c>
      <c r="D25">
        <v>270</v>
      </c>
      <c r="E25">
        <v>1563.07</v>
      </c>
      <c r="F25">
        <v>1293.07</v>
      </c>
      <c r="G25">
        <v>1259.5999999999999</v>
      </c>
      <c r="H25">
        <v>823.3</v>
      </c>
      <c r="I25">
        <v>764.73</v>
      </c>
      <c r="J25" t="str">
        <f t="shared" si="0"/>
        <v>S3|4</v>
      </c>
    </row>
    <row r="26" spans="1:10" ht="15" customHeight="1" x14ac:dyDescent="0.25">
      <c r="A26" t="s">
        <v>3</v>
      </c>
      <c r="B26">
        <v>5</v>
      </c>
      <c r="C26" t="s">
        <v>288</v>
      </c>
      <c r="D26">
        <v>360</v>
      </c>
      <c r="E26">
        <v>1803.07</v>
      </c>
      <c r="F26">
        <v>1443.07</v>
      </c>
      <c r="G26">
        <v>1407.74</v>
      </c>
      <c r="H26">
        <v>823.3</v>
      </c>
      <c r="I26">
        <v>878.47</v>
      </c>
      <c r="J26" t="str">
        <f t="shared" si="0"/>
        <v>S3|5</v>
      </c>
    </row>
    <row r="27" spans="1:10" ht="15" customHeight="1" x14ac:dyDescent="0.25">
      <c r="A27" t="s">
        <v>3</v>
      </c>
      <c r="B27">
        <v>6</v>
      </c>
      <c r="C27" t="s">
        <v>288</v>
      </c>
      <c r="D27">
        <v>450</v>
      </c>
      <c r="E27">
        <v>2016.47</v>
      </c>
      <c r="F27">
        <v>1566.47</v>
      </c>
      <c r="G27">
        <v>1529.6</v>
      </c>
      <c r="H27">
        <v>823.3</v>
      </c>
      <c r="I27">
        <v>977.43</v>
      </c>
      <c r="J27" t="str">
        <f t="shared" si="0"/>
        <v>S3|6</v>
      </c>
    </row>
    <row r="28" spans="1:10" ht="15" customHeight="1" x14ac:dyDescent="0.25">
      <c r="A28" t="s">
        <v>3</v>
      </c>
      <c r="B28">
        <v>7</v>
      </c>
      <c r="C28" t="s">
        <v>288</v>
      </c>
      <c r="D28">
        <v>600</v>
      </c>
      <c r="E28">
        <v>2251.5300000000002</v>
      </c>
      <c r="F28">
        <v>1651.53</v>
      </c>
      <c r="G28">
        <v>1616.53</v>
      </c>
      <c r="H28">
        <v>823.3</v>
      </c>
      <c r="I28">
        <v>1117.67</v>
      </c>
      <c r="J28" t="str">
        <f t="shared" si="0"/>
        <v>S3|7</v>
      </c>
    </row>
    <row r="29" spans="1:10" ht="15" customHeight="1" x14ac:dyDescent="0.25">
      <c r="A29" t="s">
        <v>3</v>
      </c>
      <c r="B29">
        <v>8</v>
      </c>
      <c r="C29" t="s">
        <v>288</v>
      </c>
      <c r="D29">
        <v>630</v>
      </c>
      <c r="E29">
        <v>2374.9299999999998</v>
      </c>
      <c r="F29">
        <v>1744.93</v>
      </c>
      <c r="G29">
        <v>1710.6</v>
      </c>
      <c r="H29">
        <v>768.7</v>
      </c>
      <c r="I29">
        <v>1198.5</v>
      </c>
      <c r="J29" t="str">
        <f t="shared" si="0"/>
        <v>S3|8</v>
      </c>
    </row>
    <row r="30" spans="1:10" ht="15" customHeight="1" x14ac:dyDescent="0.25">
      <c r="A30" t="s">
        <v>3</v>
      </c>
      <c r="B30">
        <v>9</v>
      </c>
      <c r="C30" t="s">
        <v>288</v>
      </c>
      <c r="D30">
        <v>780</v>
      </c>
      <c r="E30">
        <v>2193.4</v>
      </c>
      <c r="F30">
        <v>1413.4</v>
      </c>
      <c r="G30">
        <v>1376.53</v>
      </c>
      <c r="H30">
        <v>590.1</v>
      </c>
      <c r="I30">
        <v>962.23</v>
      </c>
      <c r="J30" t="str">
        <f t="shared" si="0"/>
        <v>S3|9</v>
      </c>
    </row>
    <row r="31" spans="1:10" ht="15" customHeight="1" x14ac:dyDescent="0.25">
      <c r="A31" t="s">
        <v>3</v>
      </c>
      <c r="B31">
        <v>10</v>
      </c>
      <c r="C31" t="s">
        <v>288</v>
      </c>
      <c r="D31">
        <v>840</v>
      </c>
      <c r="E31">
        <v>2373.4</v>
      </c>
      <c r="F31">
        <v>1533.4</v>
      </c>
      <c r="G31">
        <v>1495</v>
      </c>
      <c r="H31">
        <v>590.1</v>
      </c>
      <c r="I31">
        <v>1115.57</v>
      </c>
      <c r="J31" t="str">
        <f t="shared" si="0"/>
        <v>S3|10</v>
      </c>
    </row>
    <row r="32" spans="1:10" ht="15" customHeight="1" x14ac:dyDescent="0.25">
      <c r="A32" t="s">
        <v>4</v>
      </c>
      <c r="B32">
        <v>1</v>
      </c>
      <c r="C32" t="s">
        <v>288</v>
      </c>
      <c r="D32">
        <v>0</v>
      </c>
      <c r="E32">
        <v>1083.07</v>
      </c>
      <c r="F32">
        <v>1083.07</v>
      </c>
      <c r="G32">
        <v>1052.8699999999999</v>
      </c>
      <c r="H32">
        <v>1027.3</v>
      </c>
      <c r="I32">
        <v>637.77</v>
      </c>
      <c r="J32" t="str">
        <f t="shared" si="0"/>
        <v>S3s|1</v>
      </c>
    </row>
    <row r="33" spans="1:10" ht="15" customHeight="1" x14ac:dyDescent="0.25">
      <c r="A33" t="s">
        <v>4</v>
      </c>
      <c r="B33">
        <v>2</v>
      </c>
      <c r="C33" t="s">
        <v>288</v>
      </c>
      <c r="D33">
        <v>90</v>
      </c>
      <c r="E33">
        <v>1358.47</v>
      </c>
      <c r="F33">
        <v>1268.47</v>
      </c>
      <c r="G33">
        <v>1236.54</v>
      </c>
      <c r="H33">
        <v>1027.3</v>
      </c>
      <c r="I33">
        <v>705.43</v>
      </c>
      <c r="J33" t="str">
        <f t="shared" si="0"/>
        <v>S3s|2</v>
      </c>
    </row>
    <row r="34" spans="1:10" ht="15" customHeight="1" x14ac:dyDescent="0.25">
      <c r="A34" t="s">
        <v>4</v>
      </c>
      <c r="B34">
        <v>3</v>
      </c>
      <c r="C34" t="s">
        <v>288</v>
      </c>
      <c r="D34">
        <v>180</v>
      </c>
      <c r="E34">
        <v>1656.93</v>
      </c>
      <c r="F34">
        <v>1476.93</v>
      </c>
      <c r="G34">
        <v>1443.46</v>
      </c>
      <c r="H34">
        <v>1027.3</v>
      </c>
      <c r="I34">
        <v>914.97</v>
      </c>
      <c r="J34" t="str">
        <f t="shared" ref="J34:J65" si="1">A34&amp;"|"&amp;B34</f>
        <v>S3s|3</v>
      </c>
    </row>
    <row r="35" spans="1:10" ht="15" customHeight="1" x14ac:dyDescent="0.25">
      <c r="A35" t="s">
        <v>4</v>
      </c>
      <c r="B35">
        <v>4</v>
      </c>
      <c r="C35" t="s">
        <v>288</v>
      </c>
      <c r="D35">
        <v>270</v>
      </c>
      <c r="E35">
        <v>1958.47</v>
      </c>
      <c r="F35">
        <v>1688.47</v>
      </c>
      <c r="G35">
        <v>1655</v>
      </c>
      <c r="H35">
        <v>1027.3</v>
      </c>
      <c r="I35">
        <v>1109.6300000000001</v>
      </c>
      <c r="J35" t="str">
        <f t="shared" si="1"/>
        <v>S3s|4</v>
      </c>
    </row>
    <row r="36" spans="1:10" ht="15" customHeight="1" x14ac:dyDescent="0.25">
      <c r="A36" t="s">
        <v>4</v>
      </c>
      <c r="B36">
        <v>5</v>
      </c>
      <c r="C36" t="s">
        <v>288</v>
      </c>
      <c r="D36">
        <v>360</v>
      </c>
      <c r="E36">
        <v>2256.9299999999998</v>
      </c>
      <c r="F36">
        <v>1896.93</v>
      </c>
      <c r="G36">
        <v>1861.6</v>
      </c>
      <c r="H36">
        <v>1027.3</v>
      </c>
      <c r="I36">
        <v>1311.37</v>
      </c>
      <c r="J36" t="str">
        <f t="shared" si="1"/>
        <v>S3s|5</v>
      </c>
    </row>
    <row r="37" spans="1:10" ht="15" customHeight="1" x14ac:dyDescent="0.25">
      <c r="A37" t="s">
        <v>4</v>
      </c>
      <c r="B37">
        <v>6</v>
      </c>
      <c r="C37" t="s">
        <v>288</v>
      </c>
      <c r="D37">
        <v>450</v>
      </c>
      <c r="E37">
        <v>2341.5300000000002</v>
      </c>
      <c r="F37">
        <v>1891.53</v>
      </c>
      <c r="G37">
        <v>1854.66</v>
      </c>
      <c r="H37">
        <v>911.2</v>
      </c>
      <c r="I37">
        <v>1355.37</v>
      </c>
      <c r="J37" t="str">
        <f t="shared" si="1"/>
        <v>S3s|6</v>
      </c>
    </row>
    <row r="38" spans="1:10" ht="15" customHeight="1" x14ac:dyDescent="0.25">
      <c r="A38" t="s">
        <v>4</v>
      </c>
      <c r="B38">
        <v>7</v>
      </c>
      <c r="C38" t="s">
        <v>288</v>
      </c>
      <c r="D38">
        <v>600</v>
      </c>
      <c r="E38">
        <v>1894.87</v>
      </c>
      <c r="F38">
        <v>1294.8699999999999</v>
      </c>
      <c r="G38">
        <v>1261.4000000000001</v>
      </c>
      <c r="H38">
        <v>355</v>
      </c>
      <c r="I38">
        <v>1516.43</v>
      </c>
      <c r="J38" t="str">
        <f t="shared" si="1"/>
        <v>S3s|7</v>
      </c>
    </row>
    <row r="39" spans="1:10" ht="15" customHeight="1" x14ac:dyDescent="0.25">
      <c r="A39" t="s">
        <v>4</v>
      </c>
      <c r="B39">
        <v>8</v>
      </c>
      <c r="C39" t="s">
        <v>288</v>
      </c>
      <c r="D39">
        <v>630</v>
      </c>
      <c r="E39">
        <v>2134.87</v>
      </c>
      <c r="F39">
        <v>1504.87</v>
      </c>
      <c r="G39">
        <v>1467.2</v>
      </c>
      <c r="H39">
        <v>355</v>
      </c>
      <c r="I39">
        <v>1352.17</v>
      </c>
      <c r="J39" t="str">
        <f t="shared" si="1"/>
        <v>S3s|8</v>
      </c>
    </row>
    <row r="40" spans="1:10" ht="15" customHeight="1" x14ac:dyDescent="0.25">
      <c r="A40" t="s">
        <v>4</v>
      </c>
      <c r="B40">
        <v>9</v>
      </c>
      <c r="C40" t="s">
        <v>288</v>
      </c>
      <c r="D40">
        <v>780</v>
      </c>
      <c r="E40">
        <v>2374.87</v>
      </c>
      <c r="F40">
        <v>1594.87</v>
      </c>
      <c r="G40">
        <v>1561.4</v>
      </c>
      <c r="H40">
        <v>355</v>
      </c>
      <c r="I40">
        <v>1476.37</v>
      </c>
      <c r="J40" t="str">
        <f t="shared" si="1"/>
        <v>S3s|9</v>
      </c>
    </row>
    <row r="41" spans="1:10" ht="15" customHeight="1" x14ac:dyDescent="0.25">
      <c r="A41" t="s">
        <v>4</v>
      </c>
      <c r="B41">
        <v>10</v>
      </c>
      <c r="C41" t="s">
        <v>288</v>
      </c>
      <c r="D41">
        <v>840</v>
      </c>
      <c r="E41">
        <v>1173.4000000000001</v>
      </c>
      <c r="F41">
        <v>333.4</v>
      </c>
      <c r="G41">
        <v>299.93</v>
      </c>
      <c r="H41">
        <v>111</v>
      </c>
      <c r="I41">
        <v>1459.9</v>
      </c>
      <c r="J41" t="str">
        <f t="shared" si="1"/>
        <v>S3s|10</v>
      </c>
    </row>
    <row r="42" spans="1:10" ht="15" customHeight="1" x14ac:dyDescent="0.25">
      <c r="A42" t="s">
        <v>5</v>
      </c>
      <c r="B42">
        <v>1</v>
      </c>
      <c r="C42" t="s">
        <v>288</v>
      </c>
      <c r="D42">
        <v>0</v>
      </c>
      <c r="E42">
        <v>1353.07</v>
      </c>
      <c r="F42">
        <v>1353.07</v>
      </c>
      <c r="G42">
        <v>1322.87</v>
      </c>
      <c r="H42">
        <v>1211.3</v>
      </c>
      <c r="I42">
        <v>860.13</v>
      </c>
      <c r="J42" t="str">
        <f t="shared" si="1"/>
        <v>S4|1</v>
      </c>
    </row>
    <row r="43" spans="1:10" ht="15" customHeight="1" x14ac:dyDescent="0.25">
      <c r="A43" t="s">
        <v>5</v>
      </c>
      <c r="B43">
        <v>2</v>
      </c>
      <c r="C43" t="s">
        <v>288</v>
      </c>
      <c r="D43">
        <v>90</v>
      </c>
      <c r="E43">
        <v>1443.07</v>
      </c>
      <c r="F43">
        <v>1353.07</v>
      </c>
      <c r="G43">
        <v>1320.27</v>
      </c>
      <c r="H43">
        <v>1211.3</v>
      </c>
      <c r="I43">
        <v>858.57</v>
      </c>
      <c r="J43" t="str">
        <f t="shared" si="1"/>
        <v>S4|2</v>
      </c>
    </row>
    <row r="44" spans="1:10" ht="15" customHeight="1" x14ac:dyDescent="0.25">
      <c r="A44" t="s">
        <v>5</v>
      </c>
      <c r="B44">
        <v>3</v>
      </c>
      <c r="C44" t="s">
        <v>288</v>
      </c>
      <c r="D44">
        <v>180</v>
      </c>
      <c r="E44">
        <v>1833.07</v>
      </c>
      <c r="F44">
        <v>1653.07</v>
      </c>
      <c r="G44">
        <v>1619.6</v>
      </c>
      <c r="H44">
        <v>1211.3</v>
      </c>
      <c r="I44">
        <v>1155.7</v>
      </c>
      <c r="J44" t="str">
        <f t="shared" si="1"/>
        <v>S4|3</v>
      </c>
    </row>
    <row r="45" spans="1:10" ht="15" customHeight="1" x14ac:dyDescent="0.25">
      <c r="A45" t="s">
        <v>5</v>
      </c>
      <c r="B45">
        <v>4</v>
      </c>
      <c r="C45" t="s">
        <v>288</v>
      </c>
      <c r="D45">
        <v>270</v>
      </c>
      <c r="E45">
        <v>2074.6</v>
      </c>
      <c r="F45">
        <v>1804.6</v>
      </c>
      <c r="G45">
        <v>1771.13</v>
      </c>
      <c r="H45">
        <v>1211.3</v>
      </c>
      <c r="I45">
        <v>1305.03</v>
      </c>
      <c r="J45" t="str">
        <f t="shared" si="1"/>
        <v>S4|4</v>
      </c>
    </row>
    <row r="46" spans="1:10" ht="15" customHeight="1" x14ac:dyDescent="0.25">
      <c r="A46" t="s">
        <v>5</v>
      </c>
      <c r="B46">
        <v>5</v>
      </c>
      <c r="C46" t="s">
        <v>288</v>
      </c>
      <c r="D46">
        <v>360</v>
      </c>
      <c r="E46">
        <v>2313.0700000000002</v>
      </c>
      <c r="F46">
        <v>1953.07</v>
      </c>
      <c r="G46">
        <v>1921.14</v>
      </c>
      <c r="H46">
        <v>1211.3</v>
      </c>
      <c r="I46">
        <v>1456.43</v>
      </c>
      <c r="J46" t="str">
        <f t="shared" si="1"/>
        <v>S4|5</v>
      </c>
    </row>
    <row r="47" spans="1:10" ht="15" customHeight="1" x14ac:dyDescent="0.25">
      <c r="A47" t="s">
        <v>5</v>
      </c>
      <c r="B47">
        <v>6</v>
      </c>
      <c r="C47" t="s">
        <v>288</v>
      </c>
      <c r="D47">
        <v>450</v>
      </c>
      <c r="E47">
        <v>2371.5300000000002</v>
      </c>
      <c r="F47">
        <v>1921.53</v>
      </c>
      <c r="G47">
        <v>1888.06</v>
      </c>
      <c r="H47">
        <v>1053.2</v>
      </c>
      <c r="I47">
        <v>1491.37</v>
      </c>
      <c r="J47" t="str">
        <f t="shared" si="1"/>
        <v>S4|6</v>
      </c>
    </row>
    <row r="48" spans="1:10" ht="15" customHeight="1" x14ac:dyDescent="0.25">
      <c r="A48" t="s">
        <v>5</v>
      </c>
      <c r="B48">
        <v>7</v>
      </c>
      <c r="C48" t="s">
        <v>288</v>
      </c>
      <c r="D48">
        <v>600</v>
      </c>
      <c r="E48">
        <v>2343.0700000000002</v>
      </c>
      <c r="F48">
        <v>1743.07</v>
      </c>
      <c r="G48">
        <v>1708.07</v>
      </c>
      <c r="H48">
        <v>784.6</v>
      </c>
      <c r="I48">
        <v>1367.77</v>
      </c>
      <c r="J48" t="str">
        <f t="shared" si="1"/>
        <v>S4|7</v>
      </c>
    </row>
    <row r="49" spans="1:10" ht="15" customHeight="1" x14ac:dyDescent="0.25">
      <c r="A49" t="s">
        <v>5</v>
      </c>
      <c r="B49">
        <v>8</v>
      </c>
      <c r="C49" t="s">
        <v>288</v>
      </c>
      <c r="D49">
        <v>810</v>
      </c>
      <c r="E49">
        <v>2073.0700000000002</v>
      </c>
      <c r="F49">
        <v>1263.07</v>
      </c>
      <c r="G49">
        <v>1260.46</v>
      </c>
      <c r="H49">
        <v>483</v>
      </c>
      <c r="I49">
        <v>1380.5</v>
      </c>
      <c r="J49" t="str">
        <f t="shared" si="1"/>
        <v>S4|8</v>
      </c>
    </row>
    <row r="50" spans="1:10" ht="15" customHeight="1" x14ac:dyDescent="0.25">
      <c r="A50" t="s">
        <v>5</v>
      </c>
      <c r="B50">
        <v>9</v>
      </c>
      <c r="C50" t="s">
        <v>288</v>
      </c>
      <c r="D50">
        <v>930</v>
      </c>
      <c r="E50">
        <v>2311.5300000000002</v>
      </c>
      <c r="F50">
        <v>1381.53</v>
      </c>
      <c r="G50">
        <v>1346.53</v>
      </c>
      <c r="H50">
        <v>404.5</v>
      </c>
      <c r="I50">
        <v>1273.07</v>
      </c>
      <c r="J50" t="str">
        <f t="shared" si="1"/>
        <v>S4|9</v>
      </c>
    </row>
    <row r="51" spans="1:10" ht="15" customHeight="1" x14ac:dyDescent="0.25">
      <c r="A51" t="s">
        <v>5</v>
      </c>
      <c r="B51">
        <v>10</v>
      </c>
      <c r="C51" t="s">
        <v>288</v>
      </c>
      <c r="D51">
        <v>1200</v>
      </c>
      <c r="E51">
        <v>2341.5300000000002</v>
      </c>
      <c r="F51">
        <v>1141.53</v>
      </c>
      <c r="G51">
        <v>1105</v>
      </c>
      <c r="H51">
        <v>326</v>
      </c>
      <c r="I51">
        <v>1034.77</v>
      </c>
      <c r="J51" t="str">
        <f t="shared" si="1"/>
        <v>S4|10</v>
      </c>
    </row>
    <row r="52" spans="1:10" ht="15" customHeight="1" x14ac:dyDescent="0.25">
      <c r="A52" t="s">
        <v>6</v>
      </c>
      <c r="B52">
        <v>1</v>
      </c>
      <c r="C52" t="s">
        <v>288</v>
      </c>
      <c r="D52">
        <v>0</v>
      </c>
      <c r="E52">
        <v>1081.53</v>
      </c>
      <c r="F52">
        <v>1081.53</v>
      </c>
      <c r="G52">
        <v>1051.33</v>
      </c>
      <c r="H52">
        <v>997.3</v>
      </c>
      <c r="I52">
        <v>625.66999999999996</v>
      </c>
      <c r="J52" t="str">
        <f t="shared" si="1"/>
        <v>S5|1</v>
      </c>
    </row>
    <row r="53" spans="1:10" ht="15" customHeight="1" x14ac:dyDescent="0.25">
      <c r="A53" t="s">
        <v>6</v>
      </c>
      <c r="B53">
        <v>2</v>
      </c>
      <c r="C53" t="s">
        <v>277</v>
      </c>
      <c r="D53">
        <v>60</v>
      </c>
      <c r="E53">
        <v>571.53</v>
      </c>
      <c r="F53">
        <v>511.53</v>
      </c>
      <c r="G53">
        <v>480.26</v>
      </c>
      <c r="H53">
        <v>424.1</v>
      </c>
      <c r="I53">
        <v>385.47</v>
      </c>
      <c r="J53" t="str">
        <f t="shared" si="1"/>
        <v>S5|2</v>
      </c>
    </row>
    <row r="54" spans="1:10" ht="15" customHeight="1" x14ac:dyDescent="0.25">
      <c r="A54" t="s">
        <v>6</v>
      </c>
      <c r="B54">
        <v>3</v>
      </c>
      <c r="C54" t="s">
        <v>288</v>
      </c>
      <c r="D54">
        <v>120</v>
      </c>
      <c r="E54">
        <v>1203.07</v>
      </c>
      <c r="F54">
        <v>1083.07</v>
      </c>
      <c r="G54">
        <v>1051.1400000000001</v>
      </c>
      <c r="H54">
        <v>997.3</v>
      </c>
      <c r="I54">
        <v>621.66999999999996</v>
      </c>
      <c r="J54" t="str">
        <f t="shared" si="1"/>
        <v>S5|3</v>
      </c>
    </row>
    <row r="55" spans="1:10" ht="15" customHeight="1" x14ac:dyDescent="0.25">
      <c r="A55" t="s">
        <v>6</v>
      </c>
      <c r="B55">
        <v>4</v>
      </c>
      <c r="C55" t="s">
        <v>288</v>
      </c>
      <c r="D55">
        <v>180</v>
      </c>
      <c r="E55">
        <v>1264.5999999999999</v>
      </c>
      <c r="F55">
        <v>1084.5999999999999</v>
      </c>
      <c r="G55">
        <v>1052.67</v>
      </c>
      <c r="H55">
        <v>997.3</v>
      </c>
      <c r="I55">
        <v>624.83000000000004</v>
      </c>
      <c r="J55" t="str">
        <f t="shared" si="1"/>
        <v>S5|4</v>
      </c>
    </row>
    <row r="56" spans="1:10" ht="15" customHeight="1" x14ac:dyDescent="0.25">
      <c r="A56" t="s">
        <v>6</v>
      </c>
      <c r="B56">
        <v>5</v>
      </c>
      <c r="C56" t="s">
        <v>280</v>
      </c>
      <c r="D56">
        <v>240</v>
      </c>
      <c r="E56">
        <v>784.6</v>
      </c>
      <c r="F56">
        <v>544.6</v>
      </c>
      <c r="G56">
        <v>512.66999999999996</v>
      </c>
      <c r="H56">
        <v>449.1</v>
      </c>
      <c r="I56">
        <v>450.3</v>
      </c>
      <c r="J56" t="str">
        <f t="shared" si="1"/>
        <v>S5|5</v>
      </c>
    </row>
    <row r="57" spans="1:10" ht="15" customHeight="1" x14ac:dyDescent="0.25">
      <c r="A57" t="s">
        <v>6</v>
      </c>
      <c r="B57">
        <v>6</v>
      </c>
      <c r="C57" t="s">
        <v>272</v>
      </c>
      <c r="D57">
        <v>300</v>
      </c>
      <c r="E57">
        <v>1591.53</v>
      </c>
      <c r="F57">
        <v>1291.53</v>
      </c>
      <c r="G57">
        <v>1256.53</v>
      </c>
      <c r="H57">
        <v>516.1</v>
      </c>
      <c r="I57">
        <v>1160.23</v>
      </c>
      <c r="J57" t="str">
        <f t="shared" si="1"/>
        <v>S5|6</v>
      </c>
    </row>
    <row r="58" spans="1:10" ht="15" customHeight="1" x14ac:dyDescent="0.25">
      <c r="A58" t="s">
        <v>6</v>
      </c>
      <c r="B58">
        <v>7</v>
      </c>
      <c r="C58" t="s">
        <v>288</v>
      </c>
      <c r="D58">
        <v>420</v>
      </c>
      <c r="E58">
        <v>1563.07</v>
      </c>
      <c r="F58">
        <v>1143.07</v>
      </c>
      <c r="G58">
        <v>1108.07</v>
      </c>
      <c r="H58">
        <v>997.3</v>
      </c>
      <c r="I58">
        <v>681.9</v>
      </c>
      <c r="J58" t="str">
        <f t="shared" si="1"/>
        <v>S5|7</v>
      </c>
    </row>
    <row r="59" spans="1:10" ht="15" customHeight="1" x14ac:dyDescent="0.25">
      <c r="A59" t="s">
        <v>6</v>
      </c>
      <c r="B59">
        <v>8</v>
      </c>
      <c r="C59" t="s">
        <v>272</v>
      </c>
      <c r="D59">
        <v>420</v>
      </c>
      <c r="E59">
        <v>1711.53</v>
      </c>
      <c r="F59">
        <v>1291.53</v>
      </c>
      <c r="G59">
        <v>1223.3</v>
      </c>
      <c r="H59">
        <v>516.1</v>
      </c>
      <c r="I59">
        <v>1125.47</v>
      </c>
      <c r="J59" t="str">
        <f t="shared" si="1"/>
        <v>S5|8</v>
      </c>
    </row>
    <row r="60" spans="1:10" ht="15" customHeight="1" x14ac:dyDescent="0.25">
      <c r="A60" t="s">
        <v>6</v>
      </c>
      <c r="B60">
        <v>9</v>
      </c>
      <c r="C60" t="s">
        <v>288</v>
      </c>
      <c r="D60">
        <v>540</v>
      </c>
      <c r="E60">
        <v>2251.5300000000002</v>
      </c>
      <c r="F60">
        <v>1711.53</v>
      </c>
      <c r="G60">
        <v>1676.53</v>
      </c>
      <c r="H60">
        <v>997.3</v>
      </c>
      <c r="I60">
        <v>1251.03</v>
      </c>
      <c r="J60" t="str">
        <f t="shared" si="1"/>
        <v>S5|9</v>
      </c>
    </row>
    <row r="61" spans="1:10" ht="15" customHeight="1" x14ac:dyDescent="0.25">
      <c r="A61" t="s">
        <v>6</v>
      </c>
      <c r="B61">
        <v>10</v>
      </c>
      <c r="C61" t="s">
        <v>288</v>
      </c>
      <c r="D61">
        <v>600</v>
      </c>
      <c r="E61">
        <v>1771.53</v>
      </c>
      <c r="F61">
        <v>1171.53</v>
      </c>
      <c r="G61">
        <v>1138.06</v>
      </c>
      <c r="H61">
        <v>997.3</v>
      </c>
      <c r="I61">
        <v>714.1</v>
      </c>
      <c r="J61" t="str">
        <f t="shared" si="1"/>
        <v>S5|10</v>
      </c>
    </row>
    <row r="62" spans="1:10" ht="15" customHeight="1" x14ac:dyDescent="0.25">
      <c r="A62" t="s">
        <v>7</v>
      </c>
      <c r="B62">
        <v>1</v>
      </c>
      <c r="C62" t="s">
        <v>280</v>
      </c>
      <c r="D62">
        <v>0</v>
      </c>
      <c r="E62">
        <v>666.47</v>
      </c>
      <c r="F62">
        <v>666.47</v>
      </c>
      <c r="G62">
        <v>636.27</v>
      </c>
      <c r="H62">
        <v>582.1</v>
      </c>
      <c r="I62">
        <v>535.1</v>
      </c>
      <c r="J62" t="str">
        <f t="shared" si="1"/>
        <v>S6|1</v>
      </c>
    </row>
    <row r="63" spans="1:10" ht="15" customHeight="1" x14ac:dyDescent="0.25">
      <c r="A63" t="s">
        <v>7</v>
      </c>
      <c r="B63">
        <v>2</v>
      </c>
      <c r="C63" t="s">
        <v>272</v>
      </c>
      <c r="D63">
        <v>90</v>
      </c>
      <c r="E63">
        <v>843.07</v>
      </c>
      <c r="F63">
        <v>753.07</v>
      </c>
      <c r="G63">
        <v>720.27</v>
      </c>
      <c r="H63">
        <v>510.1</v>
      </c>
      <c r="I63">
        <v>596.03</v>
      </c>
      <c r="J63" t="str">
        <f t="shared" si="1"/>
        <v>S6|2</v>
      </c>
    </row>
    <row r="64" spans="1:10" ht="15" customHeight="1" x14ac:dyDescent="0.25">
      <c r="A64" t="s">
        <v>7</v>
      </c>
      <c r="B64">
        <v>3</v>
      </c>
      <c r="C64" t="s">
        <v>288</v>
      </c>
      <c r="D64">
        <v>180</v>
      </c>
      <c r="E64">
        <v>1593.07</v>
      </c>
      <c r="F64">
        <v>1413.07</v>
      </c>
      <c r="G64">
        <v>1376.2</v>
      </c>
      <c r="H64">
        <v>1053.3</v>
      </c>
      <c r="I64">
        <v>887.57</v>
      </c>
      <c r="J64" t="str">
        <f t="shared" si="1"/>
        <v>S6|3</v>
      </c>
    </row>
    <row r="65" spans="1:10" ht="15" customHeight="1" x14ac:dyDescent="0.25">
      <c r="A65" t="s">
        <v>7</v>
      </c>
      <c r="B65">
        <v>4</v>
      </c>
      <c r="C65" t="s">
        <v>277</v>
      </c>
      <c r="D65">
        <v>270</v>
      </c>
      <c r="E65">
        <v>1381.53</v>
      </c>
      <c r="F65">
        <v>1111.53</v>
      </c>
      <c r="G65">
        <v>1078.06</v>
      </c>
      <c r="H65">
        <v>436.1</v>
      </c>
      <c r="I65">
        <v>912.43</v>
      </c>
      <c r="J65" t="str">
        <f t="shared" si="1"/>
        <v>S6|4</v>
      </c>
    </row>
    <row r="66" spans="1:10" ht="15" customHeight="1" x14ac:dyDescent="0.25">
      <c r="A66" t="s">
        <v>7</v>
      </c>
      <c r="B66">
        <v>5</v>
      </c>
      <c r="C66" t="s">
        <v>280</v>
      </c>
      <c r="D66">
        <v>360</v>
      </c>
      <c r="E66">
        <v>1471.53</v>
      </c>
      <c r="F66">
        <v>1111.53</v>
      </c>
      <c r="G66">
        <v>1076.2</v>
      </c>
      <c r="H66">
        <v>582.1</v>
      </c>
      <c r="I66">
        <v>884.6</v>
      </c>
      <c r="J66" t="str">
        <f t="shared" ref="J66:J81" si="2">A66&amp;"|"&amp;B66</f>
        <v>S6|5</v>
      </c>
    </row>
    <row r="67" spans="1:10" ht="15" customHeight="1" x14ac:dyDescent="0.25">
      <c r="A67" t="s">
        <v>7</v>
      </c>
      <c r="B67">
        <v>6</v>
      </c>
      <c r="C67" t="s">
        <v>288</v>
      </c>
      <c r="D67">
        <v>450</v>
      </c>
      <c r="E67">
        <v>2108.27</v>
      </c>
      <c r="F67">
        <v>1658.27</v>
      </c>
      <c r="G67">
        <v>1626.34</v>
      </c>
      <c r="H67">
        <v>784.2</v>
      </c>
      <c r="I67">
        <v>1409.57</v>
      </c>
      <c r="J67" t="str">
        <f t="shared" si="2"/>
        <v>S6|6</v>
      </c>
    </row>
    <row r="68" spans="1:10" ht="15" customHeight="1" x14ac:dyDescent="0.25">
      <c r="A68" t="s">
        <v>7</v>
      </c>
      <c r="B68">
        <v>7</v>
      </c>
      <c r="C68" t="s">
        <v>272</v>
      </c>
      <c r="D68">
        <v>540</v>
      </c>
      <c r="E68">
        <v>2161.5300000000002</v>
      </c>
      <c r="F68">
        <v>1621.53</v>
      </c>
      <c r="G68">
        <v>1585</v>
      </c>
      <c r="H68">
        <v>510.1</v>
      </c>
      <c r="I68">
        <v>1344.17</v>
      </c>
      <c r="J68" t="str">
        <f t="shared" si="2"/>
        <v>S6|7</v>
      </c>
    </row>
    <row r="69" spans="1:10" ht="15" customHeight="1" x14ac:dyDescent="0.25">
      <c r="A69" t="s">
        <v>7</v>
      </c>
      <c r="B69">
        <v>8</v>
      </c>
      <c r="C69" t="s">
        <v>288</v>
      </c>
      <c r="D69">
        <v>630</v>
      </c>
      <c r="E69">
        <v>2341.5300000000002</v>
      </c>
      <c r="F69">
        <v>1711.53</v>
      </c>
      <c r="G69">
        <v>1673.13</v>
      </c>
      <c r="H69">
        <v>436</v>
      </c>
      <c r="I69">
        <v>1510.1</v>
      </c>
      <c r="J69" t="str">
        <f t="shared" si="2"/>
        <v>S6|8</v>
      </c>
    </row>
    <row r="70" spans="1:10" ht="15" customHeight="1" x14ac:dyDescent="0.25">
      <c r="A70" t="s">
        <v>7</v>
      </c>
      <c r="B70">
        <v>9</v>
      </c>
      <c r="C70" t="s">
        <v>272</v>
      </c>
      <c r="D70">
        <v>720</v>
      </c>
      <c r="E70">
        <v>994.3</v>
      </c>
      <c r="F70">
        <v>274.3</v>
      </c>
      <c r="G70">
        <v>237.43</v>
      </c>
      <c r="H70">
        <v>78</v>
      </c>
      <c r="I70">
        <v>1569.17</v>
      </c>
      <c r="J70" t="str">
        <f t="shared" si="2"/>
        <v>S6|9</v>
      </c>
    </row>
    <row r="71" spans="1:10" ht="15" customHeight="1" x14ac:dyDescent="0.25">
      <c r="A71" t="s">
        <v>7</v>
      </c>
      <c r="B71">
        <v>10</v>
      </c>
      <c r="C71" t="s">
        <v>280</v>
      </c>
      <c r="D71">
        <v>810</v>
      </c>
      <c r="E71">
        <v>2371.5300000000002</v>
      </c>
      <c r="F71">
        <v>1561.53</v>
      </c>
      <c r="G71">
        <v>1526.53</v>
      </c>
      <c r="H71">
        <v>521</v>
      </c>
      <c r="I71">
        <v>1365.57</v>
      </c>
      <c r="J71" t="str">
        <f t="shared" si="2"/>
        <v>S6|10</v>
      </c>
    </row>
    <row r="72" spans="1:10" ht="15" customHeight="1" x14ac:dyDescent="0.25">
      <c r="A72" t="s">
        <v>8</v>
      </c>
      <c r="B72">
        <v>1</v>
      </c>
      <c r="C72" t="s">
        <v>280</v>
      </c>
      <c r="D72">
        <v>0</v>
      </c>
      <c r="E72">
        <v>607.33000000000004</v>
      </c>
      <c r="F72">
        <v>607.33000000000004</v>
      </c>
      <c r="G72">
        <v>577.13</v>
      </c>
      <c r="H72">
        <v>525.1</v>
      </c>
      <c r="I72">
        <v>468.47</v>
      </c>
      <c r="J72" t="str">
        <f t="shared" si="2"/>
        <v>S6s|1</v>
      </c>
    </row>
    <row r="73" spans="1:10" ht="15" customHeight="1" x14ac:dyDescent="0.25">
      <c r="A73" t="s">
        <v>8</v>
      </c>
      <c r="B73">
        <v>2</v>
      </c>
      <c r="C73" t="s">
        <v>272</v>
      </c>
      <c r="D73">
        <v>90</v>
      </c>
      <c r="E73">
        <v>783.23</v>
      </c>
      <c r="F73">
        <v>693.23</v>
      </c>
      <c r="G73">
        <v>660.43</v>
      </c>
      <c r="H73">
        <v>477.1</v>
      </c>
      <c r="I73">
        <v>597.33000000000004</v>
      </c>
      <c r="J73" t="str">
        <f t="shared" si="2"/>
        <v>S6s|2</v>
      </c>
    </row>
    <row r="74" spans="1:10" ht="15" customHeight="1" x14ac:dyDescent="0.25">
      <c r="A74" t="s">
        <v>8</v>
      </c>
      <c r="B74">
        <v>3</v>
      </c>
      <c r="C74" t="s">
        <v>288</v>
      </c>
      <c r="D74">
        <v>180</v>
      </c>
      <c r="E74">
        <v>1441.53</v>
      </c>
      <c r="F74">
        <v>1261.53</v>
      </c>
      <c r="G74">
        <v>1226.2</v>
      </c>
      <c r="H74">
        <v>996.3</v>
      </c>
      <c r="I74">
        <v>727.43</v>
      </c>
      <c r="J74" t="str">
        <f t="shared" si="2"/>
        <v>S6s|3</v>
      </c>
    </row>
    <row r="75" spans="1:10" ht="15" customHeight="1" x14ac:dyDescent="0.25">
      <c r="A75" t="s">
        <v>8</v>
      </c>
      <c r="B75">
        <v>4</v>
      </c>
      <c r="C75" t="s">
        <v>277</v>
      </c>
      <c r="D75">
        <v>270</v>
      </c>
      <c r="E75">
        <v>1141.53</v>
      </c>
      <c r="F75">
        <v>871.53</v>
      </c>
      <c r="G75">
        <v>838.06</v>
      </c>
      <c r="H75">
        <v>379.1</v>
      </c>
      <c r="I75">
        <v>729.43</v>
      </c>
      <c r="J75" t="str">
        <f t="shared" si="2"/>
        <v>S6s|4</v>
      </c>
    </row>
    <row r="76" spans="1:10" ht="15" customHeight="1" x14ac:dyDescent="0.25">
      <c r="A76" t="s">
        <v>8</v>
      </c>
      <c r="B76">
        <v>5</v>
      </c>
      <c r="C76" t="s">
        <v>280</v>
      </c>
      <c r="D76">
        <v>360</v>
      </c>
      <c r="E76">
        <v>1326.4</v>
      </c>
      <c r="F76">
        <v>966.4</v>
      </c>
      <c r="G76">
        <v>929.53</v>
      </c>
      <c r="H76">
        <v>525.1</v>
      </c>
      <c r="I76">
        <v>763.07</v>
      </c>
      <c r="J76" t="str">
        <f t="shared" si="2"/>
        <v>S6s|5</v>
      </c>
    </row>
    <row r="77" spans="1:10" ht="15" customHeight="1" x14ac:dyDescent="0.25">
      <c r="A77" t="s">
        <v>8</v>
      </c>
      <c r="B77">
        <v>6</v>
      </c>
      <c r="C77" t="s">
        <v>288</v>
      </c>
      <c r="D77">
        <v>450</v>
      </c>
      <c r="E77">
        <v>2251.5300000000002</v>
      </c>
      <c r="F77">
        <v>1801.53</v>
      </c>
      <c r="G77">
        <v>1768.06</v>
      </c>
      <c r="H77">
        <v>849.3</v>
      </c>
      <c r="I77">
        <v>1454.37</v>
      </c>
      <c r="J77" t="str">
        <f t="shared" si="2"/>
        <v>S6s|6</v>
      </c>
    </row>
    <row r="78" spans="1:10" ht="15" customHeight="1" x14ac:dyDescent="0.25">
      <c r="A78" t="s">
        <v>8</v>
      </c>
      <c r="B78">
        <v>7</v>
      </c>
      <c r="C78" t="s">
        <v>272</v>
      </c>
      <c r="D78">
        <v>540</v>
      </c>
      <c r="E78">
        <v>1833.07</v>
      </c>
      <c r="F78">
        <v>1293.07</v>
      </c>
      <c r="G78">
        <v>1258.07</v>
      </c>
      <c r="H78">
        <v>477.1</v>
      </c>
      <c r="I78">
        <v>1050.23</v>
      </c>
      <c r="J78" t="str">
        <f t="shared" si="2"/>
        <v>S6s|7</v>
      </c>
    </row>
    <row r="79" spans="1:10" ht="15" customHeight="1" x14ac:dyDescent="0.25">
      <c r="A79" t="s">
        <v>8</v>
      </c>
      <c r="B79">
        <v>8</v>
      </c>
      <c r="C79" t="s">
        <v>288</v>
      </c>
      <c r="D79">
        <v>630</v>
      </c>
      <c r="E79">
        <v>2343.4</v>
      </c>
      <c r="F79">
        <v>1713.4</v>
      </c>
      <c r="G79">
        <v>1681.47</v>
      </c>
      <c r="H79">
        <v>640.70000000000005</v>
      </c>
      <c r="I79">
        <v>1420.93</v>
      </c>
      <c r="J79" t="str">
        <f t="shared" si="2"/>
        <v>S6s|8</v>
      </c>
    </row>
    <row r="80" spans="1:10" ht="15" customHeight="1" x14ac:dyDescent="0.25">
      <c r="A80" t="s">
        <v>8</v>
      </c>
      <c r="B80">
        <v>9</v>
      </c>
      <c r="C80" t="s">
        <v>272</v>
      </c>
      <c r="D80">
        <v>720</v>
      </c>
      <c r="E80">
        <v>2193.4</v>
      </c>
      <c r="F80">
        <v>1473.4</v>
      </c>
      <c r="G80">
        <v>1436.53</v>
      </c>
      <c r="H80">
        <v>355</v>
      </c>
      <c r="I80">
        <v>1518.53</v>
      </c>
      <c r="J80" t="str">
        <f t="shared" si="2"/>
        <v>S6s|9</v>
      </c>
    </row>
    <row r="81" spans="1:10" ht="15" customHeight="1" x14ac:dyDescent="0.25">
      <c r="A81" t="s">
        <v>8</v>
      </c>
      <c r="B81">
        <v>10</v>
      </c>
      <c r="C81" t="s">
        <v>280</v>
      </c>
      <c r="D81">
        <v>810</v>
      </c>
      <c r="E81">
        <v>2131.5300000000002</v>
      </c>
      <c r="F81">
        <v>1321.53</v>
      </c>
      <c r="G81">
        <v>1287.1600000000001</v>
      </c>
      <c r="H81">
        <v>525.1</v>
      </c>
      <c r="I81">
        <v>1091.77</v>
      </c>
      <c r="J81" t="str">
        <f t="shared" si="2"/>
        <v>S6s|10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B7DB1"/>
  </sheetPr>
  <dimension ref="A1:E461"/>
  <sheetViews>
    <sheetView zoomScaleNormal="100" workbookViewId="0">
      <pane ySplit="1" topLeftCell="A2" activePane="bottomLeft" state="frozen"/>
      <selection pane="bottomLeft" sqref="A1:F1048576"/>
    </sheetView>
  </sheetViews>
  <sheetFormatPr baseColWidth="10" defaultColWidth="9.140625" defaultRowHeight="15" x14ac:dyDescent="0.25"/>
  <cols>
    <col min="1" max="1" width="4.42578125" bestFit="1" customWidth="1"/>
    <col min="2" max="2" width="6.7109375" bestFit="1" customWidth="1"/>
    <col min="3" max="3" width="20" bestFit="1" customWidth="1"/>
    <col min="4" max="4" width="7" bestFit="1" customWidth="1"/>
    <col min="5" max="5" width="8" bestFit="1" customWidth="1"/>
  </cols>
  <sheetData>
    <row r="1" spans="1:5" ht="15" customHeight="1" x14ac:dyDescent="0.25">
      <c r="A1" s="11" t="s">
        <v>55</v>
      </c>
      <c r="B1" s="11" t="s">
        <v>74</v>
      </c>
      <c r="C1" s="11" t="s">
        <v>343</v>
      </c>
      <c r="D1" s="11" t="s">
        <v>344</v>
      </c>
      <c r="E1" s="11" t="s">
        <v>345</v>
      </c>
    </row>
    <row r="2" spans="1:5" ht="15" customHeight="1" x14ac:dyDescent="0.25">
      <c r="A2" t="s">
        <v>1</v>
      </c>
      <c r="B2">
        <v>1</v>
      </c>
      <c r="C2" t="s">
        <v>346</v>
      </c>
      <c r="D2">
        <v>0</v>
      </c>
      <c r="E2">
        <v>387.8</v>
      </c>
    </row>
    <row r="3" spans="1:5" ht="15" customHeight="1" x14ac:dyDescent="0.25">
      <c r="A3" t="s">
        <v>1</v>
      </c>
      <c r="B3">
        <v>1</v>
      </c>
      <c r="C3" t="s">
        <v>347</v>
      </c>
      <c r="D3">
        <v>168</v>
      </c>
      <c r="E3">
        <v>10.73</v>
      </c>
    </row>
    <row r="4" spans="1:5" ht="15" customHeight="1" x14ac:dyDescent="0.25">
      <c r="A4" t="s">
        <v>1</v>
      </c>
      <c r="B4">
        <v>1</v>
      </c>
      <c r="C4" t="s">
        <v>348</v>
      </c>
      <c r="D4">
        <v>129</v>
      </c>
      <c r="E4">
        <v>19.3</v>
      </c>
    </row>
    <row r="5" spans="1:5" ht="15" customHeight="1" x14ac:dyDescent="0.25">
      <c r="A5" t="s">
        <v>1</v>
      </c>
      <c r="B5">
        <v>1</v>
      </c>
      <c r="C5" t="s">
        <v>349</v>
      </c>
      <c r="D5">
        <v>148.1</v>
      </c>
      <c r="E5">
        <v>60.2</v>
      </c>
    </row>
    <row r="6" spans="1:5" ht="15" customHeight="1" x14ac:dyDescent="0.25">
      <c r="A6" t="s">
        <v>1</v>
      </c>
      <c r="B6">
        <v>2</v>
      </c>
      <c r="C6" t="s">
        <v>346</v>
      </c>
      <c r="D6">
        <v>0</v>
      </c>
      <c r="E6">
        <v>425.47</v>
      </c>
    </row>
    <row r="7" spans="1:5" ht="15" customHeight="1" x14ac:dyDescent="0.25">
      <c r="A7" t="s">
        <v>1</v>
      </c>
      <c r="B7">
        <v>2</v>
      </c>
      <c r="C7" t="s">
        <v>347</v>
      </c>
      <c r="D7">
        <v>168</v>
      </c>
      <c r="E7">
        <v>69</v>
      </c>
    </row>
    <row r="8" spans="1:5" ht="15" customHeight="1" x14ac:dyDescent="0.25">
      <c r="A8" t="s">
        <v>1</v>
      </c>
      <c r="B8">
        <v>2</v>
      </c>
      <c r="C8" t="s">
        <v>348</v>
      </c>
      <c r="D8">
        <v>129</v>
      </c>
      <c r="E8">
        <v>19.3</v>
      </c>
    </row>
    <row r="9" spans="1:5" ht="15" customHeight="1" x14ac:dyDescent="0.25">
      <c r="A9" t="s">
        <v>1</v>
      </c>
      <c r="B9">
        <v>2</v>
      </c>
      <c r="C9" t="s">
        <v>349</v>
      </c>
      <c r="D9">
        <v>148.1</v>
      </c>
      <c r="E9">
        <v>56.8</v>
      </c>
    </row>
    <row r="10" spans="1:5" ht="15" customHeight="1" x14ac:dyDescent="0.25">
      <c r="A10" t="s">
        <v>1</v>
      </c>
      <c r="B10">
        <v>3</v>
      </c>
      <c r="C10" t="s">
        <v>346</v>
      </c>
      <c r="D10">
        <v>0</v>
      </c>
      <c r="E10">
        <v>304.23</v>
      </c>
    </row>
    <row r="11" spans="1:5" ht="15" customHeight="1" x14ac:dyDescent="0.25">
      <c r="A11" t="s">
        <v>1</v>
      </c>
      <c r="B11">
        <v>3</v>
      </c>
      <c r="C11" t="s">
        <v>347</v>
      </c>
      <c r="D11">
        <v>168</v>
      </c>
      <c r="E11">
        <v>99</v>
      </c>
    </row>
    <row r="12" spans="1:5" ht="15" customHeight="1" x14ac:dyDescent="0.25">
      <c r="A12" t="s">
        <v>1</v>
      </c>
      <c r="B12">
        <v>3</v>
      </c>
      <c r="C12" t="s">
        <v>348</v>
      </c>
      <c r="D12">
        <v>129</v>
      </c>
      <c r="E12">
        <v>19.3</v>
      </c>
    </row>
    <row r="13" spans="1:5" ht="15" customHeight="1" x14ac:dyDescent="0.25">
      <c r="A13" t="s">
        <v>1</v>
      </c>
      <c r="B13">
        <v>3</v>
      </c>
      <c r="C13" t="s">
        <v>349</v>
      </c>
      <c r="D13">
        <v>148.1</v>
      </c>
      <c r="E13">
        <v>60.03</v>
      </c>
    </row>
    <row r="14" spans="1:5" ht="15" customHeight="1" x14ac:dyDescent="0.25">
      <c r="A14" t="s">
        <v>1</v>
      </c>
      <c r="B14">
        <v>4</v>
      </c>
      <c r="C14" t="s">
        <v>346</v>
      </c>
      <c r="D14">
        <v>0</v>
      </c>
      <c r="E14">
        <v>303.73</v>
      </c>
    </row>
    <row r="15" spans="1:5" ht="15" customHeight="1" x14ac:dyDescent="0.25">
      <c r="A15" t="s">
        <v>1</v>
      </c>
      <c r="B15">
        <v>4</v>
      </c>
      <c r="C15" t="s">
        <v>347</v>
      </c>
      <c r="D15">
        <v>374.1</v>
      </c>
      <c r="E15">
        <v>189.5</v>
      </c>
    </row>
    <row r="16" spans="1:5" ht="15" customHeight="1" x14ac:dyDescent="0.25">
      <c r="A16" t="s">
        <v>1</v>
      </c>
      <c r="B16">
        <v>4</v>
      </c>
      <c r="C16" t="s">
        <v>348</v>
      </c>
      <c r="D16">
        <v>0</v>
      </c>
      <c r="E16">
        <v>0</v>
      </c>
    </row>
    <row r="17" spans="1:5" ht="15" customHeight="1" x14ac:dyDescent="0.25">
      <c r="A17" t="s">
        <v>1</v>
      </c>
      <c r="B17">
        <v>4</v>
      </c>
      <c r="C17" t="s">
        <v>349</v>
      </c>
      <c r="D17">
        <v>0</v>
      </c>
      <c r="E17">
        <v>0</v>
      </c>
    </row>
    <row r="18" spans="1:5" ht="15" customHeight="1" x14ac:dyDescent="0.25">
      <c r="A18" t="s">
        <v>1</v>
      </c>
      <c r="B18">
        <v>5</v>
      </c>
      <c r="C18" t="s">
        <v>346</v>
      </c>
      <c r="D18">
        <v>0</v>
      </c>
      <c r="E18">
        <v>362.4</v>
      </c>
    </row>
    <row r="19" spans="1:5" ht="15" customHeight="1" x14ac:dyDescent="0.25">
      <c r="A19" t="s">
        <v>1</v>
      </c>
      <c r="B19">
        <v>5</v>
      </c>
      <c r="C19" t="s">
        <v>347</v>
      </c>
      <c r="D19">
        <v>176</v>
      </c>
      <c r="E19">
        <v>359.47</v>
      </c>
    </row>
    <row r="20" spans="1:5" ht="15" customHeight="1" x14ac:dyDescent="0.25">
      <c r="A20" t="s">
        <v>1</v>
      </c>
      <c r="B20">
        <v>5</v>
      </c>
      <c r="C20" t="s">
        <v>348</v>
      </c>
      <c r="D20">
        <v>0</v>
      </c>
      <c r="E20">
        <v>0</v>
      </c>
    </row>
    <row r="21" spans="1:5" ht="15" customHeight="1" x14ac:dyDescent="0.25">
      <c r="A21" t="s">
        <v>1</v>
      </c>
      <c r="B21">
        <v>5</v>
      </c>
      <c r="C21" t="s">
        <v>349</v>
      </c>
      <c r="D21">
        <v>268.10000000000002</v>
      </c>
      <c r="E21">
        <v>59.37</v>
      </c>
    </row>
    <row r="22" spans="1:5" ht="15" customHeight="1" x14ac:dyDescent="0.25">
      <c r="A22" t="s">
        <v>1</v>
      </c>
      <c r="B22">
        <v>6</v>
      </c>
      <c r="C22" t="s">
        <v>346</v>
      </c>
      <c r="D22">
        <v>0</v>
      </c>
      <c r="E22">
        <v>389</v>
      </c>
    </row>
    <row r="23" spans="1:5" ht="15" customHeight="1" x14ac:dyDescent="0.25">
      <c r="A23" t="s">
        <v>1</v>
      </c>
      <c r="B23">
        <v>6</v>
      </c>
      <c r="C23" t="s">
        <v>347</v>
      </c>
      <c r="D23">
        <v>168</v>
      </c>
      <c r="E23">
        <v>455.93</v>
      </c>
    </row>
    <row r="24" spans="1:5" ht="15" customHeight="1" x14ac:dyDescent="0.25">
      <c r="A24" t="s">
        <v>1</v>
      </c>
      <c r="B24">
        <v>6</v>
      </c>
      <c r="C24" t="s">
        <v>348</v>
      </c>
      <c r="D24">
        <v>129</v>
      </c>
      <c r="E24">
        <v>19.3</v>
      </c>
    </row>
    <row r="25" spans="1:5" ht="15" customHeight="1" x14ac:dyDescent="0.25">
      <c r="A25" t="s">
        <v>1</v>
      </c>
      <c r="B25">
        <v>6</v>
      </c>
      <c r="C25" t="s">
        <v>349</v>
      </c>
      <c r="D25">
        <v>148.1</v>
      </c>
      <c r="E25">
        <v>58.67</v>
      </c>
    </row>
    <row r="26" spans="1:5" ht="15" customHeight="1" x14ac:dyDescent="0.25">
      <c r="A26" t="s">
        <v>1</v>
      </c>
      <c r="B26">
        <v>7</v>
      </c>
      <c r="C26" t="s">
        <v>346</v>
      </c>
      <c r="D26">
        <v>0</v>
      </c>
      <c r="E26">
        <v>392.4</v>
      </c>
    </row>
    <row r="27" spans="1:5" ht="15" customHeight="1" x14ac:dyDescent="0.25">
      <c r="A27" t="s">
        <v>1</v>
      </c>
      <c r="B27">
        <v>7</v>
      </c>
      <c r="C27" t="s">
        <v>347</v>
      </c>
      <c r="D27">
        <v>168</v>
      </c>
      <c r="E27">
        <v>515.92999999999995</v>
      </c>
    </row>
    <row r="28" spans="1:5" ht="15" customHeight="1" x14ac:dyDescent="0.25">
      <c r="A28" t="s">
        <v>1</v>
      </c>
      <c r="B28">
        <v>7</v>
      </c>
      <c r="C28" t="s">
        <v>348</v>
      </c>
      <c r="D28">
        <v>129</v>
      </c>
      <c r="E28">
        <v>19.3</v>
      </c>
    </row>
    <row r="29" spans="1:5" ht="15" customHeight="1" x14ac:dyDescent="0.25">
      <c r="A29" t="s">
        <v>1</v>
      </c>
      <c r="B29">
        <v>7</v>
      </c>
      <c r="C29" t="s">
        <v>349</v>
      </c>
      <c r="D29">
        <v>148.1</v>
      </c>
      <c r="E29">
        <v>60.2</v>
      </c>
    </row>
    <row r="30" spans="1:5" ht="15" customHeight="1" x14ac:dyDescent="0.25">
      <c r="A30" t="s">
        <v>1</v>
      </c>
      <c r="B30">
        <v>8</v>
      </c>
      <c r="C30" t="s">
        <v>346</v>
      </c>
      <c r="D30">
        <v>0</v>
      </c>
      <c r="E30">
        <v>331.73</v>
      </c>
    </row>
    <row r="31" spans="1:5" ht="15" customHeight="1" x14ac:dyDescent="0.25">
      <c r="A31" t="s">
        <v>1</v>
      </c>
      <c r="B31">
        <v>8</v>
      </c>
      <c r="C31" t="s">
        <v>347</v>
      </c>
      <c r="D31">
        <v>374.1</v>
      </c>
      <c r="E31">
        <v>581.37</v>
      </c>
    </row>
    <row r="32" spans="1:5" ht="15" customHeight="1" x14ac:dyDescent="0.25">
      <c r="A32" t="s">
        <v>1</v>
      </c>
      <c r="B32">
        <v>8</v>
      </c>
      <c r="C32" t="s">
        <v>348</v>
      </c>
      <c r="D32">
        <v>0</v>
      </c>
      <c r="E32">
        <v>0</v>
      </c>
    </row>
    <row r="33" spans="1:5" ht="15" customHeight="1" x14ac:dyDescent="0.25">
      <c r="A33" t="s">
        <v>1</v>
      </c>
      <c r="B33">
        <v>8</v>
      </c>
      <c r="C33" t="s">
        <v>349</v>
      </c>
      <c r="D33">
        <v>0</v>
      </c>
      <c r="E33">
        <v>0</v>
      </c>
    </row>
    <row r="34" spans="1:5" ht="15" customHeight="1" x14ac:dyDescent="0.25">
      <c r="A34" t="s">
        <v>1</v>
      </c>
      <c r="B34">
        <v>9</v>
      </c>
      <c r="C34" t="s">
        <v>346</v>
      </c>
      <c r="D34">
        <v>0</v>
      </c>
      <c r="E34">
        <v>362.4</v>
      </c>
    </row>
    <row r="35" spans="1:5" ht="15" customHeight="1" x14ac:dyDescent="0.25">
      <c r="A35" t="s">
        <v>1</v>
      </c>
      <c r="B35">
        <v>9</v>
      </c>
      <c r="C35" t="s">
        <v>347</v>
      </c>
      <c r="D35">
        <v>168</v>
      </c>
      <c r="E35">
        <v>667.47</v>
      </c>
    </row>
    <row r="36" spans="1:5" ht="15" customHeight="1" x14ac:dyDescent="0.25">
      <c r="A36" t="s">
        <v>1</v>
      </c>
      <c r="B36">
        <v>9</v>
      </c>
      <c r="C36" t="s">
        <v>348</v>
      </c>
      <c r="D36">
        <v>129</v>
      </c>
      <c r="E36">
        <v>19.3</v>
      </c>
    </row>
    <row r="37" spans="1:5" ht="15" customHeight="1" x14ac:dyDescent="0.25">
      <c r="A37" t="s">
        <v>1</v>
      </c>
      <c r="B37">
        <v>9</v>
      </c>
      <c r="C37" t="s">
        <v>349</v>
      </c>
      <c r="D37">
        <v>148.1</v>
      </c>
      <c r="E37">
        <v>58.67</v>
      </c>
    </row>
    <row r="38" spans="1:5" ht="15" customHeight="1" x14ac:dyDescent="0.25">
      <c r="A38" t="s">
        <v>1</v>
      </c>
      <c r="B38">
        <v>10</v>
      </c>
      <c r="C38" t="s">
        <v>346</v>
      </c>
      <c r="D38">
        <v>0</v>
      </c>
      <c r="E38">
        <v>125.93</v>
      </c>
    </row>
    <row r="39" spans="1:5" ht="15" customHeight="1" x14ac:dyDescent="0.25">
      <c r="A39" t="s">
        <v>1</v>
      </c>
      <c r="B39">
        <v>10</v>
      </c>
      <c r="C39" t="s">
        <v>347</v>
      </c>
      <c r="D39">
        <v>176</v>
      </c>
      <c r="E39">
        <v>149.47</v>
      </c>
    </row>
    <row r="40" spans="1:5" ht="15" customHeight="1" x14ac:dyDescent="0.25">
      <c r="A40" t="s">
        <v>1</v>
      </c>
      <c r="B40">
        <v>10</v>
      </c>
      <c r="C40" t="s">
        <v>348</v>
      </c>
      <c r="D40">
        <v>0</v>
      </c>
      <c r="E40">
        <v>0</v>
      </c>
    </row>
    <row r="41" spans="1:5" ht="15" customHeight="1" x14ac:dyDescent="0.25">
      <c r="A41" t="s">
        <v>1</v>
      </c>
      <c r="B41">
        <v>10</v>
      </c>
      <c r="C41" t="s">
        <v>349</v>
      </c>
      <c r="D41">
        <v>60</v>
      </c>
      <c r="E41">
        <v>147.47</v>
      </c>
    </row>
    <row r="42" spans="1:5" ht="15" customHeight="1" x14ac:dyDescent="0.25">
      <c r="A42" t="s">
        <v>2</v>
      </c>
      <c r="B42">
        <v>1</v>
      </c>
      <c r="C42" t="s">
        <v>346</v>
      </c>
      <c r="D42">
        <v>0</v>
      </c>
      <c r="E42">
        <v>545.07000000000005</v>
      </c>
    </row>
    <row r="43" spans="1:5" ht="15" customHeight="1" x14ac:dyDescent="0.25">
      <c r="A43" t="s">
        <v>2</v>
      </c>
      <c r="B43">
        <v>1</v>
      </c>
      <c r="C43" t="s">
        <v>350</v>
      </c>
      <c r="D43">
        <v>1089.3</v>
      </c>
      <c r="E43">
        <v>49.43</v>
      </c>
    </row>
    <row r="44" spans="1:5" ht="15" customHeight="1" x14ac:dyDescent="0.25">
      <c r="A44" t="s">
        <v>2</v>
      </c>
      <c r="B44">
        <v>1</v>
      </c>
      <c r="C44" t="s">
        <v>351</v>
      </c>
      <c r="D44">
        <v>0</v>
      </c>
      <c r="E44">
        <v>0</v>
      </c>
    </row>
    <row r="45" spans="1:5" ht="15" customHeight="1" x14ac:dyDescent="0.25">
      <c r="A45" t="s">
        <v>2</v>
      </c>
      <c r="B45">
        <v>1</v>
      </c>
      <c r="C45" t="s">
        <v>352</v>
      </c>
      <c r="D45">
        <v>0</v>
      </c>
      <c r="E45">
        <v>0</v>
      </c>
    </row>
    <row r="46" spans="1:5" ht="15" customHeight="1" x14ac:dyDescent="0.25">
      <c r="A46" t="s">
        <v>2</v>
      </c>
      <c r="B46">
        <v>1</v>
      </c>
      <c r="C46" t="s">
        <v>353</v>
      </c>
      <c r="D46">
        <v>0</v>
      </c>
      <c r="E46">
        <v>0</v>
      </c>
    </row>
    <row r="47" spans="1:5" ht="15" customHeight="1" x14ac:dyDescent="0.25">
      <c r="A47" t="s">
        <v>2</v>
      </c>
      <c r="B47">
        <v>2</v>
      </c>
      <c r="C47" t="s">
        <v>346</v>
      </c>
      <c r="D47">
        <v>0</v>
      </c>
      <c r="E47">
        <v>545.63</v>
      </c>
    </row>
    <row r="48" spans="1:5" ht="15" customHeight="1" x14ac:dyDescent="0.25">
      <c r="A48" t="s">
        <v>2</v>
      </c>
      <c r="B48">
        <v>2</v>
      </c>
      <c r="C48" t="s">
        <v>350</v>
      </c>
      <c r="D48">
        <v>0</v>
      </c>
      <c r="E48">
        <v>0</v>
      </c>
    </row>
    <row r="49" spans="1:5" ht="15" customHeight="1" x14ac:dyDescent="0.25">
      <c r="A49" t="s">
        <v>2</v>
      </c>
      <c r="B49">
        <v>2</v>
      </c>
      <c r="C49" t="s">
        <v>351</v>
      </c>
      <c r="D49">
        <v>1089.3</v>
      </c>
      <c r="E49">
        <v>46.1</v>
      </c>
    </row>
    <row r="50" spans="1:5" ht="15" customHeight="1" x14ac:dyDescent="0.25">
      <c r="A50" t="s">
        <v>2</v>
      </c>
      <c r="B50">
        <v>2</v>
      </c>
      <c r="C50" t="s">
        <v>352</v>
      </c>
      <c r="D50">
        <v>0</v>
      </c>
      <c r="E50">
        <v>0</v>
      </c>
    </row>
    <row r="51" spans="1:5" ht="15" customHeight="1" x14ac:dyDescent="0.25">
      <c r="A51" t="s">
        <v>2</v>
      </c>
      <c r="B51">
        <v>2</v>
      </c>
      <c r="C51" t="s">
        <v>353</v>
      </c>
      <c r="D51">
        <v>0</v>
      </c>
      <c r="E51">
        <v>0</v>
      </c>
    </row>
    <row r="52" spans="1:5" ht="15" customHeight="1" x14ac:dyDescent="0.25">
      <c r="A52" t="s">
        <v>2</v>
      </c>
      <c r="B52">
        <v>3</v>
      </c>
      <c r="C52" t="s">
        <v>346</v>
      </c>
      <c r="D52">
        <v>0</v>
      </c>
      <c r="E52">
        <v>545.03</v>
      </c>
    </row>
    <row r="53" spans="1:5" ht="15" customHeight="1" x14ac:dyDescent="0.25">
      <c r="A53" t="s">
        <v>2</v>
      </c>
      <c r="B53">
        <v>3</v>
      </c>
      <c r="C53" t="s">
        <v>350</v>
      </c>
      <c r="D53">
        <v>0</v>
      </c>
      <c r="E53">
        <v>0</v>
      </c>
    </row>
    <row r="54" spans="1:5" ht="15" customHeight="1" x14ac:dyDescent="0.25">
      <c r="A54" t="s">
        <v>2</v>
      </c>
      <c r="B54">
        <v>3</v>
      </c>
      <c r="C54" t="s">
        <v>351</v>
      </c>
      <c r="D54">
        <v>0</v>
      </c>
      <c r="E54">
        <v>0</v>
      </c>
    </row>
    <row r="55" spans="1:5" ht="15" customHeight="1" x14ac:dyDescent="0.25">
      <c r="A55" t="s">
        <v>2</v>
      </c>
      <c r="B55">
        <v>3</v>
      </c>
      <c r="C55" t="s">
        <v>352</v>
      </c>
      <c r="D55">
        <v>1089.3</v>
      </c>
      <c r="E55">
        <v>44.47</v>
      </c>
    </row>
    <row r="56" spans="1:5" ht="15" customHeight="1" x14ac:dyDescent="0.25">
      <c r="A56" t="s">
        <v>2</v>
      </c>
      <c r="B56">
        <v>3</v>
      </c>
      <c r="C56" t="s">
        <v>353</v>
      </c>
      <c r="D56">
        <v>0</v>
      </c>
      <c r="E56">
        <v>0</v>
      </c>
    </row>
    <row r="57" spans="1:5" ht="15" customHeight="1" x14ac:dyDescent="0.25">
      <c r="A57" t="s">
        <v>2</v>
      </c>
      <c r="B57">
        <v>4</v>
      </c>
      <c r="C57" t="s">
        <v>346</v>
      </c>
      <c r="D57">
        <v>0</v>
      </c>
      <c r="E57">
        <v>547.33000000000004</v>
      </c>
    </row>
    <row r="58" spans="1:5" ht="15" customHeight="1" x14ac:dyDescent="0.25">
      <c r="A58" t="s">
        <v>2</v>
      </c>
      <c r="B58">
        <v>4</v>
      </c>
      <c r="C58" t="s">
        <v>350</v>
      </c>
      <c r="D58">
        <v>0</v>
      </c>
      <c r="E58">
        <v>0</v>
      </c>
    </row>
    <row r="59" spans="1:5" ht="15" customHeight="1" x14ac:dyDescent="0.25">
      <c r="A59" t="s">
        <v>2</v>
      </c>
      <c r="B59">
        <v>4</v>
      </c>
      <c r="C59" t="s">
        <v>351</v>
      </c>
      <c r="D59">
        <v>0</v>
      </c>
      <c r="E59">
        <v>0</v>
      </c>
    </row>
    <row r="60" spans="1:5" ht="15" customHeight="1" x14ac:dyDescent="0.25">
      <c r="A60" t="s">
        <v>2</v>
      </c>
      <c r="B60">
        <v>4</v>
      </c>
      <c r="C60" t="s">
        <v>352</v>
      </c>
      <c r="D60">
        <v>0</v>
      </c>
      <c r="E60">
        <v>0</v>
      </c>
    </row>
    <row r="61" spans="1:5" ht="15" customHeight="1" x14ac:dyDescent="0.25">
      <c r="A61" t="s">
        <v>2</v>
      </c>
      <c r="B61">
        <v>4</v>
      </c>
      <c r="C61" t="s">
        <v>353</v>
      </c>
      <c r="D61">
        <v>1089.3</v>
      </c>
      <c r="E61">
        <v>43</v>
      </c>
    </row>
    <row r="62" spans="1:5" ht="15" customHeight="1" x14ac:dyDescent="0.25">
      <c r="A62" t="s">
        <v>2</v>
      </c>
      <c r="B62">
        <v>5</v>
      </c>
      <c r="C62" t="s">
        <v>346</v>
      </c>
      <c r="D62">
        <v>0</v>
      </c>
      <c r="E62">
        <v>544.4</v>
      </c>
    </row>
    <row r="63" spans="1:5" ht="15" customHeight="1" x14ac:dyDescent="0.25">
      <c r="A63" t="s">
        <v>2</v>
      </c>
      <c r="B63">
        <v>5</v>
      </c>
      <c r="C63" t="s">
        <v>350</v>
      </c>
      <c r="D63">
        <v>1089.3</v>
      </c>
      <c r="E63">
        <v>884.63</v>
      </c>
    </row>
    <row r="64" spans="1:5" ht="15" customHeight="1" x14ac:dyDescent="0.25">
      <c r="A64" t="s">
        <v>2</v>
      </c>
      <c r="B64">
        <v>5</v>
      </c>
      <c r="C64" t="s">
        <v>351</v>
      </c>
      <c r="D64">
        <v>0</v>
      </c>
      <c r="E64">
        <v>0</v>
      </c>
    </row>
    <row r="65" spans="1:5" ht="15" customHeight="1" x14ac:dyDescent="0.25">
      <c r="A65" t="s">
        <v>2</v>
      </c>
      <c r="B65">
        <v>5</v>
      </c>
      <c r="C65" t="s">
        <v>352</v>
      </c>
      <c r="D65">
        <v>0</v>
      </c>
      <c r="E65">
        <v>0</v>
      </c>
    </row>
    <row r="66" spans="1:5" ht="15" customHeight="1" x14ac:dyDescent="0.25">
      <c r="A66" t="s">
        <v>2</v>
      </c>
      <c r="B66">
        <v>5</v>
      </c>
      <c r="C66" t="s">
        <v>353</v>
      </c>
      <c r="D66">
        <v>0</v>
      </c>
      <c r="E66">
        <v>0</v>
      </c>
    </row>
    <row r="67" spans="1:5" ht="15" customHeight="1" x14ac:dyDescent="0.25">
      <c r="A67" t="s">
        <v>2</v>
      </c>
      <c r="B67">
        <v>6</v>
      </c>
      <c r="C67" t="s">
        <v>346</v>
      </c>
      <c r="D67">
        <v>0</v>
      </c>
      <c r="E67">
        <v>546.66999999999996</v>
      </c>
    </row>
    <row r="68" spans="1:5" ht="15" customHeight="1" x14ac:dyDescent="0.25">
      <c r="A68" t="s">
        <v>2</v>
      </c>
      <c r="B68">
        <v>6</v>
      </c>
      <c r="C68" t="s">
        <v>350</v>
      </c>
      <c r="D68">
        <v>0</v>
      </c>
      <c r="E68">
        <v>0</v>
      </c>
    </row>
    <row r="69" spans="1:5" ht="15" customHeight="1" x14ac:dyDescent="0.25">
      <c r="A69" t="s">
        <v>2</v>
      </c>
      <c r="B69">
        <v>6</v>
      </c>
      <c r="C69" t="s">
        <v>351</v>
      </c>
      <c r="D69">
        <v>1089.3</v>
      </c>
      <c r="E69">
        <v>883.9</v>
      </c>
    </row>
    <row r="70" spans="1:5" ht="15" customHeight="1" x14ac:dyDescent="0.25">
      <c r="A70" t="s">
        <v>2</v>
      </c>
      <c r="B70">
        <v>6</v>
      </c>
      <c r="C70" t="s">
        <v>352</v>
      </c>
      <c r="D70">
        <v>0</v>
      </c>
      <c r="E70">
        <v>0</v>
      </c>
    </row>
    <row r="71" spans="1:5" ht="15" customHeight="1" x14ac:dyDescent="0.25">
      <c r="A71" t="s">
        <v>2</v>
      </c>
      <c r="B71">
        <v>6</v>
      </c>
      <c r="C71" t="s">
        <v>353</v>
      </c>
      <c r="D71">
        <v>0</v>
      </c>
      <c r="E71">
        <v>0</v>
      </c>
    </row>
    <row r="72" spans="1:5" ht="15" customHeight="1" x14ac:dyDescent="0.25">
      <c r="A72" t="s">
        <v>2</v>
      </c>
      <c r="B72">
        <v>7</v>
      </c>
      <c r="C72" t="s">
        <v>346</v>
      </c>
      <c r="D72">
        <v>0</v>
      </c>
      <c r="E72">
        <v>544.4</v>
      </c>
    </row>
    <row r="73" spans="1:5" ht="15" customHeight="1" x14ac:dyDescent="0.25">
      <c r="A73" t="s">
        <v>2</v>
      </c>
      <c r="B73">
        <v>7</v>
      </c>
      <c r="C73" t="s">
        <v>350</v>
      </c>
      <c r="D73">
        <v>0</v>
      </c>
      <c r="E73">
        <v>0</v>
      </c>
    </row>
    <row r="74" spans="1:5" ht="15" customHeight="1" x14ac:dyDescent="0.25">
      <c r="A74" t="s">
        <v>2</v>
      </c>
      <c r="B74">
        <v>7</v>
      </c>
      <c r="C74" t="s">
        <v>351</v>
      </c>
      <c r="D74">
        <v>0</v>
      </c>
      <c r="E74">
        <v>0</v>
      </c>
    </row>
    <row r="75" spans="1:5" ht="15" customHeight="1" x14ac:dyDescent="0.25">
      <c r="A75" t="s">
        <v>2</v>
      </c>
      <c r="B75">
        <v>7</v>
      </c>
      <c r="C75" t="s">
        <v>352</v>
      </c>
      <c r="D75">
        <v>1089.3</v>
      </c>
      <c r="E75">
        <v>854.63</v>
      </c>
    </row>
    <row r="76" spans="1:5" ht="15" customHeight="1" x14ac:dyDescent="0.25">
      <c r="A76" t="s">
        <v>2</v>
      </c>
      <c r="B76">
        <v>7</v>
      </c>
      <c r="C76" t="s">
        <v>353</v>
      </c>
      <c r="D76">
        <v>0</v>
      </c>
      <c r="E76">
        <v>0</v>
      </c>
    </row>
    <row r="77" spans="1:5" ht="15" customHeight="1" x14ac:dyDescent="0.25">
      <c r="A77" t="s">
        <v>2</v>
      </c>
      <c r="B77">
        <v>8</v>
      </c>
      <c r="C77" t="s">
        <v>346</v>
      </c>
      <c r="D77">
        <v>0</v>
      </c>
      <c r="E77">
        <v>517.53</v>
      </c>
    </row>
    <row r="78" spans="1:5" ht="15" customHeight="1" x14ac:dyDescent="0.25">
      <c r="A78" t="s">
        <v>2</v>
      </c>
      <c r="B78">
        <v>8</v>
      </c>
      <c r="C78" t="s">
        <v>350</v>
      </c>
      <c r="D78">
        <v>0</v>
      </c>
      <c r="E78">
        <v>0</v>
      </c>
    </row>
    <row r="79" spans="1:5" ht="15" customHeight="1" x14ac:dyDescent="0.25">
      <c r="A79" t="s">
        <v>2</v>
      </c>
      <c r="B79">
        <v>8</v>
      </c>
      <c r="C79" t="s">
        <v>351</v>
      </c>
      <c r="D79">
        <v>0</v>
      </c>
      <c r="E79">
        <v>0</v>
      </c>
    </row>
    <row r="80" spans="1:5" ht="15" customHeight="1" x14ac:dyDescent="0.25">
      <c r="A80" t="s">
        <v>2</v>
      </c>
      <c r="B80">
        <v>8</v>
      </c>
      <c r="C80" t="s">
        <v>352</v>
      </c>
      <c r="D80">
        <v>0</v>
      </c>
      <c r="E80">
        <v>0</v>
      </c>
    </row>
    <row r="81" spans="1:5" ht="15" customHeight="1" x14ac:dyDescent="0.25">
      <c r="A81" t="s">
        <v>2</v>
      </c>
      <c r="B81">
        <v>8</v>
      </c>
      <c r="C81" t="s">
        <v>353</v>
      </c>
      <c r="D81">
        <v>1008.7</v>
      </c>
      <c r="E81">
        <v>872.3</v>
      </c>
    </row>
    <row r="82" spans="1:5" ht="15" customHeight="1" x14ac:dyDescent="0.25">
      <c r="A82" t="s">
        <v>2</v>
      </c>
      <c r="B82">
        <v>9</v>
      </c>
      <c r="C82" t="s">
        <v>346</v>
      </c>
      <c r="D82">
        <v>0</v>
      </c>
      <c r="E82">
        <v>61.73</v>
      </c>
    </row>
    <row r="83" spans="1:5" ht="15" customHeight="1" x14ac:dyDescent="0.25">
      <c r="A83" t="s">
        <v>2</v>
      </c>
      <c r="B83">
        <v>9</v>
      </c>
      <c r="C83" t="s">
        <v>350</v>
      </c>
      <c r="D83">
        <v>97</v>
      </c>
      <c r="E83">
        <v>1725.4</v>
      </c>
    </row>
    <row r="84" spans="1:5" ht="15" customHeight="1" x14ac:dyDescent="0.25">
      <c r="A84" t="s">
        <v>2</v>
      </c>
      <c r="B84">
        <v>9</v>
      </c>
      <c r="C84" t="s">
        <v>351</v>
      </c>
      <c r="D84">
        <v>0</v>
      </c>
      <c r="E84">
        <v>0</v>
      </c>
    </row>
    <row r="85" spans="1:5" ht="15" customHeight="1" x14ac:dyDescent="0.25">
      <c r="A85" t="s">
        <v>2</v>
      </c>
      <c r="B85">
        <v>9</v>
      </c>
      <c r="C85" t="s">
        <v>352</v>
      </c>
      <c r="D85">
        <v>0</v>
      </c>
      <c r="E85">
        <v>0</v>
      </c>
    </row>
    <row r="86" spans="1:5" ht="15" customHeight="1" x14ac:dyDescent="0.25">
      <c r="A86" t="s">
        <v>2</v>
      </c>
      <c r="B86">
        <v>9</v>
      </c>
      <c r="C86" t="s">
        <v>353</v>
      </c>
      <c r="D86">
        <v>0</v>
      </c>
      <c r="E86">
        <v>0</v>
      </c>
    </row>
    <row r="87" spans="1:5" ht="15" customHeight="1" x14ac:dyDescent="0.25">
      <c r="A87" t="s">
        <v>2</v>
      </c>
      <c r="B87">
        <v>10</v>
      </c>
      <c r="C87" t="s">
        <v>346</v>
      </c>
      <c r="D87">
        <v>0</v>
      </c>
      <c r="E87">
        <v>2.4700000000000002</v>
      </c>
    </row>
    <row r="88" spans="1:5" ht="15" customHeight="1" x14ac:dyDescent="0.25">
      <c r="A88" t="s">
        <v>2</v>
      </c>
      <c r="B88">
        <v>10</v>
      </c>
      <c r="C88" t="s">
        <v>350</v>
      </c>
      <c r="D88">
        <v>0</v>
      </c>
      <c r="E88">
        <v>0</v>
      </c>
    </row>
    <row r="89" spans="1:5" ht="15" customHeight="1" x14ac:dyDescent="0.25">
      <c r="A89" t="s">
        <v>2</v>
      </c>
      <c r="B89">
        <v>10</v>
      </c>
      <c r="C89" t="s">
        <v>351</v>
      </c>
      <c r="D89">
        <v>97</v>
      </c>
      <c r="E89">
        <v>1699.33</v>
      </c>
    </row>
    <row r="90" spans="1:5" ht="15" customHeight="1" x14ac:dyDescent="0.25">
      <c r="A90" t="s">
        <v>2</v>
      </c>
      <c r="B90">
        <v>10</v>
      </c>
      <c r="C90" t="s">
        <v>352</v>
      </c>
      <c r="D90">
        <v>0</v>
      </c>
      <c r="E90">
        <v>0</v>
      </c>
    </row>
    <row r="91" spans="1:5" ht="15" customHeight="1" x14ac:dyDescent="0.25">
      <c r="A91" t="s">
        <v>2</v>
      </c>
      <c r="B91">
        <v>10</v>
      </c>
      <c r="C91" t="s">
        <v>353</v>
      </c>
      <c r="D91">
        <v>0</v>
      </c>
      <c r="E91">
        <v>0</v>
      </c>
    </row>
    <row r="92" spans="1:5" ht="15" customHeight="1" x14ac:dyDescent="0.25">
      <c r="A92" t="s">
        <v>3</v>
      </c>
      <c r="B92">
        <v>1</v>
      </c>
      <c r="C92" t="s">
        <v>346</v>
      </c>
      <c r="D92">
        <v>0</v>
      </c>
      <c r="E92">
        <v>429.9</v>
      </c>
    </row>
    <row r="93" spans="1:5" ht="15" customHeight="1" x14ac:dyDescent="0.25">
      <c r="A93" t="s">
        <v>3</v>
      </c>
      <c r="B93">
        <v>1</v>
      </c>
      <c r="C93" t="s">
        <v>354</v>
      </c>
      <c r="D93">
        <v>109</v>
      </c>
      <c r="E93">
        <v>9.73</v>
      </c>
    </row>
    <row r="94" spans="1:5" ht="15" customHeight="1" x14ac:dyDescent="0.25">
      <c r="A94" t="s">
        <v>3</v>
      </c>
      <c r="B94">
        <v>1</v>
      </c>
      <c r="C94" t="s">
        <v>355</v>
      </c>
      <c r="D94">
        <v>188</v>
      </c>
      <c r="E94">
        <v>20.97</v>
      </c>
    </row>
    <row r="95" spans="1:5" ht="15" customHeight="1" x14ac:dyDescent="0.25">
      <c r="A95" t="s">
        <v>3</v>
      </c>
      <c r="B95">
        <v>1</v>
      </c>
      <c r="C95" t="s">
        <v>356</v>
      </c>
      <c r="D95">
        <v>170.1</v>
      </c>
      <c r="E95">
        <v>5.93</v>
      </c>
    </row>
    <row r="96" spans="1:5" ht="15" customHeight="1" x14ac:dyDescent="0.25">
      <c r="A96" t="s">
        <v>3</v>
      </c>
      <c r="B96">
        <v>1</v>
      </c>
      <c r="C96" t="s">
        <v>357</v>
      </c>
      <c r="D96">
        <v>0</v>
      </c>
      <c r="E96">
        <v>15.37</v>
      </c>
    </row>
    <row r="97" spans="1:5" ht="15" customHeight="1" x14ac:dyDescent="0.25">
      <c r="A97" t="s">
        <v>3</v>
      </c>
      <c r="B97">
        <v>1</v>
      </c>
      <c r="C97" t="s">
        <v>349</v>
      </c>
      <c r="D97">
        <v>233.2</v>
      </c>
      <c r="E97">
        <v>57.87</v>
      </c>
    </row>
    <row r="98" spans="1:5" ht="15" customHeight="1" x14ac:dyDescent="0.25">
      <c r="A98" t="s">
        <v>3</v>
      </c>
      <c r="B98">
        <v>2</v>
      </c>
      <c r="C98" t="s">
        <v>346</v>
      </c>
      <c r="D98">
        <v>0</v>
      </c>
      <c r="E98">
        <v>307.87</v>
      </c>
    </row>
    <row r="99" spans="1:5" ht="15" customHeight="1" x14ac:dyDescent="0.25">
      <c r="A99" t="s">
        <v>3</v>
      </c>
      <c r="B99">
        <v>2</v>
      </c>
      <c r="C99" t="s">
        <v>354</v>
      </c>
      <c r="D99">
        <v>109</v>
      </c>
      <c r="E99">
        <v>38</v>
      </c>
    </row>
    <row r="100" spans="1:5" ht="15" customHeight="1" x14ac:dyDescent="0.25">
      <c r="A100" t="s">
        <v>3</v>
      </c>
      <c r="B100">
        <v>2</v>
      </c>
      <c r="C100" t="s">
        <v>355</v>
      </c>
      <c r="D100">
        <v>188</v>
      </c>
      <c r="E100">
        <v>80.97</v>
      </c>
    </row>
    <row r="101" spans="1:5" ht="15" customHeight="1" x14ac:dyDescent="0.25">
      <c r="A101" t="s">
        <v>3</v>
      </c>
      <c r="B101">
        <v>2</v>
      </c>
      <c r="C101" t="s">
        <v>356</v>
      </c>
      <c r="D101">
        <v>170.1</v>
      </c>
      <c r="E101">
        <v>5.93</v>
      </c>
    </row>
    <row r="102" spans="1:5" ht="15" customHeight="1" x14ac:dyDescent="0.25">
      <c r="A102" t="s">
        <v>3</v>
      </c>
      <c r="B102">
        <v>2</v>
      </c>
      <c r="C102" t="s">
        <v>357</v>
      </c>
      <c r="D102">
        <v>123</v>
      </c>
      <c r="E102">
        <v>15.37</v>
      </c>
    </row>
    <row r="103" spans="1:5" ht="15" customHeight="1" x14ac:dyDescent="0.25">
      <c r="A103" t="s">
        <v>3</v>
      </c>
      <c r="B103">
        <v>2</v>
      </c>
      <c r="C103" t="s">
        <v>349</v>
      </c>
      <c r="D103">
        <v>233.2</v>
      </c>
      <c r="E103">
        <v>117.87</v>
      </c>
    </row>
    <row r="104" spans="1:5" ht="15" customHeight="1" x14ac:dyDescent="0.25">
      <c r="A104" t="s">
        <v>3</v>
      </c>
      <c r="B104">
        <v>3</v>
      </c>
      <c r="C104" t="s">
        <v>346</v>
      </c>
      <c r="D104">
        <v>0</v>
      </c>
      <c r="E104">
        <v>366.43</v>
      </c>
    </row>
    <row r="105" spans="1:5" ht="15" customHeight="1" x14ac:dyDescent="0.25">
      <c r="A105" t="s">
        <v>3</v>
      </c>
      <c r="B105">
        <v>3</v>
      </c>
      <c r="C105" t="s">
        <v>354</v>
      </c>
      <c r="D105">
        <v>109</v>
      </c>
      <c r="E105">
        <v>64.930000000000007</v>
      </c>
    </row>
    <row r="106" spans="1:5" ht="15" customHeight="1" x14ac:dyDescent="0.25">
      <c r="A106" t="s">
        <v>3</v>
      </c>
      <c r="B106">
        <v>3</v>
      </c>
      <c r="C106" t="s">
        <v>355</v>
      </c>
      <c r="D106">
        <v>188</v>
      </c>
      <c r="E106">
        <v>140.30000000000001</v>
      </c>
    </row>
    <row r="107" spans="1:5" ht="15" customHeight="1" x14ac:dyDescent="0.25">
      <c r="A107" t="s">
        <v>3</v>
      </c>
      <c r="B107">
        <v>3</v>
      </c>
      <c r="C107" t="s">
        <v>356</v>
      </c>
      <c r="D107">
        <v>170.1</v>
      </c>
      <c r="E107">
        <v>5.93</v>
      </c>
    </row>
    <row r="108" spans="1:5" ht="15" customHeight="1" x14ac:dyDescent="0.25">
      <c r="A108" t="s">
        <v>3</v>
      </c>
      <c r="B108">
        <v>3</v>
      </c>
      <c r="C108" t="s">
        <v>357</v>
      </c>
      <c r="D108">
        <v>123</v>
      </c>
      <c r="E108">
        <v>20.07</v>
      </c>
    </row>
    <row r="109" spans="1:5" ht="15" customHeight="1" x14ac:dyDescent="0.25">
      <c r="A109" t="s">
        <v>3</v>
      </c>
      <c r="B109">
        <v>3</v>
      </c>
      <c r="C109" t="s">
        <v>349</v>
      </c>
      <c r="D109">
        <v>233.2</v>
      </c>
      <c r="E109">
        <v>47.03</v>
      </c>
    </row>
    <row r="110" spans="1:5" ht="15" customHeight="1" x14ac:dyDescent="0.25">
      <c r="A110" t="s">
        <v>3</v>
      </c>
      <c r="B110">
        <v>4</v>
      </c>
      <c r="C110" t="s">
        <v>346</v>
      </c>
      <c r="D110">
        <v>0</v>
      </c>
      <c r="E110">
        <v>354.33</v>
      </c>
    </row>
    <row r="111" spans="1:5" ht="15" customHeight="1" x14ac:dyDescent="0.25">
      <c r="A111" t="s">
        <v>3</v>
      </c>
      <c r="B111">
        <v>4</v>
      </c>
      <c r="C111" t="s">
        <v>354</v>
      </c>
      <c r="D111">
        <v>109</v>
      </c>
      <c r="E111">
        <v>66.47</v>
      </c>
    </row>
    <row r="112" spans="1:5" ht="15" customHeight="1" x14ac:dyDescent="0.25">
      <c r="A112" t="s">
        <v>3</v>
      </c>
      <c r="B112">
        <v>4</v>
      </c>
      <c r="C112" t="s">
        <v>355</v>
      </c>
      <c r="D112">
        <v>188</v>
      </c>
      <c r="E112">
        <v>260.3</v>
      </c>
    </row>
    <row r="113" spans="1:5" ht="15" customHeight="1" x14ac:dyDescent="0.25">
      <c r="A113" t="s">
        <v>3</v>
      </c>
      <c r="B113">
        <v>4</v>
      </c>
      <c r="C113" t="s">
        <v>356</v>
      </c>
      <c r="D113">
        <v>170.1</v>
      </c>
      <c r="E113">
        <v>3.17</v>
      </c>
    </row>
    <row r="114" spans="1:5" ht="15" customHeight="1" x14ac:dyDescent="0.25">
      <c r="A114" t="s">
        <v>3</v>
      </c>
      <c r="B114">
        <v>4</v>
      </c>
      <c r="C114" t="s">
        <v>357</v>
      </c>
      <c r="D114">
        <v>123</v>
      </c>
      <c r="E114">
        <v>16.899999999999999</v>
      </c>
    </row>
    <row r="115" spans="1:5" ht="15" customHeight="1" x14ac:dyDescent="0.25">
      <c r="A115" t="s">
        <v>3</v>
      </c>
      <c r="B115">
        <v>4</v>
      </c>
      <c r="C115" t="s">
        <v>349</v>
      </c>
      <c r="D115">
        <v>233.2</v>
      </c>
      <c r="E115">
        <v>63.57</v>
      </c>
    </row>
    <row r="116" spans="1:5" ht="15" customHeight="1" x14ac:dyDescent="0.25">
      <c r="A116" t="s">
        <v>3</v>
      </c>
      <c r="B116">
        <v>5</v>
      </c>
      <c r="C116" t="s">
        <v>346</v>
      </c>
      <c r="D116">
        <v>0</v>
      </c>
      <c r="E116">
        <v>316.52999999999997</v>
      </c>
    </row>
    <row r="117" spans="1:5" ht="15" customHeight="1" x14ac:dyDescent="0.25">
      <c r="A117" t="s">
        <v>3</v>
      </c>
      <c r="B117">
        <v>5</v>
      </c>
      <c r="C117" t="s">
        <v>354</v>
      </c>
      <c r="D117">
        <v>109</v>
      </c>
      <c r="E117">
        <v>94.6</v>
      </c>
    </row>
    <row r="118" spans="1:5" ht="15" customHeight="1" x14ac:dyDescent="0.25">
      <c r="A118" t="s">
        <v>3</v>
      </c>
      <c r="B118">
        <v>5</v>
      </c>
      <c r="C118" t="s">
        <v>355</v>
      </c>
      <c r="D118">
        <v>188</v>
      </c>
      <c r="E118">
        <v>319.39999999999998</v>
      </c>
    </row>
    <row r="119" spans="1:5" ht="15" customHeight="1" x14ac:dyDescent="0.25">
      <c r="A119" t="s">
        <v>3</v>
      </c>
      <c r="B119">
        <v>5</v>
      </c>
      <c r="C119" t="s">
        <v>356</v>
      </c>
      <c r="D119">
        <v>170.1</v>
      </c>
      <c r="E119">
        <v>7.47</v>
      </c>
    </row>
    <row r="120" spans="1:5" ht="15" customHeight="1" x14ac:dyDescent="0.25">
      <c r="A120" t="s">
        <v>3</v>
      </c>
      <c r="B120">
        <v>5</v>
      </c>
      <c r="C120" t="s">
        <v>357</v>
      </c>
      <c r="D120">
        <v>123</v>
      </c>
      <c r="E120">
        <v>16.899999999999999</v>
      </c>
    </row>
    <row r="121" spans="1:5" ht="15" customHeight="1" x14ac:dyDescent="0.25">
      <c r="A121" t="s">
        <v>3</v>
      </c>
      <c r="B121">
        <v>5</v>
      </c>
      <c r="C121" t="s">
        <v>349</v>
      </c>
      <c r="D121">
        <v>233.2</v>
      </c>
      <c r="E121">
        <v>123.57</v>
      </c>
    </row>
    <row r="122" spans="1:5" ht="15" customHeight="1" x14ac:dyDescent="0.25">
      <c r="A122" t="s">
        <v>3</v>
      </c>
      <c r="B122">
        <v>6</v>
      </c>
      <c r="C122" t="s">
        <v>346</v>
      </c>
      <c r="D122">
        <v>0</v>
      </c>
      <c r="E122">
        <v>289.07</v>
      </c>
    </row>
    <row r="123" spans="1:5" ht="15" customHeight="1" x14ac:dyDescent="0.25">
      <c r="A123" t="s">
        <v>3</v>
      </c>
      <c r="B123">
        <v>6</v>
      </c>
      <c r="C123" t="s">
        <v>354</v>
      </c>
      <c r="D123">
        <v>109</v>
      </c>
      <c r="E123">
        <v>93.07</v>
      </c>
    </row>
    <row r="124" spans="1:5" ht="15" customHeight="1" x14ac:dyDescent="0.25">
      <c r="A124" t="s">
        <v>3</v>
      </c>
      <c r="B124">
        <v>6</v>
      </c>
      <c r="C124" t="s">
        <v>355</v>
      </c>
      <c r="D124">
        <v>188</v>
      </c>
      <c r="E124">
        <v>410.97</v>
      </c>
    </row>
    <row r="125" spans="1:5" ht="15" customHeight="1" x14ac:dyDescent="0.25">
      <c r="A125" t="s">
        <v>3</v>
      </c>
      <c r="B125">
        <v>6</v>
      </c>
      <c r="C125" t="s">
        <v>356</v>
      </c>
      <c r="D125">
        <v>170.1</v>
      </c>
      <c r="E125">
        <v>7.47</v>
      </c>
    </row>
    <row r="126" spans="1:5" ht="15" customHeight="1" x14ac:dyDescent="0.25">
      <c r="A126" t="s">
        <v>3</v>
      </c>
      <c r="B126">
        <v>6</v>
      </c>
      <c r="C126" t="s">
        <v>357</v>
      </c>
      <c r="D126">
        <v>123</v>
      </c>
      <c r="E126">
        <v>21.77</v>
      </c>
    </row>
    <row r="127" spans="1:5" ht="15" customHeight="1" x14ac:dyDescent="0.25">
      <c r="A127" t="s">
        <v>3</v>
      </c>
      <c r="B127">
        <v>6</v>
      </c>
      <c r="C127" t="s">
        <v>349</v>
      </c>
      <c r="D127">
        <v>233.2</v>
      </c>
      <c r="E127">
        <v>155.1</v>
      </c>
    </row>
    <row r="128" spans="1:5" ht="15" customHeight="1" x14ac:dyDescent="0.25">
      <c r="A128" t="s">
        <v>3</v>
      </c>
      <c r="B128">
        <v>7</v>
      </c>
      <c r="C128" t="s">
        <v>346</v>
      </c>
      <c r="D128">
        <v>0</v>
      </c>
      <c r="E128">
        <v>344.5</v>
      </c>
    </row>
    <row r="129" spans="1:5" ht="15" customHeight="1" x14ac:dyDescent="0.25">
      <c r="A129" t="s">
        <v>3</v>
      </c>
      <c r="B129">
        <v>7</v>
      </c>
      <c r="C129" t="s">
        <v>354</v>
      </c>
      <c r="D129">
        <v>109</v>
      </c>
      <c r="E129">
        <v>64.930000000000007</v>
      </c>
    </row>
    <row r="130" spans="1:5" ht="15" customHeight="1" x14ac:dyDescent="0.25">
      <c r="A130" t="s">
        <v>3</v>
      </c>
      <c r="B130">
        <v>7</v>
      </c>
      <c r="C130" t="s">
        <v>355</v>
      </c>
      <c r="D130">
        <v>188</v>
      </c>
      <c r="E130">
        <v>500.3</v>
      </c>
    </row>
    <row r="131" spans="1:5" ht="15" customHeight="1" x14ac:dyDescent="0.25">
      <c r="A131" t="s">
        <v>3</v>
      </c>
      <c r="B131">
        <v>7</v>
      </c>
      <c r="C131" t="s">
        <v>356</v>
      </c>
      <c r="D131">
        <v>170.1</v>
      </c>
      <c r="E131">
        <v>7.47</v>
      </c>
    </row>
    <row r="132" spans="1:5" ht="15" customHeight="1" x14ac:dyDescent="0.25">
      <c r="A132" t="s">
        <v>3</v>
      </c>
      <c r="B132">
        <v>7</v>
      </c>
      <c r="C132" t="s">
        <v>357</v>
      </c>
      <c r="D132">
        <v>123</v>
      </c>
      <c r="E132">
        <v>16.899999999999999</v>
      </c>
    </row>
    <row r="133" spans="1:5" ht="15" customHeight="1" x14ac:dyDescent="0.25">
      <c r="A133" t="s">
        <v>3</v>
      </c>
      <c r="B133">
        <v>7</v>
      </c>
      <c r="C133" t="s">
        <v>349</v>
      </c>
      <c r="D133">
        <v>233.2</v>
      </c>
      <c r="E133">
        <v>183.57</v>
      </c>
    </row>
    <row r="134" spans="1:5" ht="15" customHeight="1" x14ac:dyDescent="0.25">
      <c r="A134" t="s">
        <v>3</v>
      </c>
      <c r="B134">
        <v>8</v>
      </c>
      <c r="C134" t="s">
        <v>346</v>
      </c>
      <c r="D134">
        <v>0</v>
      </c>
      <c r="E134">
        <v>260.8</v>
      </c>
    </row>
    <row r="135" spans="1:5" ht="15" customHeight="1" x14ac:dyDescent="0.25">
      <c r="A135" t="s">
        <v>3</v>
      </c>
      <c r="B135">
        <v>8</v>
      </c>
      <c r="C135" t="s">
        <v>354</v>
      </c>
      <c r="D135">
        <v>109</v>
      </c>
      <c r="E135">
        <v>155.6</v>
      </c>
    </row>
    <row r="136" spans="1:5" ht="15" customHeight="1" x14ac:dyDescent="0.25">
      <c r="A136" t="s">
        <v>3</v>
      </c>
      <c r="B136">
        <v>8</v>
      </c>
      <c r="C136" t="s">
        <v>355</v>
      </c>
      <c r="D136">
        <v>188</v>
      </c>
      <c r="E136">
        <v>559.4</v>
      </c>
    </row>
    <row r="137" spans="1:5" ht="15" customHeight="1" x14ac:dyDescent="0.25">
      <c r="A137" t="s">
        <v>3</v>
      </c>
      <c r="B137">
        <v>8</v>
      </c>
      <c r="C137" t="s">
        <v>356</v>
      </c>
      <c r="D137">
        <v>170.1</v>
      </c>
      <c r="E137">
        <v>7.47</v>
      </c>
    </row>
    <row r="138" spans="1:5" ht="15" customHeight="1" x14ac:dyDescent="0.25">
      <c r="A138" t="s">
        <v>3</v>
      </c>
      <c r="B138">
        <v>8</v>
      </c>
      <c r="C138" t="s">
        <v>357</v>
      </c>
      <c r="D138">
        <v>123</v>
      </c>
      <c r="E138">
        <v>16.899999999999999</v>
      </c>
    </row>
    <row r="139" spans="1:5" ht="15" customHeight="1" x14ac:dyDescent="0.25">
      <c r="A139" t="s">
        <v>3</v>
      </c>
      <c r="B139">
        <v>8</v>
      </c>
      <c r="C139" t="s">
        <v>349</v>
      </c>
      <c r="D139">
        <v>178.6</v>
      </c>
      <c r="E139">
        <v>198.33</v>
      </c>
    </row>
    <row r="140" spans="1:5" ht="15" customHeight="1" x14ac:dyDescent="0.25">
      <c r="A140" t="s">
        <v>3</v>
      </c>
      <c r="B140">
        <v>9</v>
      </c>
      <c r="C140" t="s">
        <v>346</v>
      </c>
      <c r="D140">
        <v>0</v>
      </c>
      <c r="E140">
        <v>194.5</v>
      </c>
    </row>
    <row r="141" spans="1:5" ht="15" customHeight="1" x14ac:dyDescent="0.25">
      <c r="A141" t="s">
        <v>3</v>
      </c>
      <c r="B141">
        <v>9</v>
      </c>
      <c r="C141" t="s">
        <v>354</v>
      </c>
      <c r="D141">
        <v>109</v>
      </c>
      <c r="E141">
        <v>93.07</v>
      </c>
    </row>
    <row r="142" spans="1:5" ht="15" customHeight="1" x14ac:dyDescent="0.25">
      <c r="A142" t="s">
        <v>3</v>
      </c>
      <c r="B142">
        <v>9</v>
      </c>
      <c r="C142" t="s">
        <v>355</v>
      </c>
      <c r="D142">
        <v>188</v>
      </c>
      <c r="E142">
        <v>650.29999999999995</v>
      </c>
    </row>
    <row r="143" spans="1:5" ht="15" customHeight="1" x14ac:dyDescent="0.25">
      <c r="A143" t="s">
        <v>3</v>
      </c>
      <c r="B143">
        <v>9</v>
      </c>
      <c r="C143" t="s">
        <v>356</v>
      </c>
      <c r="D143">
        <v>170.1</v>
      </c>
      <c r="E143">
        <v>7.47</v>
      </c>
    </row>
    <row r="144" spans="1:5" ht="15" customHeight="1" x14ac:dyDescent="0.25">
      <c r="A144" t="s">
        <v>3</v>
      </c>
      <c r="B144">
        <v>9</v>
      </c>
      <c r="C144" t="s">
        <v>357</v>
      </c>
      <c r="D144">
        <v>123</v>
      </c>
      <c r="E144">
        <v>16.899999999999999</v>
      </c>
    </row>
    <row r="145" spans="1:5" ht="15" customHeight="1" x14ac:dyDescent="0.25">
      <c r="A145" t="s">
        <v>3</v>
      </c>
      <c r="B145">
        <v>9</v>
      </c>
      <c r="C145" t="s">
        <v>349</v>
      </c>
      <c r="D145">
        <v>0</v>
      </c>
      <c r="E145">
        <v>0</v>
      </c>
    </row>
    <row r="146" spans="1:5" ht="15" customHeight="1" x14ac:dyDescent="0.25">
      <c r="A146" t="s">
        <v>3</v>
      </c>
      <c r="B146">
        <v>10</v>
      </c>
      <c r="C146" t="s">
        <v>346</v>
      </c>
      <c r="D146">
        <v>0</v>
      </c>
      <c r="E146">
        <v>224.5</v>
      </c>
    </row>
    <row r="147" spans="1:5" ht="15" customHeight="1" x14ac:dyDescent="0.25">
      <c r="A147" t="s">
        <v>3</v>
      </c>
      <c r="B147">
        <v>10</v>
      </c>
      <c r="C147" t="s">
        <v>354</v>
      </c>
      <c r="D147">
        <v>109</v>
      </c>
      <c r="E147">
        <v>151.53</v>
      </c>
    </row>
    <row r="148" spans="1:5" ht="15" customHeight="1" x14ac:dyDescent="0.25">
      <c r="A148" t="s">
        <v>3</v>
      </c>
      <c r="B148">
        <v>10</v>
      </c>
      <c r="C148" t="s">
        <v>355</v>
      </c>
      <c r="D148">
        <v>188</v>
      </c>
      <c r="E148">
        <v>710.3</v>
      </c>
    </row>
    <row r="149" spans="1:5" ht="15" customHeight="1" x14ac:dyDescent="0.25">
      <c r="A149" t="s">
        <v>3</v>
      </c>
      <c r="B149">
        <v>10</v>
      </c>
      <c r="C149" t="s">
        <v>356</v>
      </c>
      <c r="D149">
        <v>170.1</v>
      </c>
      <c r="E149">
        <v>7.47</v>
      </c>
    </row>
    <row r="150" spans="1:5" ht="15" customHeight="1" x14ac:dyDescent="0.25">
      <c r="A150" t="s">
        <v>3</v>
      </c>
      <c r="B150">
        <v>10</v>
      </c>
      <c r="C150" t="s">
        <v>357</v>
      </c>
      <c r="D150">
        <v>123</v>
      </c>
      <c r="E150">
        <v>21.77</v>
      </c>
    </row>
    <row r="151" spans="1:5" ht="15" customHeight="1" x14ac:dyDescent="0.25">
      <c r="A151" t="s">
        <v>3</v>
      </c>
      <c r="B151">
        <v>10</v>
      </c>
      <c r="C151" t="s">
        <v>349</v>
      </c>
      <c r="D151">
        <v>0</v>
      </c>
      <c r="E151">
        <v>0</v>
      </c>
    </row>
    <row r="152" spans="1:5" ht="15" customHeight="1" x14ac:dyDescent="0.25">
      <c r="A152" t="s">
        <v>4</v>
      </c>
      <c r="B152">
        <v>1</v>
      </c>
      <c r="C152" t="s">
        <v>346</v>
      </c>
      <c r="D152">
        <v>0</v>
      </c>
      <c r="E152">
        <v>481.5</v>
      </c>
    </row>
    <row r="153" spans="1:5" ht="15" customHeight="1" x14ac:dyDescent="0.25">
      <c r="A153" t="s">
        <v>4</v>
      </c>
      <c r="B153">
        <v>1</v>
      </c>
      <c r="C153" t="s">
        <v>354</v>
      </c>
      <c r="D153">
        <v>111</v>
      </c>
      <c r="E153">
        <v>7.73</v>
      </c>
    </row>
    <row r="154" spans="1:5" ht="15" customHeight="1" x14ac:dyDescent="0.25">
      <c r="A154" t="s">
        <v>4</v>
      </c>
      <c r="B154">
        <v>1</v>
      </c>
      <c r="C154" t="s">
        <v>355</v>
      </c>
      <c r="D154">
        <v>244</v>
      </c>
      <c r="E154">
        <v>24.97</v>
      </c>
    </row>
    <row r="155" spans="1:5" ht="15" customHeight="1" x14ac:dyDescent="0.25">
      <c r="A155" t="s">
        <v>4</v>
      </c>
      <c r="B155">
        <v>1</v>
      </c>
      <c r="C155" t="s">
        <v>356</v>
      </c>
      <c r="D155">
        <v>301.10000000000002</v>
      </c>
      <c r="E155">
        <v>25.6</v>
      </c>
    </row>
    <row r="156" spans="1:5" ht="15" customHeight="1" x14ac:dyDescent="0.25">
      <c r="A156" t="s">
        <v>4</v>
      </c>
      <c r="B156">
        <v>1</v>
      </c>
      <c r="C156" t="s">
        <v>357</v>
      </c>
      <c r="D156">
        <v>125</v>
      </c>
      <c r="E156">
        <v>18.23</v>
      </c>
    </row>
    <row r="157" spans="1:5" ht="15" customHeight="1" x14ac:dyDescent="0.25">
      <c r="A157" t="s">
        <v>4</v>
      </c>
      <c r="B157">
        <v>1</v>
      </c>
      <c r="C157" t="s">
        <v>349</v>
      </c>
      <c r="D157">
        <v>246.2</v>
      </c>
      <c r="E157">
        <v>79.73</v>
      </c>
    </row>
    <row r="158" spans="1:5" ht="15" customHeight="1" x14ac:dyDescent="0.25">
      <c r="A158" t="s">
        <v>4</v>
      </c>
      <c r="B158">
        <v>2</v>
      </c>
      <c r="C158" t="s">
        <v>346</v>
      </c>
      <c r="D158">
        <v>0</v>
      </c>
      <c r="E158">
        <v>378.37</v>
      </c>
    </row>
    <row r="159" spans="1:5" ht="15" customHeight="1" x14ac:dyDescent="0.25">
      <c r="A159" t="s">
        <v>4</v>
      </c>
      <c r="B159">
        <v>2</v>
      </c>
      <c r="C159" t="s">
        <v>354</v>
      </c>
      <c r="D159">
        <v>111</v>
      </c>
      <c r="E159">
        <v>36</v>
      </c>
    </row>
    <row r="160" spans="1:5" ht="15" customHeight="1" x14ac:dyDescent="0.25">
      <c r="A160" t="s">
        <v>4</v>
      </c>
      <c r="B160">
        <v>2</v>
      </c>
      <c r="C160" t="s">
        <v>355</v>
      </c>
      <c r="D160">
        <v>244</v>
      </c>
      <c r="E160">
        <v>144.30000000000001</v>
      </c>
    </row>
    <row r="161" spans="1:5" ht="15" customHeight="1" x14ac:dyDescent="0.25">
      <c r="A161" t="s">
        <v>4</v>
      </c>
      <c r="B161">
        <v>2</v>
      </c>
      <c r="C161" t="s">
        <v>356</v>
      </c>
      <c r="D161">
        <v>301.10000000000002</v>
      </c>
      <c r="E161">
        <v>85.6</v>
      </c>
    </row>
    <row r="162" spans="1:5" ht="15" customHeight="1" x14ac:dyDescent="0.25">
      <c r="A162" t="s">
        <v>4</v>
      </c>
      <c r="B162">
        <v>2</v>
      </c>
      <c r="C162" t="s">
        <v>357</v>
      </c>
      <c r="D162">
        <v>125</v>
      </c>
      <c r="E162">
        <v>14.83</v>
      </c>
    </row>
    <row r="163" spans="1:5" ht="15" customHeight="1" x14ac:dyDescent="0.25">
      <c r="A163" t="s">
        <v>4</v>
      </c>
      <c r="B163">
        <v>2</v>
      </c>
      <c r="C163" t="s">
        <v>349</v>
      </c>
      <c r="D163">
        <v>246.2</v>
      </c>
      <c r="E163">
        <v>46.33</v>
      </c>
    </row>
    <row r="164" spans="1:5" ht="15" customHeight="1" x14ac:dyDescent="0.25">
      <c r="A164" t="s">
        <v>4</v>
      </c>
      <c r="B164">
        <v>3</v>
      </c>
      <c r="C164" t="s">
        <v>346</v>
      </c>
      <c r="D164">
        <v>0</v>
      </c>
      <c r="E164">
        <v>372.63</v>
      </c>
    </row>
    <row r="165" spans="1:5" ht="15" customHeight="1" x14ac:dyDescent="0.25">
      <c r="A165" t="s">
        <v>4</v>
      </c>
      <c r="B165">
        <v>3</v>
      </c>
      <c r="C165" t="s">
        <v>354</v>
      </c>
      <c r="D165">
        <v>111</v>
      </c>
      <c r="E165">
        <v>64.47</v>
      </c>
    </row>
    <row r="166" spans="1:5" ht="15" customHeight="1" x14ac:dyDescent="0.25">
      <c r="A166" t="s">
        <v>4</v>
      </c>
      <c r="B166">
        <v>3</v>
      </c>
      <c r="C166" t="s">
        <v>355</v>
      </c>
      <c r="D166">
        <v>244</v>
      </c>
      <c r="E166">
        <v>264.3</v>
      </c>
    </row>
    <row r="167" spans="1:5" ht="15" customHeight="1" x14ac:dyDescent="0.25">
      <c r="A167" t="s">
        <v>4</v>
      </c>
      <c r="B167">
        <v>3</v>
      </c>
      <c r="C167" t="s">
        <v>356</v>
      </c>
      <c r="D167">
        <v>301.10000000000002</v>
      </c>
      <c r="E167">
        <v>145.6</v>
      </c>
    </row>
    <row r="168" spans="1:5" ht="15" customHeight="1" x14ac:dyDescent="0.25">
      <c r="A168" t="s">
        <v>4</v>
      </c>
      <c r="B168">
        <v>3</v>
      </c>
      <c r="C168" t="s">
        <v>357</v>
      </c>
      <c r="D168">
        <v>125</v>
      </c>
      <c r="E168">
        <v>18.23</v>
      </c>
    </row>
    <row r="169" spans="1:5" ht="15" customHeight="1" x14ac:dyDescent="0.25">
      <c r="A169" t="s">
        <v>4</v>
      </c>
      <c r="B169">
        <v>3</v>
      </c>
      <c r="C169" t="s">
        <v>349</v>
      </c>
      <c r="D169">
        <v>246.2</v>
      </c>
      <c r="E169">
        <v>49.73</v>
      </c>
    </row>
    <row r="170" spans="1:5" ht="15" customHeight="1" x14ac:dyDescent="0.25">
      <c r="A170" t="s">
        <v>4</v>
      </c>
      <c r="B170">
        <v>4</v>
      </c>
      <c r="C170" t="s">
        <v>346</v>
      </c>
      <c r="D170">
        <v>0</v>
      </c>
      <c r="E170">
        <v>353.37</v>
      </c>
    </row>
    <row r="171" spans="1:5" ht="15" customHeight="1" x14ac:dyDescent="0.25">
      <c r="A171" t="s">
        <v>4</v>
      </c>
      <c r="B171">
        <v>4</v>
      </c>
      <c r="C171" t="s">
        <v>354</v>
      </c>
      <c r="D171">
        <v>111</v>
      </c>
      <c r="E171">
        <v>64.47</v>
      </c>
    </row>
    <row r="172" spans="1:5" ht="15" customHeight="1" x14ac:dyDescent="0.25">
      <c r="A172" t="s">
        <v>4</v>
      </c>
      <c r="B172">
        <v>4</v>
      </c>
      <c r="C172" t="s">
        <v>355</v>
      </c>
      <c r="D172">
        <v>244</v>
      </c>
      <c r="E172">
        <v>414.3</v>
      </c>
    </row>
    <row r="173" spans="1:5" ht="15" customHeight="1" x14ac:dyDescent="0.25">
      <c r="A173" t="s">
        <v>4</v>
      </c>
      <c r="B173">
        <v>4</v>
      </c>
      <c r="C173" t="s">
        <v>356</v>
      </c>
      <c r="D173">
        <v>301.10000000000002</v>
      </c>
      <c r="E173">
        <v>206.47</v>
      </c>
    </row>
    <row r="174" spans="1:5" ht="15" customHeight="1" x14ac:dyDescent="0.25">
      <c r="A174" t="s">
        <v>4</v>
      </c>
      <c r="B174">
        <v>4</v>
      </c>
      <c r="C174" t="s">
        <v>357</v>
      </c>
      <c r="D174">
        <v>125</v>
      </c>
      <c r="E174">
        <v>19.77</v>
      </c>
    </row>
    <row r="175" spans="1:5" ht="15" customHeight="1" x14ac:dyDescent="0.25">
      <c r="A175" t="s">
        <v>4</v>
      </c>
      <c r="B175">
        <v>4</v>
      </c>
      <c r="C175" t="s">
        <v>349</v>
      </c>
      <c r="D175">
        <v>246.2</v>
      </c>
      <c r="E175">
        <v>51.27</v>
      </c>
    </row>
    <row r="176" spans="1:5" ht="15" customHeight="1" x14ac:dyDescent="0.25">
      <c r="A176" t="s">
        <v>4</v>
      </c>
      <c r="B176">
        <v>5</v>
      </c>
      <c r="C176" t="s">
        <v>346</v>
      </c>
      <c r="D176">
        <v>0</v>
      </c>
      <c r="E176">
        <v>350.03</v>
      </c>
    </row>
    <row r="177" spans="1:5" ht="15" customHeight="1" x14ac:dyDescent="0.25">
      <c r="A177" t="s">
        <v>4</v>
      </c>
      <c r="B177">
        <v>5</v>
      </c>
      <c r="C177" t="s">
        <v>354</v>
      </c>
      <c r="D177">
        <v>111</v>
      </c>
      <c r="E177">
        <v>92.6</v>
      </c>
    </row>
    <row r="178" spans="1:5" ht="15" customHeight="1" x14ac:dyDescent="0.25">
      <c r="A178" t="s">
        <v>4</v>
      </c>
      <c r="B178">
        <v>5</v>
      </c>
      <c r="C178" t="s">
        <v>355</v>
      </c>
      <c r="D178">
        <v>244</v>
      </c>
      <c r="E178">
        <v>534.29999999999995</v>
      </c>
    </row>
    <row r="179" spans="1:5" ht="15" customHeight="1" x14ac:dyDescent="0.25">
      <c r="A179" t="s">
        <v>4</v>
      </c>
      <c r="B179">
        <v>5</v>
      </c>
      <c r="C179" t="s">
        <v>356</v>
      </c>
      <c r="D179">
        <v>301.10000000000002</v>
      </c>
      <c r="E179">
        <v>266.47000000000003</v>
      </c>
    </row>
    <row r="180" spans="1:5" ht="15" customHeight="1" x14ac:dyDescent="0.25">
      <c r="A180" t="s">
        <v>4</v>
      </c>
      <c r="B180">
        <v>5</v>
      </c>
      <c r="C180" t="s">
        <v>357</v>
      </c>
      <c r="D180">
        <v>125</v>
      </c>
      <c r="E180">
        <v>18.23</v>
      </c>
    </row>
    <row r="181" spans="1:5" ht="15" customHeight="1" x14ac:dyDescent="0.25">
      <c r="A181" t="s">
        <v>4</v>
      </c>
      <c r="B181">
        <v>5</v>
      </c>
      <c r="C181" t="s">
        <v>349</v>
      </c>
      <c r="D181">
        <v>246.2</v>
      </c>
      <c r="E181">
        <v>49.73</v>
      </c>
    </row>
    <row r="182" spans="1:5" ht="15" customHeight="1" x14ac:dyDescent="0.25">
      <c r="A182" t="s">
        <v>4</v>
      </c>
      <c r="B182">
        <v>6</v>
      </c>
      <c r="C182" t="s">
        <v>346</v>
      </c>
      <c r="D182">
        <v>0</v>
      </c>
      <c r="E182">
        <v>251.97</v>
      </c>
    </row>
    <row r="183" spans="1:5" ht="15" customHeight="1" x14ac:dyDescent="0.25">
      <c r="A183" t="s">
        <v>4</v>
      </c>
      <c r="B183">
        <v>6</v>
      </c>
      <c r="C183" t="s">
        <v>354</v>
      </c>
      <c r="D183">
        <v>111</v>
      </c>
      <c r="E183">
        <v>121.07</v>
      </c>
    </row>
    <row r="184" spans="1:5" ht="15" customHeight="1" x14ac:dyDescent="0.25">
      <c r="A184" t="s">
        <v>4</v>
      </c>
      <c r="B184">
        <v>6</v>
      </c>
      <c r="C184" t="s">
        <v>355</v>
      </c>
      <c r="D184">
        <v>244</v>
      </c>
      <c r="E184">
        <v>654.97</v>
      </c>
    </row>
    <row r="185" spans="1:5" ht="15" customHeight="1" x14ac:dyDescent="0.25">
      <c r="A185" t="s">
        <v>4</v>
      </c>
      <c r="B185">
        <v>6</v>
      </c>
      <c r="C185" t="s">
        <v>356</v>
      </c>
      <c r="D185">
        <v>301.10000000000002</v>
      </c>
      <c r="E185">
        <v>326.47000000000003</v>
      </c>
    </row>
    <row r="186" spans="1:5" ht="15" customHeight="1" x14ac:dyDescent="0.25">
      <c r="A186" t="s">
        <v>4</v>
      </c>
      <c r="B186">
        <v>6</v>
      </c>
      <c r="C186" t="s">
        <v>357</v>
      </c>
      <c r="D186">
        <v>125</v>
      </c>
      <c r="E186">
        <v>0.4</v>
      </c>
    </row>
    <row r="187" spans="1:5" ht="15" customHeight="1" x14ac:dyDescent="0.25">
      <c r="A187" t="s">
        <v>4</v>
      </c>
      <c r="B187">
        <v>6</v>
      </c>
      <c r="C187" t="s">
        <v>349</v>
      </c>
      <c r="D187">
        <v>130.1</v>
      </c>
      <c r="E187">
        <v>0.5</v>
      </c>
    </row>
    <row r="188" spans="1:5" ht="15" customHeight="1" x14ac:dyDescent="0.25">
      <c r="A188" t="s">
        <v>4</v>
      </c>
      <c r="B188">
        <v>7</v>
      </c>
      <c r="C188" t="s">
        <v>346</v>
      </c>
      <c r="D188">
        <v>0</v>
      </c>
      <c r="E188">
        <v>276.93</v>
      </c>
    </row>
    <row r="189" spans="1:5" ht="15" customHeight="1" x14ac:dyDescent="0.25">
      <c r="A189" t="s">
        <v>4</v>
      </c>
      <c r="B189">
        <v>7</v>
      </c>
      <c r="C189" t="s">
        <v>354</v>
      </c>
      <c r="D189">
        <v>111</v>
      </c>
      <c r="E189">
        <v>94.47</v>
      </c>
    </row>
    <row r="190" spans="1:5" ht="15" customHeight="1" x14ac:dyDescent="0.25">
      <c r="A190" t="s">
        <v>4</v>
      </c>
      <c r="B190">
        <v>7</v>
      </c>
      <c r="C190" t="s">
        <v>355</v>
      </c>
      <c r="D190">
        <v>244</v>
      </c>
      <c r="E190">
        <v>804.97</v>
      </c>
    </row>
    <row r="191" spans="1:5" ht="15" customHeight="1" x14ac:dyDescent="0.25">
      <c r="A191" t="s">
        <v>4</v>
      </c>
      <c r="B191">
        <v>7</v>
      </c>
      <c r="C191" t="s">
        <v>356</v>
      </c>
      <c r="D191">
        <v>0</v>
      </c>
      <c r="E191">
        <v>340.07</v>
      </c>
    </row>
    <row r="192" spans="1:5" ht="15" customHeight="1" x14ac:dyDescent="0.25">
      <c r="A192" t="s">
        <v>4</v>
      </c>
      <c r="B192">
        <v>7</v>
      </c>
      <c r="C192" t="s">
        <v>357</v>
      </c>
      <c r="D192">
        <v>0</v>
      </c>
      <c r="E192">
        <v>0</v>
      </c>
    </row>
    <row r="193" spans="1:5" ht="15" customHeight="1" x14ac:dyDescent="0.25">
      <c r="A193" t="s">
        <v>4</v>
      </c>
      <c r="B193">
        <v>7</v>
      </c>
      <c r="C193" t="s">
        <v>349</v>
      </c>
      <c r="D193">
        <v>0</v>
      </c>
      <c r="E193">
        <v>0</v>
      </c>
    </row>
    <row r="194" spans="1:5" ht="15" customHeight="1" x14ac:dyDescent="0.25">
      <c r="A194" t="s">
        <v>4</v>
      </c>
      <c r="B194">
        <v>8</v>
      </c>
      <c r="C194" t="s">
        <v>346</v>
      </c>
      <c r="D194">
        <v>0</v>
      </c>
      <c r="E194">
        <v>247.6</v>
      </c>
    </row>
    <row r="195" spans="1:5" ht="15" customHeight="1" x14ac:dyDescent="0.25">
      <c r="A195" t="s">
        <v>4</v>
      </c>
      <c r="B195">
        <v>8</v>
      </c>
      <c r="C195" t="s">
        <v>354</v>
      </c>
      <c r="D195">
        <v>111</v>
      </c>
      <c r="E195">
        <v>150.27000000000001</v>
      </c>
    </row>
    <row r="196" spans="1:5" ht="15" customHeight="1" x14ac:dyDescent="0.25">
      <c r="A196" t="s">
        <v>4</v>
      </c>
      <c r="B196">
        <v>8</v>
      </c>
      <c r="C196" t="s">
        <v>355</v>
      </c>
      <c r="D196">
        <v>244</v>
      </c>
      <c r="E196">
        <v>954.3</v>
      </c>
    </row>
    <row r="197" spans="1:5" ht="15" customHeight="1" x14ac:dyDescent="0.25">
      <c r="A197" t="s">
        <v>4</v>
      </c>
      <c r="B197">
        <v>8</v>
      </c>
      <c r="C197" t="s">
        <v>356</v>
      </c>
      <c r="D197">
        <v>0</v>
      </c>
      <c r="E197">
        <v>0</v>
      </c>
    </row>
    <row r="198" spans="1:5" ht="15" customHeight="1" x14ac:dyDescent="0.25">
      <c r="A198" t="s">
        <v>4</v>
      </c>
      <c r="B198">
        <v>8</v>
      </c>
      <c r="C198" t="s">
        <v>357</v>
      </c>
      <c r="D198">
        <v>0</v>
      </c>
      <c r="E198">
        <v>0</v>
      </c>
    </row>
    <row r="199" spans="1:5" ht="15" customHeight="1" x14ac:dyDescent="0.25">
      <c r="A199" t="s">
        <v>4</v>
      </c>
      <c r="B199">
        <v>8</v>
      </c>
      <c r="C199" t="s">
        <v>349</v>
      </c>
      <c r="D199">
        <v>0</v>
      </c>
      <c r="E199">
        <v>0</v>
      </c>
    </row>
    <row r="200" spans="1:5" ht="15" customHeight="1" x14ac:dyDescent="0.25">
      <c r="A200" t="s">
        <v>4</v>
      </c>
      <c r="B200">
        <v>9</v>
      </c>
      <c r="C200" t="s">
        <v>346</v>
      </c>
      <c r="D200">
        <v>0</v>
      </c>
      <c r="E200">
        <v>277.60000000000002</v>
      </c>
    </row>
    <row r="201" spans="1:5" ht="15" customHeight="1" x14ac:dyDescent="0.25">
      <c r="A201" t="s">
        <v>4</v>
      </c>
      <c r="B201">
        <v>9</v>
      </c>
      <c r="C201" t="s">
        <v>354</v>
      </c>
      <c r="D201">
        <v>111</v>
      </c>
      <c r="E201">
        <v>124.47</v>
      </c>
    </row>
    <row r="202" spans="1:5" ht="15" customHeight="1" x14ac:dyDescent="0.25">
      <c r="A202" t="s">
        <v>4</v>
      </c>
      <c r="B202">
        <v>9</v>
      </c>
      <c r="C202" t="s">
        <v>355</v>
      </c>
      <c r="D202">
        <v>244</v>
      </c>
      <c r="E202">
        <v>1074.3</v>
      </c>
    </row>
    <row r="203" spans="1:5" ht="15" customHeight="1" x14ac:dyDescent="0.25">
      <c r="A203" t="s">
        <v>4</v>
      </c>
      <c r="B203">
        <v>9</v>
      </c>
      <c r="C203" t="s">
        <v>356</v>
      </c>
      <c r="D203">
        <v>0</v>
      </c>
      <c r="E203">
        <v>0</v>
      </c>
    </row>
    <row r="204" spans="1:5" ht="15" customHeight="1" x14ac:dyDescent="0.25">
      <c r="A204" t="s">
        <v>4</v>
      </c>
      <c r="B204">
        <v>9</v>
      </c>
      <c r="C204" t="s">
        <v>357</v>
      </c>
      <c r="D204">
        <v>0</v>
      </c>
      <c r="E204">
        <v>0</v>
      </c>
    </row>
    <row r="205" spans="1:5" ht="15" customHeight="1" x14ac:dyDescent="0.25">
      <c r="A205" t="s">
        <v>4</v>
      </c>
      <c r="B205">
        <v>9</v>
      </c>
      <c r="C205" t="s">
        <v>349</v>
      </c>
      <c r="D205">
        <v>0</v>
      </c>
      <c r="E205">
        <v>0</v>
      </c>
    </row>
    <row r="206" spans="1:5" ht="15" customHeight="1" x14ac:dyDescent="0.25">
      <c r="A206" t="s">
        <v>4</v>
      </c>
      <c r="B206">
        <v>10</v>
      </c>
      <c r="C206" t="s">
        <v>346</v>
      </c>
      <c r="D206">
        <v>0</v>
      </c>
      <c r="E206">
        <v>93.6</v>
      </c>
    </row>
    <row r="207" spans="1:5" ht="15" customHeight="1" x14ac:dyDescent="0.25">
      <c r="A207" t="s">
        <v>4</v>
      </c>
      <c r="B207">
        <v>10</v>
      </c>
      <c r="C207" t="s">
        <v>354</v>
      </c>
      <c r="D207">
        <v>111</v>
      </c>
      <c r="E207">
        <v>184.47</v>
      </c>
    </row>
    <row r="208" spans="1:5" ht="15" customHeight="1" x14ac:dyDescent="0.25">
      <c r="A208" t="s">
        <v>4</v>
      </c>
      <c r="B208">
        <v>10</v>
      </c>
      <c r="C208" t="s">
        <v>355</v>
      </c>
      <c r="D208">
        <v>0</v>
      </c>
      <c r="E208">
        <v>1181.83</v>
      </c>
    </row>
    <row r="209" spans="1:5" ht="15" customHeight="1" x14ac:dyDescent="0.25">
      <c r="A209" t="s">
        <v>4</v>
      </c>
      <c r="B209">
        <v>10</v>
      </c>
      <c r="C209" t="s">
        <v>356</v>
      </c>
      <c r="D209">
        <v>0</v>
      </c>
      <c r="E209">
        <v>0</v>
      </c>
    </row>
    <row r="210" spans="1:5" ht="15" customHeight="1" x14ac:dyDescent="0.25">
      <c r="A210" t="s">
        <v>4</v>
      </c>
      <c r="B210">
        <v>10</v>
      </c>
      <c r="C210" t="s">
        <v>357</v>
      </c>
      <c r="D210">
        <v>0</v>
      </c>
      <c r="E210">
        <v>0</v>
      </c>
    </row>
    <row r="211" spans="1:5" ht="15" customHeight="1" x14ac:dyDescent="0.25">
      <c r="A211" t="s">
        <v>4</v>
      </c>
      <c r="B211">
        <v>10</v>
      </c>
      <c r="C211" t="s">
        <v>349</v>
      </c>
      <c r="D211">
        <v>0</v>
      </c>
      <c r="E211">
        <v>0</v>
      </c>
    </row>
    <row r="212" spans="1:5" ht="15" customHeight="1" x14ac:dyDescent="0.25">
      <c r="A212" t="s">
        <v>5</v>
      </c>
      <c r="B212">
        <v>1</v>
      </c>
      <c r="C212" t="s">
        <v>358</v>
      </c>
      <c r="D212">
        <v>0</v>
      </c>
      <c r="E212">
        <v>28.3</v>
      </c>
    </row>
    <row r="213" spans="1:5" ht="15" customHeight="1" x14ac:dyDescent="0.25">
      <c r="A213" t="s">
        <v>5</v>
      </c>
      <c r="B213">
        <v>1</v>
      </c>
      <c r="C213" t="s">
        <v>346</v>
      </c>
      <c r="D213">
        <v>0</v>
      </c>
      <c r="E213">
        <v>755.27</v>
      </c>
    </row>
    <row r="214" spans="1:5" ht="15" customHeight="1" x14ac:dyDescent="0.25">
      <c r="A214" t="s">
        <v>5</v>
      </c>
      <c r="B214">
        <v>1</v>
      </c>
      <c r="C214" t="s">
        <v>359</v>
      </c>
      <c r="D214">
        <v>483</v>
      </c>
      <c r="E214">
        <v>25.73</v>
      </c>
    </row>
    <row r="215" spans="1:5" ht="15" customHeight="1" x14ac:dyDescent="0.25">
      <c r="A215" t="s">
        <v>5</v>
      </c>
      <c r="B215">
        <v>1</v>
      </c>
      <c r="C215" t="s">
        <v>360</v>
      </c>
      <c r="D215">
        <v>0</v>
      </c>
      <c r="E215">
        <v>0</v>
      </c>
    </row>
    <row r="216" spans="1:5" ht="15" customHeight="1" x14ac:dyDescent="0.25">
      <c r="A216" t="s">
        <v>5</v>
      </c>
      <c r="B216">
        <v>1</v>
      </c>
      <c r="C216" t="s">
        <v>361</v>
      </c>
      <c r="D216">
        <v>728.3</v>
      </c>
      <c r="E216">
        <v>50.83</v>
      </c>
    </row>
    <row r="217" spans="1:5" ht="15" customHeight="1" x14ac:dyDescent="0.25">
      <c r="A217" t="s">
        <v>5</v>
      </c>
      <c r="B217">
        <v>1</v>
      </c>
      <c r="C217" t="s">
        <v>362</v>
      </c>
      <c r="D217">
        <v>0</v>
      </c>
      <c r="E217">
        <v>0</v>
      </c>
    </row>
    <row r="218" spans="1:5" ht="15" customHeight="1" x14ac:dyDescent="0.25">
      <c r="A218" t="s">
        <v>5</v>
      </c>
      <c r="B218">
        <v>1</v>
      </c>
      <c r="C218" t="s">
        <v>363</v>
      </c>
      <c r="D218">
        <v>0</v>
      </c>
      <c r="E218">
        <v>0</v>
      </c>
    </row>
    <row r="219" spans="1:5" ht="15" customHeight="1" x14ac:dyDescent="0.25">
      <c r="A219" t="s">
        <v>5</v>
      </c>
      <c r="B219">
        <v>2</v>
      </c>
      <c r="C219" t="s">
        <v>358</v>
      </c>
      <c r="D219">
        <v>0</v>
      </c>
      <c r="E219">
        <v>28.47</v>
      </c>
    </row>
    <row r="220" spans="1:5" ht="15" customHeight="1" x14ac:dyDescent="0.25">
      <c r="A220" t="s">
        <v>5</v>
      </c>
      <c r="B220">
        <v>2</v>
      </c>
      <c r="C220" t="s">
        <v>346</v>
      </c>
      <c r="D220">
        <v>0</v>
      </c>
      <c r="E220">
        <v>757.73</v>
      </c>
    </row>
    <row r="221" spans="1:5" ht="15" customHeight="1" x14ac:dyDescent="0.25">
      <c r="A221" t="s">
        <v>5</v>
      </c>
      <c r="B221">
        <v>2</v>
      </c>
      <c r="C221" t="s">
        <v>359</v>
      </c>
      <c r="D221">
        <v>0</v>
      </c>
      <c r="E221">
        <v>0</v>
      </c>
    </row>
    <row r="222" spans="1:5" ht="15" customHeight="1" x14ac:dyDescent="0.25">
      <c r="A222" t="s">
        <v>5</v>
      </c>
      <c r="B222">
        <v>2</v>
      </c>
      <c r="C222" t="s">
        <v>360</v>
      </c>
      <c r="D222">
        <v>483</v>
      </c>
      <c r="E222">
        <v>22.4</v>
      </c>
    </row>
    <row r="223" spans="1:5" ht="15" customHeight="1" x14ac:dyDescent="0.25">
      <c r="A223" t="s">
        <v>5</v>
      </c>
      <c r="B223">
        <v>2</v>
      </c>
      <c r="C223" t="s">
        <v>361</v>
      </c>
      <c r="D223">
        <v>0</v>
      </c>
      <c r="E223">
        <v>0</v>
      </c>
    </row>
    <row r="224" spans="1:5" ht="15" customHeight="1" x14ac:dyDescent="0.25">
      <c r="A224" t="s">
        <v>5</v>
      </c>
      <c r="B224">
        <v>2</v>
      </c>
      <c r="C224" t="s">
        <v>362</v>
      </c>
      <c r="D224">
        <v>728.3</v>
      </c>
      <c r="E224">
        <v>49.97</v>
      </c>
    </row>
    <row r="225" spans="1:5" ht="15" customHeight="1" x14ac:dyDescent="0.25">
      <c r="A225" t="s">
        <v>5</v>
      </c>
      <c r="B225">
        <v>2</v>
      </c>
      <c r="C225" t="s">
        <v>363</v>
      </c>
      <c r="D225">
        <v>0</v>
      </c>
      <c r="E225">
        <v>0</v>
      </c>
    </row>
    <row r="226" spans="1:5" ht="15" customHeight="1" x14ac:dyDescent="0.25">
      <c r="A226" t="s">
        <v>5</v>
      </c>
      <c r="B226">
        <v>3</v>
      </c>
      <c r="C226" t="s">
        <v>358</v>
      </c>
      <c r="D226">
        <v>0</v>
      </c>
      <c r="E226">
        <v>28.47</v>
      </c>
    </row>
    <row r="227" spans="1:5" ht="15" customHeight="1" x14ac:dyDescent="0.25">
      <c r="A227" t="s">
        <v>5</v>
      </c>
      <c r="B227">
        <v>3</v>
      </c>
      <c r="C227" t="s">
        <v>346</v>
      </c>
      <c r="D227">
        <v>0</v>
      </c>
      <c r="E227">
        <v>755.47</v>
      </c>
    </row>
    <row r="228" spans="1:5" ht="15" customHeight="1" x14ac:dyDescent="0.25">
      <c r="A228" t="s">
        <v>5</v>
      </c>
      <c r="B228">
        <v>3</v>
      </c>
      <c r="C228" t="s">
        <v>359</v>
      </c>
      <c r="D228">
        <v>483</v>
      </c>
      <c r="E228">
        <v>322.47000000000003</v>
      </c>
    </row>
    <row r="229" spans="1:5" ht="15" customHeight="1" x14ac:dyDescent="0.25">
      <c r="A229" t="s">
        <v>5</v>
      </c>
      <c r="B229">
        <v>3</v>
      </c>
      <c r="C229" t="s">
        <v>360</v>
      </c>
      <c r="D229">
        <v>0</v>
      </c>
      <c r="E229">
        <v>0</v>
      </c>
    </row>
    <row r="230" spans="1:5" ht="15" customHeight="1" x14ac:dyDescent="0.25">
      <c r="A230" t="s">
        <v>5</v>
      </c>
      <c r="B230">
        <v>3</v>
      </c>
      <c r="C230" t="s">
        <v>361</v>
      </c>
      <c r="D230">
        <v>0</v>
      </c>
      <c r="E230">
        <v>0</v>
      </c>
    </row>
    <row r="231" spans="1:5" ht="15" customHeight="1" x14ac:dyDescent="0.25">
      <c r="A231" t="s">
        <v>5</v>
      </c>
      <c r="B231">
        <v>3</v>
      </c>
      <c r="C231" t="s">
        <v>362</v>
      </c>
      <c r="D231">
        <v>0</v>
      </c>
      <c r="E231">
        <v>0</v>
      </c>
    </row>
    <row r="232" spans="1:5" ht="15" customHeight="1" x14ac:dyDescent="0.25">
      <c r="A232" t="s">
        <v>5</v>
      </c>
      <c r="B232">
        <v>3</v>
      </c>
      <c r="C232" t="s">
        <v>363</v>
      </c>
      <c r="D232">
        <v>728.3</v>
      </c>
      <c r="E232">
        <v>49.3</v>
      </c>
    </row>
    <row r="233" spans="1:5" ht="15" customHeight="1" x14ac:dyDescent="0.25">
      <c r="A233" t="s">
        <v>5</v>
      </c>
      <c r="B233">
        <v>4</v>
      </c>
      <c r="C233" t="s">
        <v>358</v>
      </c>
      <c r="D233">
        <v>0</v>
      </c>
      <c r="E233">
        <v>28.47</v>
      </c>
    </row>
    <row r="234" spans="1:5" ht="15" customHeight="1" x14ac:dyDescent="0.25">
      <c r="A234" t="s">
        <v>5</v>
      </c>
      <c r="B234">
        <v>4</v>
      </c>
      <c r="C234" t="s">
        <v>346</v>
      </c>
      <c r="D234">
        <v>0</v>
      </c>
      <c r="E234">
        <v>755.53</v>
      </c>
    </row>
    <row r="235" spans="1:5" ht="15" customHeight="1" x14ac:dyDescent="0.25">
      <c r="A235" t="s">
        <v>5</v>
      </c>
      <c r="B235">
        <v>4</v>
      </c>
      <c r="C235" t="s">
        <v>359</v>
      </c>
      <c r="D235">
        <v>0</v>
      </c>
      <c r="E235">
        <v>0</v>
      </c>
    </row>
    <row r="236" spans="1:5" ht="15" customHeight="1" x14ac:dyDescent="0.25">
      <c r="A236" t="s">
        <v>5</v>
      </c>
      <c r="B236">
        <v>4</v>
      </c>
      <c r="C236" t="s">
        <v>360</v>
      </c>
      <c r="D236">
        <v>483</v>
      </c>
      <c r="E236">
        <v>321.73</v>
      </c>
    </row>
    <row r="237" spans="1:5" ht="15" customHeight="1" x14ac:dyDescent="0.25">
      <c r="A237" t="s">
        <v>5</v>
      </c>
      <c r="B237">
        <v>4</v>
      </c>
      <c r="C237" t="s">
        <v>361</v>
      </c>
      <c r="D237">
        <v>728.3</v>
      </c>
      <c r="E237">
        <v>199.3</v>
      </c>
    </row>
    <row r="238" spans="1:5" ht="15" customHeight="1" x14ac:dyDescent="0.25">
      <c r="A238" t="s">
        <v>5</v>
      </c>
      <c r="B238">
        <v>4</v>
      </c>
      <c r="C238" t="s">
        <v>362</v>
      </c>
      <c r="D238">
        <v>0</v>
      </c>
      <c r="E238">
        <v>0</v>
      </c>
    </row>
    <row r="239" spans="1:5" ht="15" customHeight="1" x14ac:dyDescent="0.25">
      <c r="A239" t="s">
        <v>5</v>
      </c>
      <c r="B239">
        <v>4</v>
      </c>
      <c r="C239" t="s">
        <v>363</v>
      </c>
      <c r="D239">
        <v>0</v>
      </c>
      <c r="E239">
        <v>0</v>
      </c>
    </row>
    <row r="240" spans="1:5" ht="15" customHeight="1" x14ac:dyDescent="0.25">
      <c r="A240" t="s">
        <v>5</v>
      </c>
      <c r="B240">
        <v>5</v>
      </c>
      <c r="C240" t="s">
        <v>358</v>
      </c>
      <c r="D240">
        <v>0</v>
      </c>
      <c r="E240">
        <v>28.47</v>
      </c>
    </row>
    <row r="241" spans="1:5" ht="15" customHeight="1" x14ac:dyDescent="0.25">
      <c r="A241" t="s">
        <v>5</v>
      </c>
      <c r="B241">
        <v>5</v>
      </c>
      <c r="C241" t="s">
        <v>346</v>
      </c>
      <c r="D241">
        <v>0</v>
      </c>
      <c r="E241">
        <v>753.13</v>
      </c>
    </row>
    <row r="242" spans="1:5" ht="15" customHeight="1" x14ac:dyDescent="0.25">
      <c r="A242" t="s">
        <v>5</v>
      </c>
      <c r="B242">
        <v>5</v>
      </c>
      <c r="C242" t="s">
        <v>359</v>
      </c>
      <c r="D242">
        <v>483</v>
      </c>
      <c r="E242">
        <v>624</v>
      </c>
    </row>
    <row r="243" spans="1:5" ht="15" customHeight="1" x14ac:dyDescent="0.25">
      <c r="A243" t="s">
        <v>5</v>
      </c>
      <c r="B243">
        <v>5</v>
      </c>
      <c r="C243" t="s">
        <v>360</v>
      </c>
      <c r="D243">
        <v>0</v>
      </c>
      <c r="E243">
        <v>0</v>
      </c>
    </row>
    <row r="244" spans="1:5" ht="15" customHeight="1" x14ac:dyDescent="0.25">
      <c r="A244" t="s">
        <v>5</v>
      </c>
      <c r="B244">
        <v>5</v>
      </c>
      <c r="C244" t="s">
        <v>361</v>
      </c>
      <c r="D244">
        <v>0</v>
      </c>
      <c r="E244">
        <v>0</v>
      </c>
    </row>
    <row r="245" spans="1:5" ht="15" customHeight="1" x14ac:dyDescent="0.25">
      <c r="A245" t="s">
        <v>5</v>
      </c>
      <c r="B245">
        <v>5</v>
      </c>
      <c r="C245" t="s">
        <v>362</v>
      </c>
      <c r="D245">
        <v>728.3</v>
      </c>
      <c r="E245">
        <v>50.83</v>
      </c>
    </row>
    <row r="246" spans="1:5" ht="15" customHeight="1" x14ac:dyDescent="0.25">
      <c r="A246" t="s">
        <v>5</v>
      </c>
      <c r="B246">
        <v>5</v>
      </c>
      <c r="C246" t="s">
        <v>363</v>
      </c>
      <c r="D246">
        <v>0</v>
      </c>
      <c r="E246">
        <v>0</v>
      </c>
    </row>
    <row r="247" spans="1:5" ht="15" customHeight="1" x14ac:dyDescent="0.25">
      <c r="A247" t="s">
        <v>5</v>
      </c>
      <c r="B247">
        <v>6</v>
      </c>
      <c r="C247" t="s">
        <v>358</v>
      </c>
      <c r="D247">
        <v>0</v>
      </c>
      <c r="E247">
        <v>28.47</v>
      </c>
    </row>
    <row r="248" spans="1:5" ht="15" customHeight="1" x14ac:dyDescent="0.25">
      <c r="A248" t="s">
        <v>5</v>
      </c>
      <c r="B248">
        <v>6</v>
      </c>
      <c r="C248" t="s">
        <v>346</v>
      </c>
      <c r="D248">
        <v>0</v>
      </c>
      <c r="E248">
        <v>665.3</v>
      </c>
    </row>
    <row r="249" spans="1:5" ht="15" customHeight="1" x14ac:dyDescent="0.25">
      <c r="A249" t="s">
        <v>5</v>
      </c>
      <c r="B249">
        <v>6</v>
      </c>
      <c r="C249" t="s">
        <v>359</v>
      </c>
      <c r="D249">
        <v>0</v>
      </c>
      <c r="E249">
        <v>0</v>
      </c>
    </row>
    <row r="250" spans="1:5" ht="15" customHeight="1" x14ac:dyDescent="0.25">
      <c r="A250" t="s">
        <v>5</v>
      </c>
      <c r="B250">
        <v>6</v>
      </c>
      <c r="C250" t="s">
        <v>360</v>
      </c>
      <c r="D250">
        <v>483</v>
      </c>
      <c r="E250">
        <v>621.73</v>
      </c>
    </row>
    <row r="251" spans="1:5" ht="15" customHeight="1" x14ac:dyDescent="0.25">
      <c r="A251" t="s">
        <v>5</v>
      </c>
      <c r="B251">
        <v>6</v>
      </c>
      <c r="C251" t="s">
        <v>361</v>
      </c>
      <c r="D251">
        <v>0</v>
      </c>
      <c r="E251">
        <v>0</v>
      </c>
    </row>
    <row r="252" spans="1:5" ht="15" customHeight="1" x14ac:dyDescent="0.25">
      <c r="A252" t="s">
        <v>5</v>
      </c>
      <c r="B252">
        <v>6</v>
      </c>
      <c r="C252" t="s">
        <v>362</v>
      </c>
      <c r="D252">
        <v>0</v>
      </c>
      <c r="E252">
        <v>0</v>
      </c>
    </row>
    <row r="253" spans="1:5" ht="15" customHeight="1" x14ac:dyDescent="0.25">
      <c r="A253" t="s">
        <v>5</v>
      </c>
      <c r="B253">
        <v>6</v>
      </c>
      <c r="C253" t="s">
        <v>363</v>
      </c>
      <c r="D253">
        <v>570.20000000000005</v>
      </c>
      <c r="E253">
        <v>175.87</v>
      </c>
    </row>
    <row r="254" spans="1:5" ht="15" customHeight="1" x14ac:dyDescent="0.25">
      <c r="A254" t="s">
        <v>5</v>
      </c>
      <c r="B254">
        <v>7</v>
      </c>
      <c r="C254" t="s">
        <v>358</v>
      </c>
      <c r="D254">
        <v>0</v>
      </c>
      <c r="E254">
        <v>28.47</v>
      </c>
    </row>
    <row r="255" spans="1:5" ht="15" customHeight="1" x14ac:dyDescent="0.25">
      <c r="A255" t="s">
        <v>5</v>
      </c>
      <c r="B255">
        <v>7</v>
      </c>
      <c r="C255" t="s">
        <v>346</v>
      </c>
      <c r="D255">
        <v>0</v>
      </c>
      <c r="E255">
        <v>452.37</v>
      </c>
    </row>
    <row r="256" spans="1:5" ht="15" customHeight="1" x14ac:dyDescent="0.25">
      <c r="A256" t="s">
        <v>5</v>
      </c>
      <c r="B256">
        <v>7</v>
      </c>
      <c r="C256" t="s">
        <v>359</v>
      </c>
      <c r="D256">
        <v>483</v>
      </c>
      <c r="E256">
        <v>860.93</v>
      </c>
    </row>
    <row r="257" spans="1:5" ht="15" customHeight="1" x14ac:dyDescent="0.25">
      <c r="A257" t="s">
        <v>5</v>
      </c>
      <c r="B257">
        <v>7</v>
      </c>
      <c r="C257" t="s">
        <v>360</v>
      </c>
      <c r="D257">
        <v>0</v>
      </c>
      <c r="E257">
        <v>0</v>
      </c>
    </row>
    <row r="258" spans="1:5" ht="15" customHeight="1" x14ac:dyDescent="0.25">
      <c r="A258" t="s">
        <v>5</v>
      </c>
      <c r="B258">
        <v>7</v>
      </c>
      <c r="C258" t="s">
        <v>361</v>
      </c>
      <c r="D258">
        <v>301.60000000000002</v>
      </c>
      <c r="E258">
        <v>26</v>
      </c>
    </row>
    <row r="259" spans="1:5" ht="15" customHeight="1" x14ac:dyDescent="0.25">
      <c r="A259" t="s">
        <v>5</v>
      </c>
      <c r="B259">
        <v>7</v>
      </c>
      <c r="C259" t="s">
        <v>362</v>
      </c>
      <c r="D259">
        <v>0</v>
      </c>
      <c r="E259">
        <v>0</v>
      </c>
    </row>
    <row r="260" spans="1:5" ht="15" customHeight="1" x14ac:dyDescent="0.25">
      <c r="A260" t="s">
        <v>5</v>
      </c>
      <c r="B260">
        <v>7</v>
      </c>
      <c r="C260" t="s">
        <v>363</v>
      </c>
      <c r="D260">
        <v>0</v>
      </c>
      <c r="E260">
        <v>0</v>
      </c>
    </row>
    <row r="261" spans="1:5" ht="15" customHeight="1" x14ac:dyDescent="0.25">
      <c r="A261" t="s">
        <v>5</v>
      </c>
      <c r="B261">
        <v>8</v>
      </c>
      <c r="C261" t="s">
        <v>358</v>
      </c>
      <c r="D261">
        <v>0</v>
      </c>
      <c r="E261">
        <v>28.47</v>
      </c>
    </row>
    <row r="262" spans="1:5" ht="15" customHeight="1" x14ac:dyDescent="0.25">
      <c r="A262" t="s">
        <v>5</v>
      </c>
      <c r="B262">
        <v>8</v>
      </c>
      <c r="C262" t="s">
        <v>346</v>
      </c>
      <c r="D262">
        <v>0</v>
      </c>
      <c r="E262">
        <v>453.97</v>
      </c>
    </row>
    <row r="263" spans="1:5" ht="15" customHeight="1" x14ac:dyDescent="0.25">
      <c r="A263" t="s">
        <v>5</v>
      </c>
      <c r="B263">
        <v>8</v>
      </c>
      <c r="C263" t="s">
        <v>359</v>
      </c>
      <c r="D263">
        <v>0</v>
      </c>
      <c r="E263">
        <v>0</v>
      </c>
    </row>
    <row r="264" spans="1:5" ht="15" customHeight="1" x14ac:dyDescent="0.25">
      <c r="A264" t="s">
        <v>5</v>
      </c>
      <c r="B264">
        <v>8</v>
      </c>
      <c r="C264" t="s">
        <v>360</v>
      </c>
      <c r="D264">
        <v>483</v>
      </c>
      <c r="E264">
        <v>741.73</v>
      </c>
    </row>
    <row r="265" spans="1:5" ht="15" customHeight="1" x14ac:dyDescent="0.25">
      <c r="A265" t="s">
        <v>5</v>
      </c>
      <c r="B265">
        <v>8</v>
      </c>
      <c r="C265" t="s">
        <v>361</v>
      </c>
      <c r="D265">
        <v>0</v>
      </c>
      <c r="E265">
        <v>0</v>
      </c>
    </row>
    <row r="266" spans="1:5" ht="15" customHeight="1" x14ac:dyDescent="0.25">
      <c r="A266" t="s">
        <v>5</v>
      </c>
      <c r="B266">
        <v>8</v>
      </c>
      <c r="C266" t="s">
        <v>362</v>
      </c>
      <c r="D266">
        <v>0</v>
      </c>
      <c r="E266">
        <v>156.33000000000001</v>
      </c>
    </row>
    <row r="267" spans="1:5" ht="15" customHeight="1" x14ac:dyDescent="0.25">
      <c r="A267" t="s">
        <v>5</v>
      </c>
      <c r="B267">
        <v>8</v>
      </c>
      <c r="C267" t="s">
        <v>363</v>
      </c>
      <c r="D267">
        <v>0</v>
      </c>
      <c r="E267">
        <v>0</v>
      </c>
    </row>
    <row r="268" spans="1:5" ht="15" customHeight="1" x14ac:dyDescent="0.25">
      <c r="A268" t="s">
        <v>5</v>
      </c>
      <c r="B268">
        <v>9</v>
      </c>
      <c r="C268" t="s">
        <v>358</v>
      </c>
      <c r="D268">
        <v>0</v>
      </c>
      <c r="E268">
        <v>0</v>
      </c>
    </row>
    <row r="269" spans="1:5" ht="15" customHeight="1" x14ac:dyDescent="0.25">
      <c r="A269" t="s">
        <v>5</v>
      </c>
      <c r="B269">
        <v>9</v>
      </c>
      <c r="C269" t="s">
        <v>346</v>
      </c>
      <c r="D269">
        <v>0</v>
      </c>
      <c r="E269">
        <v>271.07</v>
      </c>
    </row>
    <row r="270" spans="1:5" ht="15" customHeight="1" x14ac:dyDescent="0.25">
      <c r="A270" t="s">
        <v>5</v>
      </c>
      <c r="B270">
        <v>9</v>
      </c>
      <c r="C270" t="s">
        <v>359</v>
      </c>
      <c r="D270">
        <v>404.5</v>
      </c>
      <c r="E270">
        <v>1002</v>
      </c>
    </row>
    <row r="271" spans="1:5" ht="15" customHeight="1" x14ac:dyDescent="0.25">
      <c r="A271" t="s">
        <v>5</v>
      </c>
      <c r="B271">
        <v>9</v>
      </c>
      <c r="C271" t="s">
        <v>360</v>
      </c>
      <c r="D271">
        <v>0</v>
      </c>
      <c r="E271">
        <v>0</v>
      </c>
    </row>
    <row r="272" spans="1:5" ht="15" customHeight="1" x14ac:dyDescent="0.25">
      <c r="A272" t="s">
        <v>5</v>
      </c>
      <c r="B272">
        <v>9</v>
      </c>
      <c r="C272" t="s">
        <v>361</v>
      </c>
      <c r="D272">
        <v>0</v>
      </c>
      <c r="E272">
        <v>0</v>
      </c>
    </row>
    <row r="273" spans="1:5" ht="15" customHeight="1" x14ac:dyDescent="0.25">
      <c r="A273" t="s">
        <v>5</v>
      </c>
      <c r="B273">
        <v>9</v>
      </c>
      <c r="C273" t="s">
        <v>362</v>
      </c>
      <c r="D273">
        <v>0</v>
      </c>
      <c r="E273">
        <v>0</v>
      </c>
    </row>
    <row r="274" spans="1:5" ht="15" customHeight="1" x14ac:dyDescent="0.25">
      <c r="A274" t="s">
        <v>5</v>
      </c>
      <c r="B274">
        <v>9</v>
      </c>
      <c r="C274" t="s">
        <v>363</v>
      </c>
      <c r="D274">
        <v>0</v>
      </c>
      <c r="E274">
        <v>0</v>
      </c>
    </row>
    <row r="275" spans="1:5" ht="15" customHeight="1" x14ac:dyDescent="0.25">
      <c r="A275" t="s">
        <v>5</v>
      </c>
      <c r="B275">
        <v>10</v>
      </c>
      <c r="C275" t="s">
        <v>358</v>
      </c>
      <c r="D275">
        <v>0</v>
      </c>
      <c r="E275">
        <v>0</v>
      </c>
    </row>
    <row r="276" spans="1:5" ht="15" customHeight="1" x14ac:dyDescent="0.25">
      <c r="A276" t="s">
        <v>5</v>
      </c>
      <c r="B276">
        <v>10</v>
      </c>
      <c r="C276" t="s">
        <v>346</v>
      </c>
      <c r="D276">
        <v>0</v>
      </c>
      <c r="E276">
        <v>211.8</v>
      </c>
    </row>
    <row r="277" spans="1:5" ht="15" customHeight="1" x14ac:dyDescent="0.25">
      <c r="A277" t="s">
        <v>5</v>
      </c>
      <c r="B277">
        <v>10</v>
      </c>
      <c r="C277" t="s">
        <v>359</v>
      </c>
      <c r="D277">
        <v>0</v>
      </c>
      <c r="E277">
        <v>0</v>
      </c>
    </row>
    <row r="278" spans="1:5" ht="15" customHeight="1" x14ac:dyDescent="0.25">
      <c r="A278" t="s">
        <v>5</v>
      </c>
      <c r="B278">
        <v>10</v>
      </c>
      <c r="C278" t="s">
        <v>360</v>
      </c>
      <c r="D278">
        <v>326</v>
      </c>
      <c r="E278">
        <v>822.97</v>
      </c>
    </row>
    <row r="279" spans="1:5" ht="15" customHeight="1" x14ac:dyDescent="0.25">
      <c r="A279" t="s">
        <v>5</v>
      </c>
      <c r="B279">
        <v>10</v>
      </c>
      <c r="C279" t="s">
        <v>361</v>
      </c>
      <c r="D279">
        <v>0</v>
      </c>
      <c r="E279">
        <v>0</v>
      </c>
    </row>
    <row r="280" spans="1:5" ht="15" customHeight="1" x14ac:dyDescent="0.25">
      <c r="A280" t="s">
        <v>5</v>
      </c>
      <c r="B280">
        <v>10</v>
      </c>
      <c r="C280" t="s">
        <v>362</v>
      </c>
      <c r="D280">
        <v>0</v>
      </c>
      <c r="E280">
        <v>0</v>
      </c>
    </row>
    <row r="281" spans="1:5" ht="15" customHeight="1" x14ac:dyDescent="0.25">
      <c r="A281" t="s">
        <v>5</v>
      </c>
      <c r="B281">
        <v>10</v>
      </c>
      <c r="C281" t="s">
        <v>363</v>
      </c>
      <c r="D281">
        <v>0</v>
      </c>
      <c r="E281">
        <v>0</v>
      </c>
    </row>
    <row r="282" spans="1:5" ht="15" customHeight="1" x14ac:dyDescent="0.25">
      <c r="A282" t="s">
        <v>6</v>
      </c>
      <c r="B282">
        <v>1</v>
      </c>
      <c r="C282" t="s">
        <v>346</v>
      </c>
      <c r="D282">
        <v>0</v>
      </c>
      <c r="E282">
        <v>574.23</v>
      </c>
    </row>
    <row r="283" spans="1:5" ht="15" customHeight="1" x14ac:dyDescent="0.25">
      <c r="A283" t="s">
        <v>6</v>
      </c>
      <c r="B283">
        <v>1</v>
      </c>
      <c r="C283" t="s">
        <v>350</v>
      </c>
      <c r="D283">
        <v>997.3</v>
      </c>
      <c r="E283">
        <v>51.43</v>
      </c>
    </row>
    <row r="284" spans="1:5" ht="15" customHeight="1" x14ac:dyDescent="0.25">
      <c r="A284" t="s">
        <v>6</v>
      </c>
      <c r="B284">
        <v>1</v>
      </c>
      <c r="C284" t="s">
        <v>351</v>
      </c>
      <c r="D284">
        <v>0</v>
      </c>
      <c r="E284">
        <v>0</v>
      </c>
    </row>
    <row r="285" spans="1:5" ht="15" customHeight="1" x14ac:dyDescent="0.25">
      <c r="A285" t="s">
        <v>6</v>
      </c>
      <c r="B285">
        <v>1</v>
      </c>
      <c r="C285" t="s">
        <v>352</v>
      </c>
      <c r="D285">
        <v>0</v>
      </c>
      <c r="E285">
        <v>0</v>
      </c>
    </row>
    <row r="286" spans="1:5" ht="15" customHeight="1" x14ac:dyDescent="0.25">
      <c r="A286" t="s">
        <v>6</v>
      </c>
      <c r="B286">
        <v>1</v>
      </c>
      <c r="C286" t="s">
        <v>353</v>
      </c>
      <c r="D286">
        <v>0</v>
      </c>
      <c r="E286">
        <v>0</v>
      </c>
    </row>
    <row r="287" spans="1:5" ht="15" customHeight="1" x14ac:dyDescent="0.25">
      <c r="A287" t="s">
        <v>6</v>
      </c>
      <c r="B287">
        <v>1</v>
      </c>
      <c r="C287" t="s">
        <v>364</v>
      </c>
      <c r="D287">
        <v>0</v>
      </c>
      <c r="E287">
        <v>0</v>
      </c>
    </row>
    <row r="288" spans="1:5" ht="15" customHeight="1" x14ac:dyDescent="0.25">
      <c r="A288" t="s">
        <v>6</v>
      </c>
      <c r="B288">
        <v>2</v>
      </c>
      <c r="C288" t="s">
        <v>346</v>
      </c>
      <c r="D288">
        <v>0</v>
      </c>
      <c r="E288">
        <v>332.63</v>
      </c>
    </row>
    <row r="289" spans="1:5" ht="15" customHeight="1" x14ac:dyDescent="0.25">
      <c r="A289" t="s">
        <v>6</v>
      </c>
      <c r="B289">
        <v>2</v>
      </c>
      <c r="C289" t="s">
        <v>350</v>
      </c>
      <c r="D289">
        <v>0</v>
      </c>
      <c r="E289">
        <v>0</v>
      </c>
    </row>
    <row r="290" spans="1:5" ht="15" customHeight="1" x14ac:dyDescent="0.25">
      <c r="A290" t="s">
        <v>6</v>
      </c>
      <c r="B290">
        <v>2</v>
      </c>
      <c r="C290" t="s">
        <v>351</v>
      </c>
      <c r="D290">
        <v>424.1</v>
      </c>
      <c r="E290">
        <v>52.83</v>
      </c>
    </row>
    <row r="291" spans="1:5" ht="15" customHeight="1" x14ac:dyDescent="0.25">
      <c r="A291" t="s">
        <v>6</v>
      </c>
      <c r="B291">
        <v>2</v>
      </c>
      <c r="C291" t="s">
        <v>352</v>
      </c>
      <c r="D291">
        <v>0</v>
      </c>
      <c r="E291">
        <v>0</v>
      </c>
    </row>
    <row r="292" spans="1:5" ht="15" customHeight="1" x14ac:dyDescent="0.25">
      <c r="A292" t="s">
        <v>6</v>
      </c>
      <c r="B292">
        <v>2</v>
      </c>
      <c r="C292" t="s">
        <v>353</v>
      </c>
      <c r="D292">
        <v>0</v>
      </c>
      <c r="E292">
        <v>0</v>
      </c>
    </row>
    <row r="293" spans="1:5" ht="15" customHeight="1" x14ac:dyDescent="0.25">
      <c r="A293" t="s">
        <v>6</v>
      </c>
      <c r="B293">
        <v>2</v>
      </c>
      <c r="C293" t="s">
        <v>364</v>
      </c>
      <c r="D293">
        <v>0</v>
      </c>
      <c r="E293">
        <v>0</v>
      </c>
    </row>
    <row r="294" spans="1:5" ht="15" customHeight="1" x14ac:dyDescent="0.25">
      <c r="A294" t="s">
        <v>6</v>
      </c>
      <c r="B294">
        <v>3</v>
      </c>
      <c r="C294" t="s">
        <v>346</v>
      </c>
      <c r="D294">
        <v>0</v>
      </c>
      <c r="E294">
        <v>571.97</v>
      </c>
    </row>
    <row r="295" spans="1:5" ht="15" customHeight="1" x14ac:dyDescent="0.25">
      <c r="A295" t="s">
        <v>6</v>
      </c>
      <c r="B295">
        <v>3</v>
      </c>
      <c r="C295" t="s">
        <v>350</v>
      </c>
      <c r="D295">
        <v>0</v>
      </c>
      <c r="E295">
        <v>0</v>
      </c>
    </row>
    <row r="296" spans="1:5" ht="15" customHeight="1" x14ac:dyDescent="0.25">
      <c r="A296" t="s">
        <v>6</v>
      </c>
      <c r="B296">
        <v>3</v>
      </c>
      <c r="C296" t="s">
        <v>351</v>
      </c>
      <c r="D296">
        <v>0</v>
      </c>
      <c r="E296">
        <v>0</v>
      </c>
    </row>
    <row r="297" spans="1:5" ht="15" customHeight="1" x14ac:dyDescent="0.25">
      <c r="A297" t="s">
        <v>6</v>
      </c>
      <c r="B297">
        <v>3</v>
      </c>
      <c r="C297" t="s">
        <v>352</v>
      </c>
      <c r="D297">
        <v>997.3</v>
      </c>
      <c r="E297">
        <v>49.7</v>
      </c>
    </row>
    <row r="298" spans="1:5" ht="15" customHeight="1" x14ac:dyDescent="0.25">
      <c r="A298" t="s">
        <v>6</v>
      </c>
      <c r="B298">
        <v>3</v>
      </c>
      <c r="C298" t="s">
        <v>353</v>
      </c>
      <c r="D298">
        <v>0</v>
      </c>
      <c r="E298">
        <v>0</v>
      </c>
    </row>
    <row r="299" spans="1:5" ht="15" customHeight="1" x14ac:dyDescent="0.25">
      <c r="A299" t="s">
        <v>6</v>
      </c>
      <c r="B299">
        <v>3</v>
      </c>
      <c r="C299" t="s">
        <v>364</v>
      </c>
      <c r="D299">
        <v>0</v>
      </c>
      <c r="E299">
        <v>0</v>
      </c>
    </row>
    <row r="300" spans="1:5" ht="15" customHeight="1" x14ac:dyDescent="0.25">
      <c r="A300" t="s">
        <v>6</v>
      </c>
      <c r="B300">
        <v>4</v>
      </c>
      <c r="C300" t="s">
        <v>346</v>
      </c>
      <c r="D300">
        <v>0</v>
      </c>
      <c r="E300">
        <v>575.87</v>
      </c>
    </row>
    <row r="301" spans="1:5" ht="15" customHeight="1" x14ac:dyDescent="0.25">
      <c r="A301" t="s">
        <v>6</v>
      </c>
      <c r="B301">
        <v>4</v>
      </c>
      <c r="C301" t="s">
        <v>350</v>
      </c>
      <c r="D301">
        <v>0</v>
      </c>
      <c r="E301">
        <v>0</v>
      </c>
    </row>
    <row r="302" spans="1:5" ht="15" customHeight="1" x14ac:dyDescent="0.25">
      <c r="A302" t="s">
        <v>6</v>
      </c>
      <c r="B302">
        <v>4</v>
      </c>
      <c r="C302" t="s">
        <v>351</v>
      </c>
      <c r="D302">
        <v>0</v>
      </c>
      <c r="E302">
        <v>0</v>
      </c>
    </row>
    <row r="303" spans="1:5" ht="15" customHeight="1" x14ac:dyDescent="0.25">
      <c r="A303" t="s">
        <v>6</v>
      </c>
      <c r="B303">
        <v>4</v>
      </c>
      <c r="C303" t="s">
        <v>352</v>
      </c>
      <c r="D303">
        <v>0</v>
      </c>
      <c r="E303">
        <v>0</v>
      </c>
    </row>
    <row r="304" spans="1:5" ht="15" customHeight="1" x14ac:dyDescent="0.25">
      <c r="A304" t="s">
        <v>6</v>
      </c>
      <c r="B304">
        <v>4</v>
      </c>
      <c r="C304" t="s">
        <v>353</v>
      </c>
      <c r="D304">
        <v>997.3</v>
      </c>
      <c r="E304">
        <v>48.97</v>
      </c>
    </row>
    <row r="305" spans="1:5" ht="15" customHeight="1" x14ac:dyDescent="0.25">
      <c r="A305" t="s">
        <v>6</v>
      </c>
      <c r="B305">
        <v>4</v>
      </c>
      <c r="C305" t="s">
        <v>364</v>
      </c>
      <c r="D305">
        <v>0</v>
      </c>
      <c r="E305">
        <v>0</v>
      </c>
    </row>
    <row r="306" spans="1:5" ht="15" customHeight="1" x14ac:dyDescent="0.25">
      <c r="A306" t="s">
        <v>6</v>
      </c>
      <c r="B306">
        <v>5</v>
      </c>
      <c r="C306" t="s">
        <v>346</v>
      </c>
      <c r="D306">
        <v>0</v>
      </c>
      <c r="E306">
        <v>393.93</v>
      </c>
    </row>
    <row r="307" spans="1:5" ht="15" customHeight="1" x14ac:dyDescent="0.25">
      <c r="A307" t="s">
        <v>6</v>
      </c>
      <c r="B307">
        <v>5</v>
      </c>
      <c r="C307" t="s">
        <v>350</v>
      </c>
      <c r="D307">
        <v>0</v>
      </c>
      <c r="E307">
        <v>0</v>
      </c>
    </row>
    <row r="308" spans="1:5" ht="15" customHeight="1" x14ac:dyDescent="0.25">
      <c r="A308" t="s">
        <v>6</v>
      </c>
      <c r="B308">
        <v>5</v>
      </c>
      <c r="C308" t="s">
        <v>351</v>
      </c>
      <c r="D308">
        <v>0</v>
      </c>
      <c r="E308">
        <v>0</v>
      </c>
    </row>
    <row r="309" spans="1:5" ht="15" customHeight="1" x14ac:dyDescent="0.25">
      <c r="A309" t="s">
        <v>6</v>
      </c>
      <c r="B309">
        <v>5</v>
      </c>
      <c r="C309" t="s">
        <v>352</v>
      </c>
      <c r="D309">
        <v>0</v>
      </c>
      <c r="E309">
        <v>0</v>
      </c>
    </row>
    <row r="310" spans="1:5" ht="15" customHeight="1" x14ac:dyDescent="0.25">
      <c r="A310" t="s">
        <v>6</v>
      </c>
      <c r="B310">
        <v>5</v>
      </c>
      <c r="C310" t="s">
        <v>353</v>
      </c>
      <c r="D310">
        <v>0</v>
      </c>
      <c r="E310">
        <v>0</v>
      </c>
    </row>
    <row r="311" spans="1:5" ht="15" customHeight="1" x14ac:dyDescent="0.25">
      <c r="A311" t="s">
        <v>6</v>
      </c>
      <c r="B311">
        <v>5</v>
      </c>
      <c r="C311" t="s">
        <v>364</v>
      </c>
      <c r="D311">
        <v>449.1</v>
      </c>
      <c r="E311">
        <v>56.37</v>
      </c>
    </row>
    <row r="312" spans="1:5" ht="15" customHeight="1" x14ac:dyDescent="0.25">
      <c r="A312" t="s">
        <v>6</v>
      </c>
      <c r="B312">
        <v>6</v>
      </c>
      <c r="C312" t="s">
        <v>346</v>
      </c>
      <c r="D312">
        <v>0</v>
      </c>
      <c r="E312">
        <v>422.4</v>
      </c>
    </row>
    <row r="313" spans="1:5" ht="15" customHeight="1" x14ac:dyDescent="0.25">
      <c r="A313" t="s">
        <v>6</v>
      </c>
      <c r="B313">
        <v>6</v>
      </c>
      <c r="C313" t="s">
        <v>350</v>
      </c>
      <c r="D313">
        <v>516.1</v>
      </c>
      <c r="E313">
        <v>737.83</v>
      </c>
    </row>
    <row r="314" spans="1:5" ht="15" customHeight="1" x14ac:dyDescent="0.25">
      <c r="A314" t="s">
        <v>6</v>
      </c>
      <c r="B314">
        <v>6</v>
      </c>
      <c r="C314" t="s">
        <v>351</v>
      </c>
      <c r="D314">
        <v>0</v>
      </c>
      <c r="E314">
        <v>0</v>
      </c>
    </row>
    <row r="315" spans="1:5" ht="15" customHeight="1" x14ac:dyDescent="0.25">
      <c r="A315" t="s">
        <v>6</v>
      </c>
      <c r="B315">
        <v>6</v>
      </c>
      <c r="C315" t="s">
        <v>352</v>
      </c>
      <c r="D315">
        <v>0</v>
      </c>
      <c r="E315">
        <v>0</v>
      </c>
    </row>
    <row r="316" spans="1:5" ht="15" customHeight="1" x14ac:dyDescent="0.25">
      <c r="A316" t="s">
        <v>6</v>
      </c>
      <c r="B316">
        <v>6</v>
      </c>
      <c r="C316" t="s">
        <v>353</v>
      </c>
      <c r="D316">
        <v>0</v>
      </c>
      <c r="E316">
        <v>0</v>
      </c>
    </row>
    <row r="317" spans="1:5" ht="15" customHeight="1" x14ac:dyDescent="0.25">
      <c r="A317" t="s">
        <v>6</v>
      </c>
      <c r="B317">
        <v>6</v>
      </c>
      <c r="C317" t="s">
        <v>364</v>
      </c>
      <c r="D317">
        <v>0</v>
      </c>
      <c r="E317">
        <v>0</v>
      </c>
    </row>
    <row r="318" spans="1:5" ht="15" customHeight="1" x14ac:dyDescent="0.25">
      <c r="A318" t="s">
        <v>6</v>
      </c>
      <c r="B318">
        <v>7</v>
      </c>
      <c r="C318" t="s">
        <v>346</v>
      </c>
      <c r="D318">
        <v>0</v>
      </c>
      <c r="E318">
        <v>576</v>
      </c>
    </row>
    <row r="319" spans="1:5" ht="15" customHeight="1" x14ac:dyDescent="0.25">
      <c r="A319" t="s">
        <v>6</v>
      </c>
      <c r="B319">
        <v>7</v>
      </c>
      <c r="C319" t="s">
        <v>350</v>
      </c>
      <c r="D319">
        <v>0</v>
      </c>
      <c r="E319">
        <v>0</v>
      </c>
    </row>
    <row r="320" spans="1:5" ht="15" customHeight="1" x14ac:dyDescent="0.25">
      <c r="A320" t="s">
        <v>6</v>
      </c>
      <c r="B320">
        <v>7</v>
      </c>
      <c r="C320" t="s">
        <v>351</v>
      </c>
      <c r="D320">
        <v>997.3</v>
      </c>
      <c r="E320">
        <v>105.9</v>
      </c>
    </row>
    <row r="321" spans="1:5" ht="15" customHeight="1" x14ac:dyDescent="0.25">
      <c r="A321" t="s">
        <v>6</v>
      </c>
      <c r="B321">
        <v>7</v>
      </c>
      <c r="C321" t="s">
        <v>352</v>
      </c>
      <c r="D321">
        <v>0</v>
      </c>
      <c r="E321">
        <v>0</v>
      </c>
    </row>
    <row r="322" spans="1:5" ht="15" customHeight="1" x14ac:dyDescent="0.25">
      <c r="A322" t="s">
        <v>6</v>
      </c>
      <c r="B322">
        <v>7</v>
      </c>
      <c r="C322" t="s">
        <v>353</v>
      </c>
      <c r="D322">
        <v>0</v>
      </c>
      <c r="E322">
        <v>0</v>
      </c>
    </row>
    <row r="323" spans="1:5" ht="15" customHeight="1" x14ac:dyDescent="0.25">
      <c r="A323" t="s">
        <v>6</v>
      </c>
      <c r="B323">
        <v>7</v>
      </c>
      <c r="C323" t="s">
        <v>364</v>
      </c>
      <c r="D323">
        <v>0</v>
      </c>
      <c r="E323">
        <v>0</v>
      </c>
    </row>
    <row r="324" spans="1:5" ht="15" customHeight="1" x14ac:dyDescent="0.25">
      <c r="A324" t="s">
        <v>6</v>
      </c>
      <c r="B324">
        <v>8</v>
      </c>
      <c r="C324" t="s">
        <v>346</v>
      </c>
      <c r="D324">
        <v>0</v>
      </c>
      <c r="E324">
        <v>420.87</v>
      </c>
    </row>
    <row r="325" spans="1:5" ht="15" customHeight="1" x14ac:dyDescent="0.25">
      <c r="A325" t="s">
        <v>6</v>
      </c>
      <c r="B325">
        <v>8</v>
      </c>
      <c r="C325" t="s">
        <v>350</v>
      </c>
      <c r="D325">
        <v>0</v>
      </c>
      <c r="E325">
        <v>0</v>
      </c>
    </row>
    <row r="326" spans="1:5" ht="15" customHeight="1" x14ac:dyDescent="0.25">
      <c r="A326" t="s">
        <v>6</v>
      </c>
      <c r="B326">
        <v>8</v>
      </c>
      <c r="C326" t="s">
        <v>351</v>
      </c>
      <c r="D326">
        <v>0</v>
      </c>
      <c r="E326">
        <v>0</v>
      </c>
    </row>
    <row r="327" spans="1:5" ht="15" customHeight="1" x14ac:dyDescent="0.25">
      <c r="A327" t="s">
        <v>6</v>
      </c>
      <c r="B327">
        <v>8</v>
      </c>
      <c r="C327" t="s">
        <v>352</v>
      </c>
      <c r="D327">
        <v>516.1</v>
      </c>
      <c r="E327">
        <v>704.6</v>
      </c>
    </row>
    <row r="328" spans="1:5" ht="15" customHeight="1" x14ac:dyDescent="0.25">
      <c r="A328" t="s">
        <v>6</v>
      </c>
      <c r="B328">
        <v>8</v>
      </c>
      <c r="C328" t="s">
        <v>353</v>
      </c>
      <c r="D328">
        <v>0</v>
      </c>
      <c r="E328">
        <v>0</v>
      </c>
    </row>
    <row r="329" spans="1:5" ht="15" customHeight="1" x14ac:dyDescent="0.25">
      <c r="A329" t="s">
        <v>6</v>
      </c>
      <c r="B329">
        <v>8</v>
      </c>
      <c r="C329" t="s">
        <v>364</v>
      </c>
      <c r="D329">
        <v>0</v>
      </c>
      <c r="E329">
        <v>0</v>
      </c>
    </row>
    <row r="330" spans="1:5" ht="15" customHeight="1" x14ac:dyDescent="0.25">
      <c r="A330" t="s">
        <v>6</v>
      </c>
      <c r="B330">
        <v>9</v>
      </c>
      <c r="C330" t="s">
        <v>346</v>
      </c>
      <c r="D330">
        <v>0</v>
      </c>
      <c r="E330">
        <v>575.13</v>
      </c>
    </row>
    <row r="331" spans="1:5" ht="15" customHeight="1" x14ac:dyDescent="0.25">
      <c r="A331" t="s">
        <v>6</v>
      </c>
      <c r="B331">
        <v>9</v>
      </c>
      <c r="C331" t="s">
        <v>350</v>
      </c>
      <c r="D331">
        <v>0</v>
      </c>
      <c r="E331">
        <v>0</v>
      </c>
    </row>
    <row r="332" spans="1:5" ht="15" customHeight="1" x14ac:dyDescent="0.25">
      <c r="A332" t="s">
        <v>6</v>
      </c>
      <c r="B332">
        <v>9</v>
      </c>
      <c r="C332" t="s">
        <v>351</v>
      </c>
      <c r="D332">
        <v>0</v>
      </c>
      <c r="E332">
        <v>0</v>
      </c>
    </row>
    <row r="333" spans="1:5" ht="15" customHeight="1" x14ac:dyDescent="0.25">
      <c r="A333" t="s">
        <v>6</v>
      </c>
      <c r="B333">
        <v>9</v>
      </c>
      <c r="C333" t="s">
        <v>352</v>
      </c>
      <c r="D333">
        <v>0</v>
      </c>
      <c r="E333">
        <v>0</v>
      </c>
    </row>
    <row r="334" spans="1:5" ht="15" customHeight="1" x14ac:dyDescent="0.25">
      <c r="A334" t="s">
        <v>6</v>
      </c>
      <c r="B334">
        <v>9</v>
      </c>
      <c r="C334" t="s">
        <v>353</v>
      </c>
      <c r="D334">
        <v>997.3</v>
      </c>
      <c r="E334">
        <v>675.9</v>
      </c>
    </row>
    <row r="335" spans="1:5" ht="15" customHeight="1" x14ac:dyDescent="0.25">
      <c r="A335" t="s">
        <v>6</v>
      </c>
      <c r="B335">
        <v>9</v>
      </c>
      <c r="C335" t="s">
        <v>364</v>
      </c>
      <c r="D335">
        <v>0</v>
      </c>
      <c r="E335">
        <v>0</v>
      </c>
    </row>
    <row r="336" spans="1:5" ht="15" customHeight="1" x14ac:dyDescent="0.25">
      <c r="A336" t="s">
        <v>6</v>
      </c>
      <c r="B336">
        <v>10</v>
      </c>
      <c r="C336" t="s">
        <v>346</v>
      </c>
      <c r="D336">
        <v>0</v>
      </c>
      <c r="E336">
        <v>577.47</v>
      </c>
    </row>
    <row r="337" spans="1:5" ht="15" customHeight="1" x14ac:dyDescent="0.25">
      <c r="A337" t="s">
        <v>6</v>
      </c>
      <c r="B337">
        <v>10</v>
      </c>
      <c r="C337" t="s">
        <v>350</v>
      </c>
      <c r="D337">
        <v>0</v>
      </c>
      <c r="E337">
        <v>0</v>
      </c>
    </row>
    <row r="338" spans="1:5" ht="15" customHeight="1" x14ac:dyDescent="0.25">
      <c r="A338" t="s">
        <v>6</v>
      </c>
      <c r="B338">
        <v>10</v>
      </c>
      <c r="C338" t="s">
        <v>351</v>
      </c>
      <c r="D338">
        <v>0</v>
      </c>
      <c r="E338">
        <v>0</v>
      </c>
    </row>
    <row r="339" spans="1:5" ht="15" customHeight="1" x14ac:dyDescent="0.25">
      <c r="A339" t="s">
        <v>6</v>
      </c>
      <c r="B339">
        <v>10</v>
      </c>
      <c r="C339" t="s">
        <v>352</v>
      </c>
      <c r="D339">
        <v>0</v>
      </c>
      <c r="E339">
        <v>0</v>
      </c>
    </row>
    <row r="340" spans="1:5" ht="15" customHeight="1" x14ac:dyDescent="0.25">
      <c r="A340" t="s">
        <v>6</v>
      </c>
      <c r="B340">
        <v>10</v>
      </c>
      <c r="C340" t="s">
        <v>353</v>
      </c>
      <c r="D340">
        <v>0</v>
      </c>
      <c r="E340">
        <v>0</v>
      </c>
    </row>
    <row r="341" spans="1:5" ht="15" customHeight="1" x14ac:dyDescent="0.25">
      <c r="A341" t="s">
        <v>6</v>
      </c>
      <c r="B341">
        <v>10</v>
      </c>
      <c r="C341" t="s">
        <v>364</v>
      </c>
      <c r="D341">
        <v>997.3</v>
      </c>
      <c r="E341">
        <v>136.63</v>
      </c>
    </row>
    <row r="342" spans="1:5" ht="15" customHeight="1" x14ac:dyDescent="0.25">
      <c r="A342" t="s">
        <v>7</v>
      </c>
      <c r="B342">
        <v>1</v>
      </c>
      <c r="C342" t="s">
        <v>346</v>
      </c>
      <c r="D342">
        <v>0</v>
      </c>
      <c r="E342">
        <v>491.8</v>
      </c>
    </row>
    <row r="343" spans="1:5" ht="15" customHeight="1" x14ac:dyDescent="0.25">
      <c r="A343" t="s">
        <v>7</v>
      </c>
      <c r="B343">
        <v>1</v>
      </c>
      <c r="C343" t="s">
        <v>354</v>
      </c>
      <c r="D343">
        <v>0</v>
      </c>
      <c r="E343">
        <v>0</v>
      </c>
    </row>
    <row r="344" spans="1:5" ht="15" customHeight="1" x14ac:dyDescent="0.25">
      <c r="A344" t="s">
        <v>7</v>
      </c>
      <c r="B344">
        <v>1</v>
      </c>
      <c r="C344" t="s">
        <v>355</v>
      </c>
      <c r="D344">
        <v>287</v>
      </c>
      <c r="E344">
        <v>11</v>
      </c>
    </row>
    <row r="345" spans="1:5" ht="15" customHeight="1" x14ac:dyDescent="0.25">
      <c r="A345" t="s">
        <v>7</v>
      </c>
      <c r="B345">
        <v>1</v>
      </c>
      <c r="C345" t="s">
        <v>356</v>
      </c>
      <c r="D345">
        <v>0</v>
      </c>
      <c r="E345">
        <v>0</v>
      </c>
    </row>
    <row r="346" spans="1:5" ht="15" customHeight="1" x14ac:dyDescent="0.25">
      <c r="A346" t="s">
        <v>7</v>
      </c>
      <c r="B346">
        <v>1</v>
      </c>
      <c r="C346" t="s">
        <v>357</v>
      </c>
      <c r="D346">
        <v>0</v>
      </c>
      <c r="E346">
        <v>0</v>
      </c>
    </row>
    <row r="347" spans="1:5" ht="15" customHeight="1" x14ac:dyDescent="0.25">
      <c r="A347" t="s">
        <v>7</v>
      </c>
      <c r="B347">
        <v>1</v>
      </c>
      <c r="C347" t="s">
        <v>349</v>
      </c>
      <c r="D347">
        <v>295.10000000000002</v>
      </c>
      <c r="E347">
        <v>32.299999999999997</v>
      </c>
    </row>
    <row r="348" spans="1:5" ht="15" customHeight="1" x14ac:dyDescent="0.25">
      <c r="A348" t="s">
        <v>7</v>
      </c>
      <c r="B348">
        <v>2</v>
      </c>
      <c r="C348" t="s">
        <v>346</v>
      </c>
      <c r="D348">
        <v>0</v>
      </c>
      <c r="E348">
        <v>397.3</v>
      </c>
    </row>
    <row r="349" spans="1:5" ht="15" customHeight="1" x14ac:dyDescent="0.25">
      <c r="A349" t="s">
        <v>7</v>
      </c>
      <c r="B349">
        <v>2</v>
      </c>
      <c r="C349" t="s">
        <v>354</v>
      </c>
      <c r="D349">
        <v>78</v>
      </c>
      <c r="E349">
        <v>8.1300000000000008</v>
      </c>
    </row>
    <row r="350" spans="1:5" ht="15" customHeight="1" x14ac:dyDescent="0.25">
      <c r="A350" t="s">
        <v>7</v>
      </c>
      <c r="B350">
        <v>2</v>
      </c>
      <c r="C350" t="s">
        <v>355</v>
      </c>
      <c r="D350">
        <v>163</v>
      </c>
      <c r="E350">
        <v>135.30000000000001</v>
      </c>
    </row>
    <row r="351" spans="1:5" ht="15" customHeight="1" x14ac:dyDescent="0.25">
      <c r="A351" t="s">
        <v>7</v>
      </c>
      <c r="B351">
        <v>2</v>
      </c>
      <c r="C351" t="s">
        <v>356</v>
      </c>
      <c r="D351">
        <v>0</v>
      </c>
      <c r="E351">
        <v>0</v>
      </c>
    </row>
    <row r="352" spans="1:5" ht="15" customHeight="1" x14ac:dyDescent="0.25">
      <c r="A352" t="s">
        <v>7</v>
      </c>
      <c r="B352">
        <v>2</v>
      </c>
      <c r="C352" t="s">
        <v>357</v>
      </c>
      <c r="D352">
        <v>147</v>
      </c>
      <c r="E352">
        <v>0.63</v>
      </c>
    </row>
    <row r="353" spans="1:5" ht="15" customHeight="1" x14ac:dyDescent="0.25">
      <c r="A353" t="s">
        <v>7</v>
      </c>
      <c r="B353">
        <v>2</v>
      </c>
      <c r="C353" t="s">
        <v>349</v>
      </c>
      <c r="D353">
        <v>122.1</v>
      </c>
      <c r="E353">
        <v>54.67</v>
      </c>
    </row>
    <row r="354" spans="1:5" ht="15" customHeight="1" x14ac:dyDescent="0.25">
      <c r="A354" t="s">
        <v>7</v>
      </c>
      <c r="B354">
        <v>3</v>
      </c>
      <c r="C354" t="s">
        <v>346</v>
      </c>
      <c r="D354">
        <v>0</v>
      </c>
      <c r="E354">
        <v>407</v>
      </c>
    </row>
    <row r="355" spans="1:5" ht="15" customHeight="1" x14ac:dyDescent="0.25">
      <c r="A355" t="s">
        <v>7</v>
      </c>
      <c r="B355">
        <v>3</v>
      </c>
      <c r="C355" t="s">
        <v>354</v>
      </c>
      <c r="D355">
        <v>149</v>
      </c>
      <c r="E355">
        <v>23.07</v>
      </c>
    </row>
    <row r="356" spans="1:5" ht="15" customHeight="1" x14ac:dyDescent="0.25">
      <c r="A356" t="s">
        <v>7</v>
      </c>
      <c r="B356">
        <v>3</v>
      </c>
      <c r="C356" t="s">
        <v>355</v>
      </c>
      <c r="D356">
        <v>287</v>
      </c>
      <c r="E356">
        <v>101.3</v>
      </c>
    </row>
    <row r="357" spans="1:5" ht="15" customHeight="1" x14ac:dyDescent="0.25">
      <c r="A357" t="s">
        <v>7</v>
      </c>
      <c r="B357">
        <v>3</v>
      </c>
      <c r="C357" t="s">
        <v>356</v>
      </c>
      <c r="D357">
        <v>175.1</v>
      </c>
      <c r="E357">
        <v>2.2999999999999998</v>
      </c>
    </row>
    <row r="358" spans="1:5" ht="15" customHeight="1" x14ac:dyDescent="0.25">
      <c r="A358" t="s">
        <v>7</v>
      </c>
      <c r="B358">
        <v>3</v>
      </c>
      <c r="C358" t="s">
        <v>357</v>
      </c>
      <c r="D358">
        <v>147</v>
      </c>
      <c r="E358">
        <v>24.7</v>
      </c>
    </row>
    <row r="359" spans="1:5" ht="15" customHeight="1" x14ac:dyDescent="0.25">
      <c r="A359" t="s">
        <v>7</v>
      </c>
      <c r="B359">
        <v>3</v>
      </c>
      <c r="C359" t="s">
        <v>349</v>
      </c>
      <c r="D359">
        <v>295.2</v>
      </c>
      <c r="E359">
        <v>329.2</v>
      </c>
    </row>
    <row r="360" spans="1:5" ht="15" customHeight="1" x14ac:dyDescent="0.25">
      <c r="A360" t="s">
        <v>7</v>
      </c>
      <c r="B360">
        <v>4</v>
      </c>
      <c r="C360" t="s">
        <v>346</v>
      </c>
      <c r="D360">
        <v>0</v>
      </c>
      <c r="E360">
        <v>274.77</v>
      </c>
    </row>
    <row r="361" spans="1:5" ht="15" customHeight="1" x14ac:dyDescent="0.25">
      <c r="A361" t="s">
        <v>7</v>
      </c>
      <c r="B361">
        <v>4</v>
      </c>
      <c r="C361" t="s">
        <v>354</v>
      </c>
      <c r="D361">
        <v>149</v>
      </c>
      <c r="E361">
        <v>86.47</v>
      </c>
    </row>
    <row r="362" spans="1:5" ht="15" customHeight="1" x14ac:dyDescent="0.25">
      <c r="A362" t="s">
        <v>7</v>
      </c>
      <c r="B362">
        <v>4</v>
      </c>
      <c r="C362" t="s">
        <v>355</v>
      </c>
      <c r="D362">
        <v>287.10000000000002</v>
      </c>
      <c r="E362">
        <v>551.20000000000005</v>
      </c>
    </row>
    <row r="363" spans="1:5" ht="15" customHeight="1" x14ac:dyDescent="0.25">
      <c r="A363" t="s">
        <v>7</v>
      </c>
      <c r="B363">
        <v>4</v>
      </c>
      <c r="C363" t="s">
        <v>356</v>
      </c>
      <c r="D363">
        <v>0</v>
      </c>
      <c r="E363">
        <v>0</v>
      </c>
    </row>
    <row r="364" spans="1:5" ht="15" customHeight="1" x14ac:dyDescent="0.25">
      <c r="A364" t="s">
        <v>7</v>
      </c>
      <c r="B364">
        <v>4</v>
      </c>
      <c r="C364" t="s">
        <v>357</v>
      </c>
      <c r="D364">
        <v>0</v>
      </c>
      <c r="E364">
        <v>0</v>
      </c>
    </row>
    <row r="365" spans="1:5" ht="15" customHeight="1" x14ac:dyDescent="0.25">
      <c r="A365" t="s">
        <v>7</v>
      </c>
      <c r="B365">
        <v>4</v>
      </c>
      <c r="C365" t="s">
        <v>349</v>
      </c>
      <c r="D365">
        <v>0</v>
      </c>
      <c r="E365">
        <v>0</v>
      </c>
    </row>
    <row r="366" spans="1:5" ht="15" customHeight="1" x14ac:dyDescent="0.25">
      <c r="A366" t="s">
        <v>7</v>
      </c>
      <c r="B366">
        <v>5</v>
      </c>
      <c r="C366" t="s">
        <v>346</v>
      </c>
      <c r="D366">
        <v>0</v>
      </c>
      <c r="E366">
        <v>396.27</v>
      </c>
    </row>
    <row r="367" spans="1:5" ht="15" customHeight="1" x14ac:dyDescent="0.25">
      <c r="A367" t="s">
        <v>7</v>
      </c>
      <c r="B367">
        <v>5</v>
      </c>
      <c r="C367" t="s">
        <v>354</v>
      </c>
      <c r="D367">
        <v>0</v>
      </c>
      <c r="E367">
        <v>0</v>
      </c>
    </row>
    <row r="368" spans="1:5" ht="15" customHeight="1" x14ac:dyDescent="0.25">
      <c r="A368" t="s">
        <v>7</v>
      </c>
      <c r="B368">
        <v>5</v>
      </c>
      <c r="C368" t="s">
        <v>355</v>
      </c>
      <c r="D368">
        <v>287</v>
      </c>
      <c r="E368">
        <v>395.87</v>
      </c>
    </row>
    <row r="369" spans="1:5" ht="15" customHeight="1" x14ac:dyDescent="0.25">
      <c r="A369" t="s">
        <v>7</v>
      </c>
      <c r="B369">
        <v>5</v>
      </c>
      <c r="C369" t="s">
        <v>356</v>
      </c>
      <c r="D369">
        <v>0</v>
      </c>
      <c r="E369">
        <v>0</v>
      </c>
    </row>
    <row r="370" spans="1:5" ht="15" customHeight="1" x14ac:dyDescent="0.25">
      <c r="A370" t="s">
        <v>7</v>
      </c>
      <c r="B370">
        <v>5</v>
      </c>
      <c r="C370" t="s">
        <v>357</v>
      </c>
      <c r="D370">
        <v>0</v>
      </c>
      <c r="E370">
        <v>0</v>
      </c>
    </row>
    <row r="371" spans="1:5" ht="15" customHeight="1" x14ac:dyDescent="0.25">
      <c r="A371" t="s">
        <v>7</v>
      </c>
      <c r="B371">
        <v>5</v>
      </c>
      <c r="C371" t="s">
        <v>349</v>
      </c>
      <c r="D371">
        <v>295.10000000000002</v>
      </c>
      <c r="E371">
        <v>92.47</v>
      </c>
    </row>
    <row r="372" spans="1:5" ht="15" customHeight="1" x14ac:dyDescent="0.25">
      <c r="A372" t="s">
        <v>7</v>
      </c>
      <c r="B372">
        <v>6</v>
      </c>
      <c r="C372" t="s">
        <v>346</v>
      </c>
      <c r="D372">
        <v>0</v>
      </c>
      <c r="E372">
        <v>525</v>
      </c>
    </row>
    <row r="373" spans="1:5" ht="15" customHeight="1" x14ac:dyDescent="0.25">
      <c r="A373" t="s">
        <v>7</v>
      </c>
      <c r="B373">
        <v>6</v>
      </c>
      <c r="C373" t="s">
        <v>354</v>
      </c>
      <c r="D373">
        <v>149</v>
      </c>
      <c r="E373">
        <v>58</v>
      </c>
    </row>
    <row r="374" spans="1:5" ht="15" customHeight="1" x14ac:dyDescent="0.25">
      <c r="A374" t="s">
        <v>7</v>
      </c>
      <c r="B374">
        <v>6</v>
      </c>
      <c r="C374" t="s">
        <v>355</v>
      </c>
      <c r="D374">
        <v>287</v>
      </c>
      <c r="E374">
        <v>671.97</v>
      </c>
    </row>
    <row r="375" spans="1:5" ht="15" customHeight="1" x14ac:dyDescent="0.25">
      <c r="A375" t="s">
        <v>7</v>
      </c>
      <c r="B375">
        <v>6</v>
      </c>
      <c r="C375" t="s">
        <v>356</v>
      </c>
      <c r="D375">
        <v>175.1</v>
      </c>
      <c r="E375">
        <v>2.4700000000000002</v>
      </c>
    </row>
    <row r="376" spans="1:5" ht="15" customHeight="1" x14ac:dyDescent="0.25">
      <c r="A376" t="s">
        <v>7</v>
      </c>
      <c r="B376">
        <v>6</v>
      </c>
      <c r="C376" t="s">
        <v>357</v>
      </c>
      <c r="D376">
        <v>0</v>
      </c>
      <c r="E376">
        <v>117.77</v>
      </c>
    </row>
    <row r="377" spans="1:5" ht="15" customHeight="1" x14ac:dyDescent="0.25">
      <c r="A377" t="s">
        <v>7</v>
      </c>
      <c r="B377">
        <v>6</v>
      </c>
      <c r="C377" t="s">
        <v>349</v>
      </c>
      <c r="D377">
        <v>173.1</v>
      </c>
      <c r="E377">
        <v>34.369999999999997</v>
      </c>
    </row>
    <row r="378" spans="1:5" ht="15" customHeight="1" x14ac:dyDescent="0.25">
      <c r="A378" t="s">
        <v>7</v>
      </c>
      <c r="B378">
        <v>7</v>
      </c>
      <c r="C378" t="s">
        <v>346</v>
      </c>
      <c r="D378">
        <v>0</v>
      </c>
      <c r="E378">
        <v>277.47000000000003</v>
      </c>
    </row>
    <row r="379" spans="1:5" ht="15" customHeight="1" x14ac:dyDescent="0.25">
      <c r="A379" t="s">
        <v>7</v>
      </c>
      <c r="B379">
        <v>7</v>
      </c>
      <c r="C379" t="s">
        <v>354</v>
      </c>
      <c r="D379">
        <v>78</v>
      </c>
      <c r="E379">
        <v>94.4</v>
      </c>
    </row>
    <row r="380" spans="1:5" ht="15" customHeight="1" x14ac:dyDescent="0.25">
      <c r="A380" t="s">
        <v>7</v>
      </c>
      <c r="B380">
        <v>7</v>
      </c>
      <c r="C380" t="s">
        <v>355</v>
      </c>
      <c r="D380">
        <v>163</v>
      </c>
      <c r="E380">
        <v>885.3</v>
      </c>
    </row>
    <row r="381" spans="1:5" ht="15" customHeight="1" x14ac:dyDescent="0.25">
      <c r="A381" t="s">
        <v>7</v>
      </c>
      <c r="B381">
        <v>7</v>
      </c>
      <c r="C381" t="s">
        <v>356</v>
      </c>
      <c r="D381">
        <v>0</v>
      </c>
      <c r="E381">
        <v>0</v>
      </c>
    </row>
    <row r="382" spans="1:5" ht="15" customHeight="1" x14ac:dyDescent="0.25">
      <c r="A382" t="s">
        <v>7</v>
      </c>
      <c r="B382">
        <v>7</v>
      </c>
      <c r="C382" t="s">
        <v>357</v>
      </c>
      <c r="D382">
        <v>147</v>
      </c>
      <c r="E382">
        <v>0.8</v>
      </c>
    </row>
    <row r="383" spans="1:5" ht="15" customHeight="1" x14ac:dyDescent="0.25">
      <c r="A383" t="s">
        <v>7</v>
      </c>
      <c r="B383">
        <v>7</v>
      </c>
      <c r="C383" t="s">
        <v>349</v>
      </c>
      <c r="D383">
        <v>122.1</v>
      </c>
      <c r="E383">
        <v>86.2</v>
      </c>
    </row>
    <row r="384" spans="1:5" ht="15" customHeight="1" x14ac:dyDescent="0.25">
      <c r="A384" t="s">
        <v>7</v>
      </c>
      <c r="B384">
        <v>8</v>
      </c>
      <c r="C384" t="s">
        <v>346</v>
      </c>
      <c r="D384">
        <v>0</v>
      </c>
      <c r="E384">
        <v>244.27</v>
      </c>
    </row>
    <row r="385" spans="1:5" ht="15" customHeight="1" x14ac:dyDescent="0.25">
      <c r="A385" t="s">
        <v>7</v>
      </c>
      <c r="B385">
        <v>8</v>
      </c>
      <c r="C385" t="s">
        <v>354</v>
      </c>
      <c r="D385">
        <v>149</v>
      </c>
      <c r="E385">
        <v>81.53</v>
      </c>
    </row>
    <row r="386" spans="1:5" ht="15" customHeight="1" x14ac:dyDescent="0.25">
      <c r="A386" t="s">
        <v>7</v>
      </c>
      <c r="B386">
        <v>8</v>
      </c>
      <c r="C386" t="s">
        <v>355</v>
      </c>
      <c r="D386">
        <v>287</v>
      </c>
      <c r="E386">
        <v>1184.3</v>
      </c>
    </row>
    <row r="387" spans="1:5" ht="15" customHeight="1" x14ac:dyDescent="0.25">
      <c r="A387" t="s">
        <v>7</v>
      </c>
      <c r="B387">
        <v>8</v>
      </c>
      <c r="C387" t="s">
        <v>356</v>
      </c>
      <c r="D387">
        <v>0</v>
      </c>
      <c r="E387">
        <v>0</v>
      </c>
    </row>
    <row r="388" spans="1:5" ht="15" customHeight="1" x14ac:dyDescent="0.25">
      <c r="A388" t="s">
        <v>7</v>
      </c>
      <c r="B388">
        <v>8</v>
      </c>
      <c r="C388" t="s">
        <v>357</v>
      </c>
      <c r="D388">
        <v>0</v>
      </c>
      <c r="E388">
        <v>0</v>
      </c>
    </row>
    <row r="389" spans="1:5" ht="15" customHeight="1" x14ac:dyDescent="0.25">
      <c r="A389" t="s">
        <v>7</v>
      </c>
      <c r="B389">
        <v>8</v>
      </c>
      <c r="C389" t="s">
        <v>349</v>
      </c>
      <c r="D389">
        <v>0</v>
      </c>
      <c r="E389">
        <v>0</v>
      </c>
    </row>
    <row r="390" spans="1:5" ht="15" customHeight="1" x14ac:dyDescent="0.25">
      <c r="A390" t="s">
        <v>7</v>
      </c>
      <c r="B390">
        <v>9</v>
      </c>
      <c r="C390" t="s">
        <v>346</v>
      </c>
      <c r="D390">
        <v>0</v>
      </c>
      <c r="E390">
        <v>34.5</v>
      </c>
    </row>
    <row r="391" spans="1:5" ht="15" customHeight="1" x14ac:dyDescent="0.25">
      <c r="A391" t="s">
        <v>7</v>
      </c>
      <c r="B391">
        <v>9</v>
      </c>
      <c r="C391" t="s">
        <v>354</v>
      </c>
      <c r="D391">
        <v>78</v>
      </c>
      <c r="E391">
        <v>154.07</v>
      </c>
    </row>
    <row r="392" spans="1:5" ht="15" customHeight="1" x14ac:dyDescent="0.25">
      <c r="A392" t="s">
        <v>7</v>
      </c>
      <c r="B392">
        <v>9</v>
      </c>
      <c r="C392" t="s">
        <v>355</v>
      </c>
      <c r="D392">
        <v>0</v>
      </c>
      <c r="E392">
        <v>1380.6</v>
      </c>
    </row>
    <row r="393" spans="1:5" ht="15" customHeight="1" x14ac:dyDescent="0.25">
      <c r="A393" t="s">
        <v>7</v>
      </c>
      <c r="B393">
        <v>9</v>
      </c>
      <c r="C393" t="s">
        <v>356</v>
      </c>
      <c r="D393">
        <v>0</v>
      </c>
      <c r="E393">
        <v>0</v>
      </c>
    </row>
    <row r="394" spans="1:5" ht="15" customHeight="1" x14ac:dyDescent="0.25">
      <c r="A394" t="s">
        <v>7</v>
      </c>
      <c r="B394">
        <v>9</v>
      </c>
      <c r="C394" t="s">
        <v>357</v>
      </c>
      <c r="D394">
        <v>0</v>
      </c>
      <c r="E394">
        <v>0</v>
      </c>
    </row>
    <row r="395" spans="1:5" ht="15" customHeight="1" x14ac:dyDescent="0.25">
      <c r="A395" t="s">
        <v>7</v>
      </c>
      <c r="B395">
        <v>9</v>
      </c>
      <c r="C395" t="s">
        <v>349</v>
      </c>
      <c r="D395">
        <v>0</v>
      </c>
      <c r="E395">
        <v>0</v>
      </c>
    </row>
    <row r="396" spans="1:5" ht="15" customHeight="1" x14ac:dyDescent="0.25">
      <c r="A396" t="s">
        <v>7</v>
      </c>
      <c r="B396">
        <v>10</v>
      </c>
      <c r="C396" t="s">
        <v>346</v>
      </c>
      <c r="D396">
        <v>0</v>
      </c>
      <c r="E396">
        <v>365.8</v>
      </c>
    </row>
    <row r="397" spans="1:5" ht="15" customHeight="1" x14ac:dyDescent="0.25">
      <c r="A397" t="s">
        <v>7</v>
      </c>
      <c r="B397">
        <v>10</v>
      </c>
      <c r="C397" t="s">
        <v>354</v>
      </c>
      <c r="D397">
        <v>0</v>
      </c>
      <c r="E397">
        <v>0</v>
      </c>
    </row>
    <row r="398" spans="1:5" ht="15" customHeight="1" x14ac:dyDescent="0.25">
      <c r="A398" t="s">
        <v>7</v>
      </c>
      <c r="B398">
        <v>10</v>
      </c>
      <c r="C398" t="s">
        <v>355</v>
      </c>
      <c r="D398">
        <v>287</v>
      </c>
      <c r="E398">
        <v>966.2</v>
      </c>
    </row>
    <row r="399" spans="1:5" ht="15" customHeight="1" x14ac:dyDescent="0.25">
      <c r="A399" t="s">
        <v>7</v>
      </c>
      <c r="B399">
        <v>10</v>
      </c>
      <c r="C399" t="s">
        <v>356</v>
      </c>
      <c r="D399">
        <v>0</v>
      </c>
      <c r="E399">
        <v>0</v>
      </c>
    </row>
    <row r="400" spans="1:5" ht="15" customHeight="1" x14ac:dyDescent="0.25">
      <c r="A400" t="s">
        <v>7</v>
      </c>
      <c r="B400">
        <v>10</v>
      </c>
      <c r="C400" t="s">
        <v>357</v>
      </c>
      <c r="D400">
        <v>0</v>
      </c>
      <c r="E400">
        <v>0</v>
      </c>
    </row>
    <row r="401" spans="1:5" ht="15" customHeight="1" x14ac:dyDescent="0.25">
      <c r="A401" t="s">
        <v>7</v>
      </c>
      <c r="B401">
        <v>10</v>
      </c>
      <c r="C401" t="s">
        <v>349</v>
      </c>
      <c r="D401">
        <v>234</v>
      </c>
      <c r="E401">
        <v>33.57</v>
      </c>
    </row>
    <row r="402" spans="1:5" ht="15" customHeight="1" x14ac:dyDescent="0.25">
      <c r="A402" t="s">
        <v>8</v>
      </c>
      <c r="B402">
        <v>1</v>
      </c>
      <c r="C402" t="s">
        <v>346</v>
      </c>
      <c r="D402">
        <v>0</v>
      </c>
      <c r="E402">
        <v>429.53</v>
      </c>
    </row>
    <row r="403" spans="1:5" ht="15" customHeight="1" x14ac:dyDescent="0.25">
      <c r="A403" t="s">
        <v>8</v>
      </c>
      <c r="B403">
        <v>1</v>
      </c>
      <c r="C403" t="s">
        <v>354</v>
      </c>
      <c r="D403">
        <v>0</v>
      </c>
      <c r="E403">
        <v>0</v>
      </c>
    </row>
    <row r="404" spans="1:5" ht="15" customHeight="1" x14ac:dyDescent="0.25">
      <c r="A404" t="s">
        <v>8</v>
      </c>
      <c r="B404">
        <v>1</v>
      </c>
      <c r="C404" t="s">
        <v>355</v>
      </c>
      <c r="D404">
        <v>230</v>
      </c>
      <c r="E404">
        <v>8</v>
      </c>
    </row>
    <row r="405" spans="1:5" ht="15" customHeight="1" x14ac:dyDescent="0.25">
      <c r="A405" t="s">
        <v>8</v>
      </c>
      <c r="B405">
        <v>1</v>
      </c>
      <c r="C405" t="s">
        <v>356</v>
      </c>
      <c r="D405">
        <v>0</v>
      </c>
      <c r="E405">
        <v>0</v>
      </c>
    </row>
    <row r="406" spans="1:5" ht="15" customHeight="1" x14ac:dyDescent="0.25">
      <c r="A406" t="s">
        <v>8</v>
      </c>
      <c r="B406">
        <v>1</v>
      </c>
      <c r="C406" t="s">
        <v>357</v>
      </c>
      <c r="D406">
        <v>0</v>
      </c>
      <c r="E406">
        <v>0</v>
      </c>
    </row>
    <row r="407" spans="1:5" ht="15" customHeight="1" x14ac:dyDescent="0.25">
      <c r="A407" t="s">
        <v>8</v>
      </c>
      <c r="B407">
        <v>1</v>
      </c>
      <c r="C407" t="s">
        <v>349</v>
      </c>
      <c r="D407">
        <v>295.10000000000002</v>
      </c>
      <c r="E407">
        <v>30.93</v>
      </c>
    </row>
    <row r="408" spans="1:5" ht="15" customHeight="1" x14ac:dyDescent="0.25">
      <c r="A408" t="s">
        <v>8</v>
      </c>
      <c r="B408">
        <v>2</v>
      </c>
      <c r="C408" t="s">
        <v>346</v>
      </c>
      <c r="D408">
        <v>0</v>
      </c>
      <c r="E408">
        <v>428</v>
      </c>
    </row>
    <row r="409" spans="1:5" ht="15" customHeight="1" x14ac:dyDescent="0.25">
      <c r="A409" t="s">
        <v>8</v>
      </c>
      <c r="B409">
        <v>2</v>
      </c>
      <c r="C409" t="s">
        <v>354</v>
      </c>
      <c r="D409">
        <v>78</v>
      </c>
      <c r="E409">
        <v>8.1300000000000008</v>
      </c>
    </row>
    <row r="410" spans="1:5" ht="15" customHeight="1" x14ac:dyDescent="0.25">
      <c r="A410" t="s">
        <v>8</v>
      </c>
      <c r="B410">
        <v>2</v>
      </c>
      <c r="C410" t="s">
        <v>355</v>
      </c>
      <c r="D410">
        <v>130</v>
      </c>
      <c r="E410">
        <v>78.3</v>
      </c>
    </row>
    <row r="411" spans="1:5" ht="15" customHeight="1" x14ac:dyDescent="0.25">
      <c r="A411" t="s">
        <v>8</v>
      </c>
      <c r="B411">
        <v>2</v>
      </c>
      <c r="C411" t="s">
        <v>356</v>
      </c>
      <c r="D411">
        <v>0</v>
      </c>
      <c r="E411">
        <v>0</v>
      </c>
    </row>
    <row r="412" spans="1:5" ht="15" customHeight="1" x14ac:dyDescent="0.25">
      <c r="A412" t="s">
        <v>8</v>
      </c>
      <c r="B412">
        <v>2</v>
      </c>
      <c r="C412" t="s">
        <v>357</v>
      </c>
      <c r="D412">
        <v>147</v>
      </c>
      <c r="E412">
        <v>29.1</v>
      </c>
    </row>
    <row r="413" spans="1:5" ht="15" customHeight="1" x14ac:dyDescent="0.25">
      <c r="A413" t="s">
        <v>8</v>
      </c>
      <c r="B413">
        <v>2</v>
      </c>
      <c r="C413" t="s">
        <v>349</v>
      </c>
      <c r="D413">
        <v>122.1</v>
      </c>
      <c r="E413">
        <v>53.8</v>
      </c>
    </row>
    <row r="414" spans="1:5" ht="15" customHeight="1" x14ac:dyDescent="0.25">
      <c r="A414" t="s">
        <v>8</v>
      </c>
      <c r="B414">
        <v>3</v>
      </c>
      <c r="C414" t="s">
        <v>346</v>
      </c>
      <c r="D414">
        <v>0</v>
      </c>
      <c r="E414">
        <v>338.17</v>
      </c>
    </row>
    <row r="415" spans="1:5" ht="15" customHeight="1" x14ac:dyDescent="0.25">
      <c r="A415" t="s">
        <v>8</v>
      </c>
      <c r="B415">
        <v>3</v>
      </c>
      <c r="C415" t="s">
        <v>354</v>
      </c>
      <c r="D415">
        <v>149</v>
      </c>
      <c r="E415">
        <v>24.6</v>
      </c>
    </row>
    <row r="416" spans="1:5" ht="15" customHeight="1" x14ac:dyDescent="0.25">
      <c r="A416" t="s">
        <v>8</v>
      </c>
      <c r="B416">
        <v>3</v>
      </c>
      <c r="C416" t="s">
        <v>355</v>
      </c>
      <c r="D416">
        <v>230</v>
      </c>
      <c r="E416">
        <v>8.3000000000000007</v>
      </c>
    </row>
    <row r="417" spans="1:5" ht="15" customHeight="1" x14ac:dyDescent="0.25">
      <c r="A417" t="s">
        <v>8</v>
      </c>
      <c r="B417">
        <v>3</v>
      </c>
      <c r="C417" t="s">
        <v>356</v>
      </c>
      <c r="D417">
        <v>175.1</v>
      </c>
      <c r="E417">
        <v>2.4700000000000002</v>
      </c>
    </row>
    <row r="418" spans="1:5" ht="15" customHeight="1" x14ac:dyDescent="0.25">
      <c r="A418" t="s">
        <v>8</v>
      </c>
      <c r="B418">
        <v>3</v>
      </c>
      <c r="C418" t="s">
        <v>357</v>
      </c>
      <c r="D418">
        <v>147</v>
      </c>
      <c r="E418">
        <v>24.7</v>
      </c>
    </row>
    <row r="419" spans="1:5" ht="15" customHeight="1" x14ac:dyDescent="0.25">
      <c r="A419" t="s">
        <v>8</v>
      </c>
      <c r="B419">
        <v>3</v>
      </c>
      <c r="C419" t="s">
        <v>349</v>
      </c>
      <c r="D419">
        <v>295.2</v>
      </c>
      <c r="E419">
        <v>329.2</v>
      </c>
    </row>
    <row r="420" spans="1:5" ht="15" customHeight="1" x14ac:dyDescent="0.25">
      <c r="A420" t="s">
        <v>8</v>
      </c>
      <c r="B420">
        <v>4</v>
      </c>
      <c r="C420" t="s">
        <v>346</v>
      </c>
      <c r="D420">
        <v>0</v>
      </c>
      <c r="E420">
        <v>274.77</v>
      </c>
    </row>
    <row r="421" spans="1:5" ht="15" customHeight="1" x14ac:dyDescent="0.25">
      <c r="A421" t="s">
        <v>8</v>
      </c>
      <c r="B421">
        <v>4</v>
      </c>
      <c r="C421" t="s">
        <v>354</v>
      </c>
      <c r="D421">
        <v>149</v>
      </c>
      <c r="E421">
        <v>86.47</v>
      </c>
    </row>
    <row r="422" spans="1:5" ht="15" customHeight="1" x14ac:dyDescent="0.25">
      <c r="A422" t="s">
        <v>8</v>
      </c>
      <c r="B422">
        <v>4</v>
      </c>
      <c r="C422" t="s">
        <v>355</v>
      </c>
      <c r="D422">
        <v>230.1</v>
      </c>
      <c r="E422">
        <v>368.2</v>
      </c>
    </row>
    <row r="423" spans="1:5" ht="15" customHeight="1" x14ac:dyDescent="0.25">
      <c r="A423" t="s">
        <v>8</v>
      </c>
      <c r="B423">
        <v>4</v>
      </c>
      <c r="C423" t="s">
        <v>356</v>
      </c>
      <c r="D423">
        <v>0</v>
      </c>
      <c r="E423">
        <v>0</v>
      </c>
    </row>
    <row r="424" spans="1:5" ht="15" customHeight="1" x14ac:dyDescent="0.25">
      <c r="A424" t="s">
        <v>8</v>
      </c>
      <c r="B424">
        <v>4</v>
      </c>
      <c r="C424" t="s">
        <v>357</v>
      </c>
      <c r="D424">
        <v>0</v>
      </c>
      <c r="E424">
        <v>0</v>
      </c>
    </row>
    <row r="425" spans="1:5" ht="15" customHeight="1" x14ac:dyDescent="0.25">
      <c r="A425" t="s">
        <v>8</v>
      </c>
      <c r="B425">
        <v>4</v>
      </c>
      <c r="C425" t="s">
        <v>349</v>
      </c>
      <c r="D425">
        <v>0</v>
      </c>
      <c r="E425">
        <v>0</v>
      </c>
    </row>
    <row r="426" spans="1:5" ht="15" customHeight="1" x14ac:dyDescent="0.25">
      <c r="A426" t="s">
        <v>8</v>
      </c>
      <c r="B426">
        <v>5</v>
      </c>
      <c r="C426" t="s">
        <v>346</v>
      </c>
      <c r="D426">
        <v>0</v>
      </c>
      <c r="E426">
        <v>368.6</v>
      </c>
    </row>
    <row r="427" spans="1:5" ht="15" customHeight="1" x14ac:dyDescent="0.25">
      <c r="A427" t="s">
        <v>8</v>
      </c>
      <c r="B427">
        <v>5</v>
      </c>
      <c r="C427" t="s">
        <v>354</v>
      </c>
      <c r="D427">
        <v>0</v>
      </c>
      <c r="E427">
        <v>0</v>
      </c>
    </row>
    <row r="428" spans="1:5" ht="15" customHeight="1" x14ac:dyDescent="0.25">
      <c r="A428" t="s">
        <v>8</v>
      </c>
      <c r="B428">
        <v>5</v>
      </c>
      <c r="C428" t="s">
        <v>355</v>
      </c>
      <c r="D428">
        <v>230</v>
      </c>
      <c r="E428">
        <v>241.33</v>
      </c>
    </row>
    <row r="429" spans="1:5" ht="15" customHeight="1" x14ac:dyDescent="0.25">
      <c r="A429" t="s">
        <v>8</v>
      </c>
      <c r="B429">
        <v>5</v>
      </c>
      <c r="C429" t="s">
        <v>356</v>
      </c>
      <c r="D429">
        <v>0</v>
      </c>
      <c r="E429">
        <v>0</v>
      </c>
    </row>
    <row r="430" spans="1:5" ht="15" customHeight="1" x14ac:dyDescent="0.25">
      <c r="A430" t="s">
        <v>8</v>
      </c>
      <c r="B430">
        <v>5</v>
      </c>
      <c r="C430" t="s">
        <v>357</v>
      </c>
      <c r="D430">
        <v>0</v>
      </c>
      <c r="E430">
        <v>0</v>
      </c>
    </row>
    <row r="431" spans="1:5" ht="15" customHeight="1" x14ac:dyDescent="0.25">
      <c r="A431" t="s">
        <v>8</v>
      </c>
      <c r="B431">
        <v>5</v>
      </c>
      <c r="C431" t="s">
        <v>349</v>
      </c>
      <c r="D431">
        <v>295.10000000000002</v>
      </c>
      <c r="E431">
        <v>153.13</v>
      </c>
    </row>
    <row r="432" spans="1:5" ht="15" customHeight="1" x14ac:dyDescent="0.25">
      <c r="A432" t="s">
        <v>8</v>
      </c>
      <c r="B432">
        <v>6</v>
      </c>
      <c r="C432" t="s">
        <v>346</v>
      </c>
      <c r="D432">
        <v>0</v>
      </c>
      <c r="E432">
        <v>489.67</v>
      </c>
    </row>
    <row r="433" spans="1:5" ht="15" customHeight="1" x14ac:dyDescent="0.25">
      <c r="A433" t="s">
        <v>8</v>
      </c>
      <c r="B433">
        <v>6</v>
      </c>
      <c r="C433" t="s">
        <v>354</v>
      </c>
      <c r="D433">
        <v>149</v>
      </c>
      <c r="E433">
        <v>56.47</v>
      </c>
    </row>
    <row r="434" spans="1:5" ht="15" customHeight="1" x14ac:dyDescent="0.25">
      <c r="A434" t="s">
        <v>8</v>
      </c>
      <c r="B434">
        <v>6</v>
      </c>
      <c r="C434" t="s">
        <v>355</v>
      </c>
      <c r="D434">
        <v>230</v>
      </c>
      <c r="E434">
        <v>398.97</v>
      </c>
    </row>
    <row r="435" spans="1:5" ht="15" customHeight="1" x14ac:dyDescent="0.25">
      <c r="A435" t="s">
        <v>8</v>
      </c>
      <c r="B435">
        <v>6</v>
      </c>
      <c r="C435" t="s">
        <v>356</v>
      </c>
      <c r="D435">
        <v>175.1</v>
      </c>
      <c r="E435">
        <v>2.4700000000000002</v>
      </c>
    </row>
    <row r="436" spans="1:5" ht="15" customHeight="1" x14ac:dyDescent="0.25">
      <c r="A436" t="s">
        <v>8</v>
      </c>
      <c r="B436">
        <v>6</v>
      </c>
      <c r="C436" t="s">
        <v>357</v>
      </c>
      <c r="D436">
        <v>0</v>
      </c>
      <c r="E436">
        <v>117.77</v>
      </c>
    </row>
    <row r="437" spans="1:5" ht="15" customHeight="1" x14ac:dyDescent="0.25">
      <c r="A437" t="s">
        <v>8</v>
      </c>
      <c r="B437">
        <v>6</v>
      </c>
      <c r="C437" t="s">
        <v>349</v>
      </c>
      <c r="D437">
        <v>295.2</v>
      </c>
      <c r="E437">
        <v>389.03</v>
      </c>
    </row>
    <row r="438" spans="1:5" ht="15" customHeight="1" x14ac:dyDescent="0.25">
      <c r="A438" t="s">
        <v>8</v>
      </c>
      <c r="B438">
        <v>7</v>
      </c>
      <c r="C438" t="s">
        <v>346</v>
      </c>
      <c r="D438">
        <v>0</v>
      </c>
      <c r="E438">
        <v>279</v>
      </c>
    </row>
    <row r="439" spans="1:5" ht="15" customHeight="1" x14ac:dyDescent="0.25">
      <c r="A439" t="s">
        <v>8</v>
      </c>
      <c r="B439">
        <v>7</v>
      </c>
      <c r="C439" t="s">
        <v>354</v>
      </c>
      <c r="D439">
        <v>78</v>
      </c>
      <c r="E439">
        <v>95.93</v>
      </c>
    </row>
    <row r="440" spans="1:5" ht="15" customHeight="1" x14ac:dyDescent="0.25">
      <c r="A440" t="s">
        <v>8</v>
      </c>
      <c r="B440">
        <v>7</v>
      </c>
      <c r="C440" t="s">
        <v>355</v>
      </c>
      <c r="D440">
        <v>130</v>
      </c>
      <c r="E440">
        <v>588.29999999999995</v>
      </c>
    </row>
    <row r="441" spans="1:5" ht="15" customHeight="1" x14ac:dyDescent="0.25">
      <c r="A441" t="s">
        <v>8</v>
      </c>
      <c r="B441">
        <v>7</v>
      </c>
      <c r="C441" t="s">
        <v>356</v>
      </c>
      <c r="D441">
        <v>0</v>
      </c>
      <c r="E441">
        <v>0</v>
      </c>
    </row>
    <row r="442" spans="1:5" ht="15" customHeight="1" x14ac:dyDescent="0.25">
      <c r="A442" t="s">
        <v>8</v>
      </c>
      <c r="B442">
        <v>7</v>
      </c>
      <c r="C442" t="s">
        <v>357</v>
      </c>
      <c r="D442">
        <v>147</v>
      </c>
      <c r="E442">
        <v>0.8</v>
      </c>
    </row>
    <row r="443" spans="1:5" ht="15" customHeight="1" x14ac:dyDescent="0.25">
      <c r="A443" t="s">
        <v>8</v>
      </c>
      <c r="B443">
        <v>7</v>
      </c>
      <c r="C443" t="s">
        <v>349</v>
      </c>
      <c r="D443">
        <v>122.1</v>
      </c>
      <c r="E443">
        <v>86.2</v>
      </c>
    </row>
    <row r="444" spans="1:5" ht="15" customHeight="1" x14ac:dyDescent="0.25">
      <c r="A444" t="s">
        <v>8</v>
      </c>
      <c r="B444">
        <v>8</v>
      </c>
      <c r="C444" t="s">
        <v>346</v>
      </c>
      <c r="D444">
        <v>0</v>
      </c>
      <c r="E444">
        <v>284.5</v>
      </c>
    </row>
    <row r="445" spans="1:5" ht="15" customHeight="1" x14ac:dyDescent="0.25">
      <c r="A445" t="s">
        <v>8</v>
      </c>
      <c r="B445">
        <v>8</v>
      </c>
      <c r="C445" t="s">
        <v>354</v>
      </c>
      <c r="D445">
        <v>149</v>
      </c>
      <c r="E445">
        <v>88</v>
      </c>
    </row>
    <row r="446" spans="1:5" ht="15" customHeight="1" x14ac:dyDescent="0.25">
      <c r="A446" t="s">
        <v>8</v>
      </c>
      <c r="B446">
        <v>8</v>
      </c>
      <c r="C446" t="s">
        <v>355</v>
      </c>
      <c r="D446">
        <v>230</v>
      </c>
      <c r="E446">
        <v>788.3</v>
      </c>
    </row>
    <row r="447" spans="1:5" ht="15" customHeight="1" x14ac:dyDescent="0.25">
      <c r="A447" t="s">
        <v>8</v>
      </c>
      <c r="B447">
        <v>8</v>
      </c>
      <c r="C447" t="s">
        <v>356</v>
      </c>
      <c r="D447">
        <v>175.1</v>
      </c>
      <c r="E447">
        <v>2.4700000000000002</v>
      </c>
    </row>
    <row r="448" spans="1:5" ht="15" customHeight="1" x14ac:dyDescent="0.25">
      <c r="A448" t="s">
        <v>8</v>
      </c>
      <c r="B448">
        <v>8</v>
      </c>
      <c r="C448" t="s">
        <v>357</v>
      </c>
      <c r="D448">
        <v>0</v>
      </c>
      <c r="E448">
        <v>87.77</v>
      </c>
    </row>
    <row r="449" spans="1:5" ht="15" customHeight="1" x14ac:dyDescent="0.25">
      <c r="A449" t="s">
        <v>8</v>
      </c>
      <c r="B449">
        <v>8</v>
      </c>
      <c r="C449" t="s">
        <v>349</v>
      </c>
      <c r="D449">
        <v>86.6</v>
      </c>
      <c r="E449">
        <v>169.9</v>
      </c>
    </row>
    <row r="450" spans="1:5" ht="15" customHeight="1" x14ac:dyDescent="0.25">
      <c r="A450" t="s">
        <v>8</v>
      </c>
      <c r="B450">
        <v>9</v>
      </c>
      <c r="C450" t="s">
        <v>346</v>
      </c>
      <c r="D450">
        <v>0</v>
      </c>
      <c r="E450">
        <v>246.13</v>
      </c>
    </row>
    <row r="451" spans="1:5" ht="15" customHeight="1" x14ac:dyDescent="0.25">
      <c r="A451" t="s">
        <v>8</v>
      </c>
      <c r="B451">
        <v>9</v>
      </c>
      <c r="C451" t="s">
        <v>354</v>
      </c>
      <c r="D451">
        <v>78</v>
      </c>
      <c r="E451">
        <v>154.07</v>
      </c>
    </row>
    <row r="452" spans="1:5" ht="15" customHeight="1" x14ac:dyDescent="0.25">
      <c r="A452" t="s">
        <v>8</v>
      </c>
      <c r="B452">
        <v>9</v>
      </c>
      <c r="C452" t="s">
        <v>355</v>
      </c>
      <c r="D452">
        <v>130</v>
      </c>
      <c r="E452">
        <v>918.3</v>
      </c>
    </row>
    <row r="453" spans="1:5" ht="15" customHeight="1" x14ac:dyDescent="0.25">
      <c r="A453" t="s">
        <v>8</v>
      </c>
      <c r="B453">
        <v>9</v>
      </c>
      <c r="C453" t="s">
        <v>356</v>
      </c>
      <c r="D453">
        <v>0</v>
      </c>
      <c r="E453">
        <v>0</v>
      </c>
    </row>
    <row r="454" spans="1:5" ht="15" customHeight="1" x14ac:dyDescent="0.25">
      <c r="A454" t="s">
        <v>8</v>
      </c>
      <c r="B454">
        <v>9</v>
      </c>
      <c r="C454" t="s">
        <v>357</v>
      </c>
      <c r="D454">
        <v>147</v>
      </c>
      <c r="E454">
        <v>0.8</v>
      </c>
    </row>
    <row r="455" spans="1:5" ht="15" customHeight="1" x14ac:dyDescent="0.25">
      <c r="A455" t="s">
        <v>8</v>
      </c>
      <c r="B455">
        <v>9</v>
      </c>
      <c r="C455" t="s">
        <v>349</v>
      </c>
      <c r="D455">
        <v>0</v>
      </c>
      <c r="E455">
        <v>199.23</v>
      </c>
    </row>
    <row r="456" spans="1:5" ht="15" customHeight="1" x14ac:dyDescent="0.25">
      <c r="A456" t="s">
        <v>8</v>
      </c>
      <c r="B456">
        <v>10</v>
      </c>
      <c r="C456" t="s">
        <v>346</v>
      </c>
      <c r="D456">
        <v>0</v>
      </c>
      <c r="E456">
        <v>335.47</v>
      </c>
    </row>
    <row r="457" spans="1:5" ht="15" customHeight="1" x14ac:dyDescent="0.25">
      <c r="A457" t="s">
        <v>8</v>
      </c>
      <c r="B457">
        <v>10</v>
      </c>
      <c r="C457" t="s">
        <v>354</v>
      </c>
      <c r="D457">
        <v>0</v>
      </c>
      <c r="E457">
        <v>0</v>
      </c>
    </row>
    <row r="458" spans="1:5" ht="15" customHeight="1" x14ac:dyDescent="0.25">
      <c r="A458" t="s">
        <v>8</v>
      </c>
      <c r="B458">
        <v>10</v>
      </c>
      <c r="C458" t="s">
        <v>355</v>
      </c>
      <c r="D458">
        <v>230</v>
      </c>
      <c r="E458">
        <v>603.83000000000004</v>
      </c>
    </row>
    <row r="459" spans="1:5" ht="15" customHeight="1" x14ac:dyDescent="0.25">
      <c r="A459" t="s">
        <v>8</v>
      </c>
      <c r="B459">
        <v>10</v>
      </c>
      <c r="C459" t="s">
        <v>356</v>
      </c>
      <c r="D459">
        <v>0</v>
      </c>
      <c r="E459">
        <v>0</v>
      </c>
    </row>
    <row r="460" spans="1:5" ht="15" customHeight="1" x14ac:dyDescent="0.25">
      <c r="A460" t="s">
        <v>8</v>
      </c>
      <c r="B460">
        <v>10</v>
      </c>
      <c r="C460" t="s">
        <v>357</v>
      </c>
      <c r="D460">
        <v>0</v>
      </c>
      <c r="E460">
        <v>0</v>
      </c>
    </row>
    <row r="461" spans="1:5" ht="15" customHeight="1" x14ac:dyDescent="0.25">
      <c r="A461" t="s">
        <v>8</v>
      </c>
      <c r="B461">
        <v>10</v>
      </c>
      <c r="C461" t="s">
        <v>349</v>
      </c>
      <c r="D461">
        <v>295.10000000000002</v>
      </c>
      <c r="E461">
        <v>152.47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B7DB1"/>
  </sheetPr>
  <dimension ref="A1:J46"/>
  <sheetViews>
    <sheetView zoomScaleNormal="100" workbookViewId="0">
      <pane ySplit="1" topLeftCell="A2" activePane="bottomLeft" state="frozen"/>
      <selection pane="bottomLeft" activeCell="A5" sqref="A5"/>
    </sheetView>
  </sheetViews>
  <sheetFormatPr baseColWidth="10" defaultColWidth="9.140625" defaultRowHeight="15" x14ac:dyDescent="0.25"/>
  <cols>
    <col min="1" max="1" width="12" customWidth="1"/>
    <col min="2" max="2" width="22.140625" customWidth="1"/>
    <col min="3" max="3" width="22" customWidth="1"/>
    <col min="4" max="4" width="12" customWidth="1"/>
    <col min="5" max="7" width="14" customWidth="1"/>
    <col min="8" max="8" width="13" customWidth="1"/>
    <col min="9" max="9" width="15" customWidth="1"/>
    <col min="10" max="10" width="26.5703125" customWidth="1"/>
  </cols>
  <sheetData>
    <row r="1" spans="1:10" ht="15" customHeight="1" x14ac:dyDescent="0.25">
      <c r="A1" s="11" t="s">
        <v>55</v>
      </c>
      <c r="B1" s="11" t="s">
        <v>365</v>
      </c>
      <c r="C1" s="11" t="s">
        <v>366</v>
      </c>
      <c r="D1" s="11" t="s">
        <v>367</v>
      </c>
      <c r="E1" s="11" t="s">
        <v>368</v>
      </c>
      <c r="F1" s="11" t="s">
        <v>369</v>
      </c>
      <c r="G1" s="11" t="s">
        <v>370</v>
      </c>
      <c r="H1" s="11" t="s">
        <v>371</v>
      </c>
      <c r="I1" s="11" t="s">
        <v>372</v>
      </c>
      <c r="J1" s="2" t="s">
        <v>271</v>
      </c>
    </row>
    <row r="2" spans="1:10" ht="15" customHeight="1" x14ac:dyDescent="0.25">
      <c r="A2" t="s">
        <v>1</v>
      </c>
      <c r="B2" t="s">
        <v>347</v>
      </c>
      <c r="C2">
        <v>2399</v>
      </c>
      <c r="D2">
        <v>2110.1999999999998</v>
      </c>
      <c r="E2">
        <v>5.6</v>
      </c>
      <c r="F2">
        <v>283.2</v>
      </c>
      <c r="G2">
        <v>0</v>
      </c>
      <c r="H2">
        <v>0</v>
      </c>
      <c r="I2">
        <v>10</v>
      </c>
      <c r="J2" t="str">
        <f t="shared" ref="J2:J46" si="0">A2&amp;"|"&amp;B2</f>
        <v>S1|ws-03_S1toS4</v>
      </c>
    </row>
    <row r="3" spans="1:10" ht="15" customHeight="1" x14ac:dyDescent="0.25">
      <c r="A3" t="s">
        <v>1</v>
      </c>
      <c r="B3" t="s">
        <v>348</v>
      </c>
      <c r="C3">
        <v>2399</v>
      </c>
      <c r="D3">
        <v>775.2</v>
      </c>
      <c r="E3">
        <v>1.2</v>
      </c>
      <c r="F3">
        <v>1622.6</v>
      </c>
      <c r="G3">
        <v>0</v>
      </c>
      <c r="H3">
        <v>0</v>
      </c>
      <c r="I3">
        <v>6</v>
      </c>
      <c r="J3" t="str">
        <f t="shared" si="0"/>
        <v>S1|ws-04_S5S7</v>
      </c>
    </row>
    <row r="4" spans="1:10" ht="15" customHeight="1" x14ac:dyDescent="0.25">
      <c r="A4" t="s">
        <v>1</v>
      </c>
      <c r="B4" t="s">
        <v>349</v>
      </c>
      <c r="C4">
        <v>2399</v>
      </c>
      <c r="D4">
        <v>1275.2</v>
      </c>
      <c r="E4">
        <v>2.4</v>
      </c>
      <c r="F4">
        <v>1121.4000000000001</v>
      </c>
      <c r="G4">
        <v>0</v>
      </c>
      <c r="H4">
        <v>0</v>
      </c>
      <c r="I4">
        <v>7</v>
      </c>
      <c r="J4" t="str">
        <f t="shared" si="0"/>
        <v>S1|ws-05_S6S8</v>
      </c>
    </row>
    <row r="5" spans="1:10" ht="15" customHeight="1" x14ac:dyDescent="0.25">
      <c r="A5" t="s">
        <v>1</v>
      </c>
      <c r="B5" t="s">
        <v>346</v>
      </c>
      <c r="C5">
        <v>2399</v>
      </c>
      <c r="D5">
        <v>76</v>
      </c>
      <c r="E5">
        <v>0</v>
      </c>
      <c r="F5">
        <v>2323</v>
      </c>
      <c r="G5">
        <v>0</v>
      </c>
      <c r="H5">
        <v>0</v>
      </c>
      <c r="I5">
        <v>102</v>
      </c>
      <c r="J5" t="str">
        <f t="shared" si="0"/>
        <v>S1|logistics_resource_01</v>
      </c>
    </row>
    <row r="6" spans="1:10" ht="15" customHeight="1" x14ac:dyDescent="0.25">
      <c r="A6" t="s">
        <v>2</v>
      </c>
      <c r="B6" t="s">
        <v>350</v>
      </c>
      <c r="C6">
        <v>2399</v>
      </c>
      <c r="D6">
        <v>2364.8000000000002</v>
      </c>
      <c r="E6">
        <v>3</v>
      </c>
      <c r="F6">
        <v>31.3</v>
      </c>
      <c r="G6">
        <v>0</v>
      </c>
      <c r="H6">
        <v>0</v>
      </c>
      <c r="I6">
        <v>8</v>
      </c>
      <c r="J6" t="str">
        <f t="shared" si="0"/>
        <v>S2|ws-01_S1toS8</v>
      </c>
    </row>
    <row r="7" spans="1:10" ht="15" customHeight="1" x14ac:dyDescent="0.25">
      <c r="A7" t="s">
        <v>2</v>
      </c>
      <c r="B7" t="s">
        <v>351</v>
      </c>
      <c r="C7">
        <v>2399</v>
      </c>
      <c r="D7">
        <v>2301.4</v>
      </c>
      <c r="E7">
        <v>3</v>
      </c>
      <c r="F7">
        <v>94.6</v>
      </c>
      <c r="G7">
        <v>0</v>
      </c>
      <c r="H7">
        <v>0</v>
      </c>
      <c r="I7">
        <v>8</v>
      </c>
      <c r="J7" t="str">
        <f t="shared" si="0"/>
        <v>S2|ws-02_S1toS8</v>
      </c>
    </row>
    <row r="8" spans="1:10" ht="15" customHeight="1" x14ac:dyDescent="0.25">
      <c r="A8" t="s">
        <v>2</v>
      </c>
      <c r="B8" t="s">
        <v>352</v>
      </c>
      <c r="C8">
        <v>2399</v>
      </c>
      <c r="D8">
        <v>2179</v>
      </c>
      <c r="E8">
        <v>2.8</v>
      </c>
      <c r="F8">
        <v>217.2</v>
      </c>
      <c r="G8">
        <v>0</v>
      </c>
      <c r="H8">
        <v>0</v>
      </c>
      <c r="I8">
        <v>8</v>
      </c>
      <c r="J8" t="str">
        <f t="shared" si="0"/>
        <v>S2|ws-03_S1toS8</v>
      </c>
    </row>
    <row r="9" spans="1:10" ht="15" customHeight="1" x14ac:dyDescent="0.25">
      <c r="A9" t="s">
        <v>2</v>
      </c>
      <c r="B9" t="s">
        <v>353</v>
      </c>
      <c r="C9">
        <v>2399</v>
      </c>
      <c r="D9">
        <v>2178.6999999999998</v>
      </c>
      <c r="E9">
        <v>2.6</v>
      </c>
      <c r="F9">
        <v>217.7</v>
      </c>
      <c r="G9">
        <v>0</v>
      </c>
      <c r="H9">
        <v>0</v>
      </c>
      <c r="I9">
        <v>7</v>
      </c>
      <c r="J9" t="str">
        <f t="shared" si="0"/>
        <v>S2|ws-04_S1toS8</v>
      </c>
    </row>
    <row r="10" spans="1:10" ht="15" customHeight="1" x14ac:dyDescent="0.25">
      <c r="A10" t="s">
        <v>2</v>
      </c>
      <c r="B10" t="s">
        <v>346</v>
      </c>
      <c r="C10">
        <v>2399</v>
      </c>
      <c r="D10">
        <v>89.7</v>
      </c>
      <c r="E10">
        <v>0</v>
      </c>
      <c r="F10">
        <v>2309.4</v>
      </c>
      <c r="G10">
        <v>0</v>
      </c>
      <c r="H10">
        <v>0</v>
      </c>
      <c r="I10">
        <v>123</v>
      </c>
      <c r="J10" t="str">
        <f t="shared" si="0"/>
        <v>S2|logistics_resource_01</v>
      </c>
    </row>
    <row r="11" spans="1:10" ht="15" customHeight="1" x14ac:dyDescent="0.25">
      <c r="A11" t="s">
        <v>3</v>
      </c>
      <c r="B11" t="s">
        <v>354</v>
      </c>
      <c r="C11">
        <v>2399</v>
      </c>
      <c r="D11">
        <v>1092</v>
      </c>
      <c r="E11">
        <v>4</v>
      </c>
      <c r="F11">
        <v>1303</v>
      </c>
      <c r="G11">
        <v>0</v>
      </c>
      <c r="H11">
        <v>0</v>
      </c>
      <c r="I11">
        <v>10</v>
      </c>
      <c r="J11" t="str">
        <f t="shared" si="0"/>
        <v>S3|ws-01_S1S2</v>
      </c>
    </row>
    <row r="12" spans="1:10" ht="15" customHeight="1" x14ac:dyDescent="0.25">
      <c r="A12" t="s">
        <v>3</v>
      </c>
      <c r="B12" t="s">
        <v>355</v>
      </c>
      <c r="C12">
        <v>2399</v>
      </c>
      <c r="D12">
        <v>1882</v>
      </c>
      <c r="E12">
        <v>5</v>
      </c>
      <c r="F12">
        <v>512</v>
      </c>
      <c r="G12">
        <v>0</v>
      </c>
      <c r="H12">
        <v>0</v>
      </c>
      <c r="I12">
        <v>10</v>
      </c>
      <c r="J12" t="str">
        <f t="shared" si="0"/>
        <v>S3|ws-02_S3S4</v>
      </c>
    </row>
    <row r="13" spans="1:10" ht="15" customHeight="1" x14ac:dyDescent="0.25">
      <c r="A13" t="s">
        <v>3</v>
      </c>
      <c r="B13" t="s">
        <v>356</v>
      </c>
      <c r="C13">
        <v>2399</v>
      </c>
      <c r="D13">
        <v>1703</v>
      </c>
      <c r="E13">
        <v>2</v>
      </c>
      <c r="F13">
        <v>694</v>
      </c>
      <c r="G13">
        <v>0</v>
      </c>
      <c r="H13">
        <v>0</v>
      </c>
      <c r="I13">
        <v>10</v>
      </c>
      <c r="J13" t="str">
        <f t="shared" si="0"/>
        <v>S3|ws-03_S5</v>
      </c>
    </row>
    <row r="14" spans="1:10" ht="15" customHeight="1" x14ac:dyDescent="0.25">
      <c r="A14" t="s">
        <v>3</v>
      </c>
      <c r="B14" t="s">
        <v>357</v>
      </c>
      <c r="C14">
        <v>2399</v>
      </c>
      <c r="D14">
        <v>1232</v>
      </c>
      <c r="E14">
        <v>2</v>
      </c>
      <c r="F14">
        <v>1165</v>
      </c>
      <c r="G14">
        <v>0</v>
      </c>
      <c r="H14">
        <v>0</v>
      </c>
      <c r="I14">
        <v>10</v>
      </c>
      <c r="J14" t="str">
        <f t="shared" si="0"/>
        <v>S3|ws-04_S7</v>
      </c>
    </row>
    <row r="15" spans="1:10" ht="15" customHeight="1" x14ac:dyDescent="0.25">
      <c r="A15" t="s">
        <v>3</v>
      </c>
      <c r="B15" t="s">
        <v>349</v>
      </c>
      <c r="C15">
        <v>2399</v>
      </c>
      <c r="D15">
        <v>1823.1</v>
      </c>
      <c r="E15">
        <v>4.5999999999999996</v>
      </c>
      <c r="F15">
        <v>571.4</v>
      </c>
      <c r="G15">
        <v>0</v>
      </c>
      <c r="H15">
        <v>0</v>
      </c>
      <c r="I15">
        <v>15</v>
      </c>
      <c r="J15" t="str">
        <f t="shared" si="0"/>
        <v>S3|ws-05_S6S8</v>
      </c>
    </row>
    <row r="16" spans="1:10" ht="15" customHeight="1" x14ac:dyDescent="0.25">
      <c r="A16" t="s">
        <v>3</v>
      </c>
      <c r="B16" t="s">
        <v>346</v>
      </c>
      <c r="C16">
        <v>2399</v>
      </c>
      <c r="D16">
        <v>151.30000000000001</v>
      </c>
      <c r="E16">
        <v>0</v>
      </c>
      <c r="F16">
        <v>2247.6999999999998</v>
      </c>
      <c r="G16">
        <v>0</v>
      </c>
      <c r="H16">
        <v>0</v>
      </c>
      <c r="I16">
        <v>185</v>
      </c>
      <c r="J16" t="str">
        <f t="shared" si="0"/>
        <v>S3|logistics_resource_01</v>
      </c>
    </row>
    <row r="17" spans="1:10" ht="15" customHeight="1" x14ac:dyDescent="0.25">
      <c r="A17" t="s">
        <v>4</v>
      </c>
      <c r="B17" t="s">
        <v>354</v>
      </c>
      <c r="C17">
        <v>2399</v>
      </c>
      <c r="D17">
        <v>1112</v>
      </c>
      <c r="E17">
        <v>4</v>
      </c>
      <c r="F17">
        <v>1283</v>
      </c>
      <c r="G17">
        <v>0</v>
      </c>
      <c r="H17">
        <v>0</v>
      </c>
      <c r="I17">
        <v>10</v>
      </c>
      <c r="J17" t="str">
        <f t="shared" si="0"/>
        <v>S3s|ws-01_S1S2</v>
      </c>
    </row>
    <row r="18" spans="1:10" ht="15" customHeight="1" x14ac:dyDescent="0.25">
      <c r="A18" t="s">
        <v>4</v>
      </c>
      <c r="B18" t="s">
        <v>355</v>
      </c>
      <c r="C18">
        <v>2399</v>
      </c>
      <c r="D18">
        <v>2243.5</v>
      </c>
      <c r="E18">
        <v>4.5</v>
      </c>
      <c r="F18">
        <v>151</v>
      </c>
      <c r="G18">
        <v>0</v>
      </c>
      <c r="H18">
        <v>0</v>
      </c>
      <c r="I18">
        <v>9</v>
      </c>
      <c r="J18" t="str">
        <f t="shared" si="0"/>
        <v>S3s|ws-02_S3S4</v>
      </c>
    </row>
    <row r="19" spans="1:10" ht="15" customHeight="1" x14ac:dyDescent="0.25">
      <c r="A19" t="s">
        <v>4</v>
      </c>
      <c r="B19" t="s">
        <v>356</v>
      </c>
      <c r="C19">
        <v>2399</v>
      </c>
      <c r="D19">
        <v>1974.5</v>
      </c>
      <c r="E19">
        <v>1.2</v>
      </c>
      <c r="F19">
        <v>423.3</v>
      </c>
      <c r="G19">
        <v>0</v>
      </c>
      <c r="H19">
        <v>0</v>
      </c>
      <c r="I19">
        <v>6</v>
      </c>
      <c r="J19" t="str">
        <f t="shared" si="0"/>
        <v>S3s|ws-03_S5</v>
      </c>
    </row>
    <row r="20" spans="1:10" ht="15" customHeight="1" x14ac:dyDescent="0.25">
      <c r="A20" t="s">
        <v>4</v>
      </c>
      <c r="B20" t="s">
        <v>357</v>
      </c>
      <c r="C20">
        <v>2399</v>
      </c>
      <c r="D20">
        <v>751.2</v>
      </c>
      <c r="E20">
        <v>1.2</v>
      </c>
      <c r="F20">
        <v>1646.6</v>
      </c>
      <c r="G20">
        <v>0</v>
      </c>
      <c r="H20">
        <v>0</v>
      </c>
      <c r="I20">
        <v>6</v>
      </c>
      <c r="J20" t="str">
        <f t="shared" si="0"/>
        <v>S3s|ws-04_S7</v>
      </c>
    </row>
    <row r="21" spans="1:10" ht="15" customHeight="1" x14ac:dyDescent="0.25">
      <c r="A21" t="s">
        <v>4</v>
      </c>
      <c r="B21" t="s">
        <v>349</v>
      </c>
      <c r="C21">
        <v>2399</v>
      </c>
      <c r="D21">
        <v>1363.3</v>
      </c>
      <c r="E21">
        <v>3.3</v>
      </c>
      <c r="F21">
        <v>1032.4000000000001</v>
      </c>
      <c r="G21">
        <v>0</v>
      </c>
      <c r="H21">
        <v>0</v>
      </c>
      <c r="I21">
        <v>11</v>
      </c>
      <c r="J21" t="str">
        <f t="shared" si="0"/>
        <v>S3s|ws-05_S6S8</v>
      </c>
    </row>
    <row r="22" spans="1:10" ht="15" customHeight="1" x14ac:dyDescent="0.25">
      <c r="A22" t="s">
        <v>4</v>
      </c>
      <c r="B22" t="s">
        <v>346</v>
      </c>
      <c r="C22">
        <v>2399</v>
      </c>
      <c r="D22">
        <v>120.3</v>
      </c>
      <c r="E22">
        <v>0</v>
      </c>
      <c r="F22">
        <v>2278.8000000000002</v>
      </c>
      <c r="G22">
        <v>0</v>
      </c>
      <c r="H22">
        <v>0</v>
      </c>
      <c r="I22">
        <v>148</v>
      </c>
      <c r="J22" t="str">
        <f t="shared" si="0"/>
        <v>S3s|logistics_resource_01</v>
      </c>
    </row>
    <row r="23" spans="1:10" ht="15" customHeight="1" x14ac:dyDescent="0.25">
      <c r="A23" t="s">
        <v>5</v>
      </c>
      <c r="B23" t="s">
        <v>359</v>
      </c>
      <c r="C23">
        <v>2399</v>
      </c>
      <c r="D23">
        <v>2364</v>
      </c>
      <c r="E23">
        <v>3.8</v>
      </c>
      <c r="F23">
        <v>31.3</v>
      </c>
      <c r="G23">
        <v>0</v>
      </c>
      <c r="H23">
        <v>0</v>
      </c>
      <c r="I23">
        <v>4</v>
      </c>
      <c r="J23" t="str">
        <f t="shared" si="0"/>
        <v>S4|ws-01_S1toS4</v>
      </c>
    </row>
    <row r="24" spans="1:10" ht="15" customHeight="1" x14ac:dyDescent="0.25">
      <c r="A24" t="s">
        <v>5</v>
      </c>
      <c r="B24" t="s">
        <v>360</v>
      </c>
      <c r="C24">
        <v>2399</v>
      </c>
      <c r="D24">
        <v>2270.6999999999998</v>
      </c>
      <c r="E24">
        <v>3.7</v>
      </c>
      <c r="F24">
        <v>124.6</v>
      </c>
      <c r="G24">
        <v>0</v>
      </c>
      <c r="H24">
        <v>0</v>
      </c>
      <c r="I24">
        <v>4</v>
      </c>
      <c r="J24" t="str">
        <f t="shared" si="0"/>
        <v>S4|ws-02_S1toS4</v>
      </c>
    </row>
    <row r="25" spans="1:10" ht="15" customHeight="1" x14ac:dyDescent="0.25">
      <c r="A25" t="s">
        <v>5</v>
      </c>
      <c r="B25" t="s">
        <v>361</v>
      </c>
      <c r="C25">
        <v>2399</v>
      </c>
      <c r="D25">
        <v>1826.7</v>
      </c>
      <c r="E25">
        <v>1.5</v>
      </c>
      <c r="F25">
        <v>570.9</v>
      </c>
      <c r="G25">
        <v>0</v>
      </c>
      <c r="H25">
        <v>0</v>
      </c>
      <c r="I25">
        <v>7</v>
      </c>
      <c r="J25" t="str">
        <f t="shared" si="0"/>
        <v>S4|ws-03_S5toS8</v>
      </c>
    </row>
    <row r="26" spans="1:10" ht="15" customHeight="1" x14ac:dyDescent="0.25">
      <c r="A26" t="s">
        <v>5</v>
      </c>
      <c r="B26" t="s">
        <v>362</v>
      </c>
      <c r="C26">
        <v>2399</v>
      </c>
      <c r="D26">
        <v>1596</v>
      </c>
      <c r="E26">
        <v>1.4</v>
      </c>
      <c r="F26">
        <v>801.7</v>
      </c>
      <c r="G26">
        <v>0</v>
      </c>
      <c r="H26">
        <v>0</v>
      </c>
      <c r="I26">
        <v>6</v>
      </c>
      <c r="J26" t="str">
        <f t="shared" si="0"/>
        <v>S4|ws-04_S5toS8</v>
      </c>
    </row>
    <row r="27" spans="1:10" ht="15" customHeight="1" x14ac:dyDescent="0.25">
      <c r="A27" t="s">
        <v>5</v>
      </c>
      <c r="B27" t="s">
        <v>363</v>
      </c>
      <c r="C27">
        <v>2399</v>
      </c>
      <c r="D27">
        <v>1345.5</v>
      </c>
      <c r="E27">
        <v>1.1000000000000001</v>
      </c>
      <c r="F27">
        <v>1052.4000000000001</v>
      </c>
      <c r="G27">
        <v>0</v>
      </c>
      <c r="H27">
        <v>0</v>
      </c>
      <c r="I27">
        <v>5</v>
      </c>
      <c r="J27" t="str">
        <f t="shared" si="0"/>
        <v>S4|ws-05_S5toS8</v>
      </c>
    </row>
    <row r="28" spans="1:10" ht="15" customHeight="1" x14ac:dyDescent="0.25">
      <c r="A28" t="s">
        <v>5</v>
      </c>
      <c r="B28" t="s">
        <v>346</v>
      </c>
      <c r="C28">
        <v>2399</v>
      </c>
      <c r="D28">
        <v>95</v>
      </c>
      <c r="E28">
        <v>0</v>
      </c>
      <c r="F28">
        <v>2304</v>
      </c>
      <c r="G28">
        <v>0</v>
      </c>
      <c r="H28">
        <v>0</v>
      </c>
      <c r="I28">
        <v>131</v>
      </c>
      <c r="J28" t="str">
        <f t="shared" si="0"/>
        <v>S4|logistics_resource_01</v>
      </c>
    </row>
    <row r="29" spans="1:10" ht="15" customHeight="1" x14ac:dyDescent="0.25">
      <c r="A29" t="s">
        <v>6</v>
      </c>
      <c r="B29" t="s">
        <v>350</v>
      </c>
      <c r="C29">
        <v>2399</v>
      </c>
      <c r="D29">
        <v>1513.8</v>
      </c>
      <c r="E29">
        <v>2.2000000000000002</v>
      </c>
      <c r="F29">
        <v>883</v>
      </c>
      <c r="G29">
        <v>0</v>
      </c>
      <c r="H29">
        <v>0</v>
      </c>
      <c r="I29">
        <v>5</v>
      </c>
      <c r="J29" t="str">
        <f t="shared" si="0"/>
        <v>S5|ws-01_S1toS8</v>
      </c>
    </row>
    <row r="30" spans="1:10" ht="15" customHeight="1" x14ac:dyDescent="0.25">
      <c r="A30" t="s">
        <v>6</v>
      </c>
      <c r="B30" t="s">
        <v>351</v>
      </c>
      <c r="C30">
        <v>2399</v>
      </c>
      <c r="D30">
        <v>1421.8</v>
      </c>
      <c r="E30">
        <v>2.2000000000000002</v>
      </c>
      <c r="F30">
        <v>975</v>
      </c>
      <c r="G30">
        <v>0</v>
      </c>
      <c r="H30">
        <v>0</v>
      </c>
      <c r="I30">
        <v>5</v>
      </c>
      <c r="J30" t="str">
        <f t="shared" si="0"/>
        <v>S5|ws-02_S1toS8</v>
      </c>
    </row>
    <row r="31" spans="1:10" ht="15" customHeight="1" x14ac:dyDescent="0.25">
      <c r="A31" t="s">
        <v>6</v>
      </c>
      <c r="B31" t="s">
        <v>352</v>
      </c>
      <c r="C31">
        <v>2399</v>
      </c>
      <c r="D31">
        <v>1513.8</v>
      </c>
      <c r="E31">
        <v>2.2000000000000002</v>
      </c>
      <c r="F31">
        <v>883</v>
      </c>
      <c r="G31">
        <v>0</v>
      </c>
      <c r="H31">
        <v>0</v>
      </c>
      <c r="I31">
        <v>5</v>
      </c>
      <c r="J31" t="str">
        <f t="shared" si="0"/>
        <v>S5|ws-03_S1toS8</v>
      </c>
    </row>
    <row r="32" spans="1:10" ht="15" customHeight="1" x14ac:dyDescent="0.25">
      <c r="A32" t="s">
        <v>6</v>
      </c>
      <c r="B32" t="s">
        <v>353</v>
      </c>
      <c r="C32">
        <v>2399</v>
      </c>
      <c r="D32">
        <v>1995</v>
      </c>
      <c r="E32">
        <v>2.8</v>
      </c>
      <c r="F32">
        <v>401.2</v>
      </c>
      <c r="G32">
        <v>0</v>
      </c>
      <c r="H32">
        <v>0</v>
      </c>
      <c r="I32">
        <v>8</v>
      </c>
      <c r="J32" t="str">
        <f t="shared" si="0"/>
        <v>S5|ws-04_S1toS8</v>
      </c>
    </row>
    <row r="33" spans="1:10" ht="15" customHeight="1" x14ac:dyDescent="0.25">
      <c r="A33" t="s">
        <v>6</v>
      </c>
      <c r="B33" t="s">
        <v>364</v>
      </c>
      <c r="C33">
        <v>2399</v>
      </c>
      <c r="D33">
        <v>1446.8</v>
      </c>
      <c r="E33">
        <v>2.2999999999999998</v>
      </c>
      <c r="F33">
        <v>949.9</v>
      </c>
      <c r="G33">
        <v>0</v>
      </c>
      <c r="H33">
        <v>0</v>
      </c>
      <c r="I33">
        <v>5</v>
      </c>
      <c r="J33" t="str">
        <f t="shared" si="0"/>
        <v>S5|ws-05_S1toS8</v>
      </c>
    </row>
    <row r="34" spans="1:10" ht="15" customHeight="1" x14ac:dyDescent="0.25">
      <c r="A34" t="s">
        <v>6</v>
      </c>
      <c r="B34" t="s">
        <v>346</v>
      </c>
      <c r="C34">
        <v>2399</v>
      </c>
      <c r="D34">
        <v>94.7</v>
      </c>
      <c r="E34">
        <v>0</v>
      </c>
      <c r="F34">
        <v>2304.4</v>
      </c>
      <c r="G34">
        <v>0</v>
      </c>
      <c r="H34">
        <v>0</v>
      </c>
      <c r="I34">
        <v>127</v>
      </c>
      <c r="J34" t="str">
        <f t="shared" si="0"/>
        <v>S5|logistics_resource_01</v>
      </c>
    </row>
    <row r="35" spans="1:10" ht="15" customHeight="1" x14ac:dyDescent="0.25">
      <c r="A35" t="s">
        <v>7</v>
      </c>
      <c r="B35" t="s">
        <v>354</v>
      </c>
      <c r="C35">
        <v>2399</v>
      </c>
      <c r="D35">
        <v>831.4</v>
      </c>
      <c r="E35">
        <v>2.5</v>
      </c>
      <c r="F35">
        <v>1565.1</v>
      </c>
      <c r="G35">
        <v>0</v>
      </c>
      <c r="H35">
        <v>0</v>
      </c>
      <c r="I35">
        <v>7</v>
      </c>
      <c r="J35" t="str">
        <f t="shared" si="0"/>
        <v>S6|ws-01_S1S2</v>
      </c>
    </row>
    <row r="36" spans="1:10" ht="15" customHeight="1" x14ac:dyDescent="0.25">
      <c r="A36" t="s">
        <v>7</v>
      </c>
      <c r="B36" t="s">
        <v>355</v>
      </c>
      <c r="C36">
        <v>2399</v>
      </c>
      <c r="D36">
        <v>2362.9</v>
      </c>
      <c r="E36">
        <v>4.0999999999999996</v>
      </c>
      <c r="F36">
        <v>32</v>
      </c>
      <c r="G36">
        <v>0</v>
      </c>
      <c r="H36">
        <v>0</v>
      </c>
      <c r="I36">
        <v>9</v>
      </c>
      <c r="J36" t="str">
        <f t="shared" si="0"/>
        <v>S6|ws-02_S3S4</v>
      </c>
    </row>
    <row r="37" spans="1:10" ht="15" customHeight="1" x14ac:dyDescent="0.25">
      <c r="A37" t="s">
        <v>7</v>
      </c>
      <c r="B37" t="s">
        <v>356</v>
      </c>
      <c r="C37">
        <v>2399</v>
      </c>
      <c r="D37">
        <v>350.6</v>
      </c>
      <c r="E37">
        <v>0.4</v>
      </c>
      <c r="F37">
        <v>2048</v>
      </c>
      <c r="G37">
        <v>0</v>
      </c>
      <c r="H37">
        <v>0</v>
      </c>
      <c r="I37">
        <v>2</v>
      </c>
      <c r="J37" t="str">
        <f t="shared" si="0"/>
        <v>S6|ws-03_S5</v>
      </c>
    </row>
    <row r="38" spans="1:10" ht="15" customHeight="1" x14ac:dyDescent="0.25">
      <c r="A38" t="s">
        <v>7</v>
      </c>
      <c r="B38" t="s">
        <v>357</v>
      </c>
      <c r="C38">
        <v>2399</v>
      </c>
      <c r="D38">
        <v>588.79999999999995</v>
      </c>
      <c r="E38">
        <v>0.8</v>
      </c>
      <c r="F38">
        <v>1809.4</v>
      </c>
      <c r="G38">
        <v>0</v>
      </c>
      <c r="H38">
        <v>0</v>
      </c>
      <c r="I38">
        <v>4</v>
      </c>
      <c r="J38" t="str">
        <f t="shared" si="0"/>
        <v>S6|ws-04_S7</v>
      </c>
    </row>
    <row r="39" spans="1:10" ht="15" customHeight="1" x14ac:dyDescent="0.25">
      <c r="A39" t="s">
        <v>7</v>
      </c>
      <c r="B39" t="s">
        <v>349</v>
      </c>
      <c r="C39">
        <v>2399</v>
      </c>
      <c r="D39">
        <v>1574.1</v>
      </c>
      <c r="E39">
        <v>2.8</v>
      </c>
      <c r="F39">
        <v>822.1</v>
      </c>
      <c r="G39">
        <v>0</v>
      </c>
      <c r="H39">
        <v>0</v>
      </c>
      <c r="I39">
        <v>7</v>
      </c>
      <c r="J39" t="str">
        <f t="shared" si="0"/>
        <v>S6|ws-05_S6S8</v>
      </c>
    </row>
    <row r="40" spans="1:10" ht="15" customHeight="1" x14ac:dyDescent="0.25">
      <c r="A40" t="s">
        <v>7</v>
      </c>
      <c r="B40" t="s">
        <v>346</v>
      </c>
      <c r="C40">
        <v>2399</v>
      </c>
      <c r="D40">
        <v>92.2</v>
      </c>
      <c r="E40">
        <v>0</v>
      </c>
      <c r="F40">
        <v>2306.8000000000002</v>
      </c>
      <c r="G40">
        <v>0</v>
      </c>
      <c r="H40">
        <v>0</v>
      </c>
      <c r="I40">
        <v>114</v>
      </c>
      <c r="J40" t="str">
        <f t="shared" si="0"/>
        <v>S6|logistics_resource_01</v>
      </c>
    </row>
    <row r="41" spans="1:10" ht="15" customHeight="1" x14ac:dyDescent="0.25">
      <c r="A41" t="s">
        <v>8</v>
      </c>
      <c r="B41" t="s">
        <v>354</v>
      </c>
      <c r="C41">
        <v>2399</v>
      </c>
      <c r="D41">
        <v>831.4</v>
      </c>
      <c r="E41">
        <v>2.5</v>
      </c>
      <c r="F41">
        <v>1565.1</v>
      </c>
      <c r="G41">
        <v>0</v>
      </c>
      <c r="H41">
        <v>0</v>
      </c>
      <c r="I41">
        <v>7</v>
      </c>
      <c r="J41" t="str">
        <f t="shared" si="0"/>
        <v>S6s|ws-01_S1S2</v>
      </c>
    </row>
    <row r="42" spans="1:10" ht="15" customHeight="1" x14ac:dyDescent="0.25">
      <c r="A42" t="s">
        <v>8</v>
      </c>
      <c r="B42" t="s">
        <v>355</v>
      </c>
      <c r="C42">
        <v>2399</v>
      </c>
      <c r="D42">
        <v>2002.1</v>
      </c>
      <c r="E42">
        <v>4.4000000000000004</v>
      </c>
      <c r="F42">
        <v>392.5</v>
      </c>
      <c r="G42">
        <v>0</v>
      </c>
      <c r="H42">
        <v>0</v>
      </c>
      <c r="I42">
        <v>10</v>
      </c>
      <c r="J42" t="str">
        <f t="shared" si="0"/>
        <v>S6s|ws-02_S3S4</v>
      </c>
    </row>
    <row r="43" spans="1:10" ht="15" customHeight="1" x14ac:dyDescent="0.25">
      <c r="A43" t="s">
        <v>8</v>
      </c>
      <c r="B43" t="s">
        <v>356</v>
      </c>
      <c r="C43">
        <v>2399</v>
      </c>
      <c r="D43">
        <v>525.9</v>
      </c>
      <c r="E43">
        <v>0.6</v>
      </c>
      <c r="F43">
        <v>1872.5</v>
      </c>
      <c r="G43">
        <v>0</v>
      </c>
      <c r="H43">
        <v>0</v>
      </c>
      <c r="I43">
        <v>3</v>
      </c>
      <c r="J43" t="str">
        <f t="shared" si="0"/>
        <v>S6s|ws-03_S5</v>
      </c>
    </row>
    <row r="44" spans="1:10" ht="15" customHeight="1" x14ac:dyDescent="0.25">
      <c r="A44" t="s">
        <v>8</v>
      </c>
      <c r="B44" t="s">
        <v>357</v>
      </c>
      <c r="C44">
        <v>2399</v>
      </c>
      <c r="D44">
        <v>883.2</v>
      </c>
      <c r="E44">
        <v>1.2</v>
      </c>
      <c r="F44">
        <v>1514.6</v>
      </c>
      <c r="G44">
        <v>0</v>
      </c>
      <c r="H44">
        <v>0</v>
      </c>
      <c r="I44">
        <v>6</v>
      </c>
      <c r="J44" t="str">
        <f t="shared" si="0"/>
        <v>S6s|ws-04_S7</v>
      </c>
    </row>
    <row r="45" spans="1:10" ht="15" customHeight="1" x14ac:dyDescent="0.25">
      <c r="A45" t="s">
        <v>8</v>
      </c>
      <c r="B45" t="s">
        <v>349</v>
      </c>
      <c r="C45">
        <v>2399</v>
      </c>
      <c r="D45">
        <v>1903.3</v>
      </c>
      <c r="E45">
        <v>3.6</v>
      </c>
      <c r="F45">
        <v>492.1</v>
      </c>
      <c r="G45">
        <v>0</v>
      </c>
      <c r="H45">
        <v>0</v>
      </c>
      <c r="I45">
        <v>10</v>
      </c>
      <c r="J45" t="str">
        <f t="shared" si="0"/>
        <v>S6s|ws-05_S6S8</v>
      </c>
    </row>
    <row r="46" spans="1:10" ht="15" customHeight="1" x14ac:dyDescent="0.25">
      <c r="A46" t="s">
        <v>8</v>
      </c>
      <c r="B46" t="s">
        <v>346</v>
      </c>
      <c r="C46">
        <v>2399</v>
      </c>
      <c r="D46">
        <v>106.6</v>
      </c>
      <c r="E46">
        <v>0</v>
      </c>
      <c r="F46">
        <v>2292.4</v>
      </c>
      <c r="G46">
        <v>0</v>
      </c>
      <c r="H46">
        <v>0</v>
      </c>
      <c r="I46">
        <v>131</v>
      </c>
      <c r="J46" t="str">
        <f t="shared" si="0"/>
        <v>S6s|logistics_resource_01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5B7DB1"/>
  </sheetPr>
  <dimension ref="A1:G82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20.85546875" customWidth="1"/>
    <col min="3" max="3" width="13" customWidth="1"/>
    <col min="4" max="4" width="20" customWidth="1"/>
    <col min="5" max="6" width="12" customWidth="1"/>
    <col min="7" max="7" width="18" customWidth="1"/>
  </cols>
  <sheetData>
    <row r="1" spans="1:7" ht="15" customHeight="1" x14ac:dyDescent="0.25">
      <c r="A1" s="11" t="s">
        <v>55</v>
      </c>
      <c r="B1" s="11" t="s">
        <v>373</v>
      </c>
      <c r="C1" s="11" t="s">
        <v>374</v>
      </c>
      <c r="D1" s="11" t="s">
        <v>375</v>
      </c>
      <c r="E1" s="2" t="s">
        <v>80</v>
      </c>
      <c r="F1" s="2" t="s">
        <v>81</v>
      </c>
      <c r="G1" s="2" t="s">
        <v>376</v>
      </c>
    </row>
    <row r="2" spans="1:7" ht="15" customHeight="1" x14ac:dyDescent="0.25">
      <c r="A2" t="s">
        <v>1</v>
      </c>
      <c r="B2" t="s">
        <v>377</v>
      </c>
      <c r="C2" t="s">
        <v>347</v>
      </c>
      <c r="D2" t="s">
        <v>378</v>
      </c>
      <c r="E2" t="str">
        <f t="shared" ref="E2:E65" si="0">IF(ISNUMBER(--RIGHT(B2,1)),MID(B2,10,LEN(B2)-11),MID(B2,10,100))</f>
        <v>BOSP</v>
      </c>
      <c r="F2" t="str">
        <f t="shared" ref="F2:F65" si="1">IF(E2="CORE","CHS",E2)</f>
        <v>BOSP</v>
      </c>
      <c r="G2">
        <f>IF(COUNTIFS(Factory_Components!$A$2:$A$61,VLOOKUP(A2,Runs!$A$2:$B$9,2,FALSE()),Factory_Components!$B$2:$B$61,"a",Factory_Components!$D$2:$D$61,F2)&gt;0,1,0)</f>
        <v>1</v>
      </c>
    </row>
    <row r="3" spans="1:7" ht="15" customHeight="1" x14ac:dyDescent="0.25">
      <c r="A3" t="s">
        <v>1</v>
      </c>
      <c r="B3" t="s">
        <v>379</v>
      </c>
      <c r="C3" t="s">
        <v>347</v>
      </c>
      <c r="D3" t="s">
        <v>380</v>
      </c>
      <c r="E3" t="str">
        <f t="shared" si="0"/>
        <v>BOSP</v>
      </c>
      <c r="F3" t="str">
        <f t="shared" si="1"/>
        <v>BOSP</v>
      </c>
      <c r="G3">
        <f>IF(COUNTIFS(Factory_Components!$A$2:$A$61,VLOOKUP(A3,Runs!$A$2:$B$9,2,FALSE()),Factory_Components!$B$2:$B$61,"a",Factory_Components!$D$2:$D$61,F3)&gt;0,1,0)</f>
        <v>1</v>
      </c>
    </row>
    <row r="4" spans="1:7" ht="15" customHeight="1" x14ac:dyDescent="0.25">
      <c r="A4" t="s">
        <v>1</v>
      </c>
      <c r="B4" t="s">
        <v>381</v>
      </c>
      <c r="C4" t="s">
        <v>347</v>
      </c>
      <c r="D4" t="s">
        <v>382</v>
      </c>
      <c r="E4" t="str">
        <f t="shared" si="0"/>
        <v>RT</v>
      </c>
      <c r="F4" t="str">
        <f t="shared" si="1"/>
        <v>RT</v>
      </c>
      <c r="G4">
        <f>IF(COUNTIFS(Factory_Components!$A$2:$A$61,VLOOKUP(A4,Runs!$A$2:$B$9,2,FALSE()),Factory_Components!$B$2:$B$61,"a",Factory_Components!$D$2:$D$61,F4)&gt;0,1,0)</f>
        <v>1</v>
      </c>
    </row>
    <row r="5" spans="1:7" ht="15" customHeight="1" x14ac:dyDescent="0.25">
      <c r="A5" t="s">
        <v>1</v>
      </c>
      <c r="B5" t="s">
        <v>383</v>
      </c>
      <c r="C5" t="s">
        <v>347</v>
      </c>
      <c r="D5" t="s">
        <v>384</v>
      </c>
      <c r="E5" t="str">
        <f t="shared" si="0"/>
        <v>RT</v>
      </c>
      <c r="F5" t="str">
        <f t="shared" si="1"/>
        <v>RT</v>
      </c>
      <c r="G5">
        <f>IF(COUNTIFS(Factory_Components!$A$2:$A$61,VLOOKUP(A5,Runs!$A$2:$B$9,2,FALSE()),Factory_Components!$B$2:$B$61,"a",Factory_Components!$D$2:$D$61,F5)&gt;0,1,0)</f>
        <v>1</v>
      </c>
    </row>
    <row r="6" spans="1:7" ht="15" customHeight="1" x14ac:dyDescent="0.25">
      <c r="A6" t="s">
        <v>1</v>
      </c>
      <c r="B6" t="s">
        <v>385</v>
      </c>
      <c r="C6" t="s">
        <v>347</v>
      </c>
      <c r="D6" t="s">
        <v>386</v>
      </c>
      <c r="E6" t="str">
        <f t="shared" si="0"/>
        <v>BOSP</v>
      </c>
      <c r="F6" t="str">
        <f t="shared" si="1"/>
        <v>BOSP</v>
      </c>
      <c r="G6">
        <f>IF(COUNTIFS(Factory_Components!$A$2:$A$61,VLOOKUP(A6,Runs!$A$2:$B$9,2,FALSE()),Factory_Components!$B$2:$B$61,"a",Factory_Components!$D$2:$D$61,F6)&gt;0,1,0)</f>
        <v>1</v>
      </c>
    </row>
    <row r="7" spans="1:7" ht="15" customHeight="1" x14ac:dyDescent="0.25">
      <c r="A7" t="s">
        <v>1</v>
      </c>
      <c r="B7" t="s">
        <v>387</v>
      </c>
      <c r="C7" t="s">
        <v>347</v>
      </c>
      <c r="D7" t="s">
        <v>388</v>
      </c>
      <c r="E7" t="str">
        <f t="shared" si="0"/>
        <v>BOSP</v>
      </c>
      <c r="F7" t="str">
        <f t="shared" si="1"/>
        <v>BOSP</v>
      </c>
      <c r="G7">
        <f>IF(COUNTIFS(Factory_Components!$A$2:$A$61,VLOOKUP(A7,Runs!$A$2:$B$9,2,FALSE()),Factory_Components!$B$2:$B$61,"a",Factory_Components!$D$2:$D$61,F7)&gt;0,1,0)</f>
        <v>1</v>
      </c>
    </row>
    <row r="8" spans="1:7" ht="15" customHeight="1" x14ac:dyDescent="0.25">
      <c r="A8" t="s">
        <v>1</v>
      </c>
      <c r="B8" t="s">
        <v>389</v>
      </c>
      <c r="C8" t="s">
        <v>347</v>
      </c>
      <c r="D8" t="s">
        <v>390</v>
      </c>
      <c r="E8" t="str">
        <f t="shared" si="0"/>
        <v>RT</v>
      </c>
      <c r="F8" t="str">
        <f t="shared" si="1"/>
        <v>RT</v>
      </c>
      <c r="G8">
        <f>IF(COUNTIFS(Factory_Components!$A$2:$A$61,VLOOKUP(A8,Runs!$A$2:$B$9,2,FALSE()),Factory_Components!$B$2:$B$61,"a",Factory_Components!$D$2:$D$61,F8)&gt;0,1,0)</f>
        <v>1</v>
      </c>
    </row>
    <row r="9" spans="1:7" ht="15" customHeight="1" x14ac:dyDescent="0.25">
      <c r="A9" t="s">
        <v>1</v>
      </c>
      <c r="B9" t="s">
        <v>391</v>
      </c>
      <c r="C9" t="s">
        <v>348</v>
      </c>
      <c r="D9" t="s">
        <v>392</v>
      </c>
      <c r="E9" t="str">
        <f t="shared" si="0"/>
        <v>CORE</v>
      </c>
      <c r="F9" t="str">
        <f t="shared" si="1"/>
        <v>CHS</v>
      </c>
      <c r="G9">
        <f>IF(COUNTIFS(Factory_Components!$A$2:$A$61,VLOOKUP(A9,Runs!$A$2:$B$9,2,FALSE()),Factory_Components!$B$2:$B$61,"a",Factory_Components!$D$2:$D$61,F9)&gt;0,1,0)</f>
        <v>1</v>
      </c>
    </row>
    <row r="10" spans="1:7" ht="15" customHeight="1" x14ac:dyDescent="0.25">
      <c r="A10" t="s">
        <v>1</v>
      </c>
      <c r="B10" t="s">
        <v>393</v>
      </c>
      <c r="C10" t="s">
        <v>347</v>
      </c>
      <c r="D10" t="s">
        <v>394</v>
      </c>
      <c r="E10" t="str">
        <f t="shared" si="0"/>
        <v>RT</v>
      </c>
      <c r="F10" t="str">
        <f t="shared" si="1"/>
        <v>RT</v>
      </c>
      <c r="G10">
        <f>IF(COUNTIFS(Factory_Components!$A$2:$A$61,VLOOKUP(A10,Runs!$A$2:$B$9,2,FALSE()),Factory_Components!$B$2:$B$61,"a",Factory_Components!$D$2:$D$61,F10)&gt;0,1,0)</f>
        <v>1</v>
      </c>
    </row>
    <row r="11" spans="1:7" ht="15" customHeight="1" x14ac:dyDescent="0.25">
      <c r="A11" t="s">
        <v>1</v>
      </c>
      <c r="B11" t="s">
        <v>395</v>
      </c>
      <c r="C11" t="s">
        <v>347</v>
      </c>
      <c r="D11" t="s">
        <v>396</v>
      </c>
      <c r="E11" t="str">
        <f t="shared" si="0"/>
        <v>BOSP</v>
      </c>
      <c r="F11" t="str">
        <f t="shared" si="1"/>
        <v>BOSP</v>
      </c>
      <c r="G11">
        <f>IF(COUNTIFS(Factory_Components!$A$2:$A$61,VLOOKUP(A11,Runs!$A$2:$B$9,2,FALSE()),Factory_Components!$B$2:$B$61,"a",Factory_Components!$D$2:$D$61,F11)&gt;0,1,0)</f>
        <v>1</v>
      </c>
    </row>
    <row r="12" spans="1:7" ht="15" customHeight="1" x14ac:dyDescent="0.25">
      <c r="A12" t="s">
        <v>1</v>
      </c>
      <c r="B12" t="s">
        <v>397</v>
      </c>
      <c r="C12" t="s">
        <v>349</v>
      </c>
      <c r="D12" t="s">
        <v>398</v>
      </c>
      <c r="E12" t="str">
        <f t="shared" si="0"/>
        <v>BSA</v>
      </c>
      <c r="F12" t="str">
        <f t="shared" si="1"/>
        <v>BSA</v>
      </c>
      <c r="G12">
        <f>IF(COUNTIFS(Factory_Components!$A$2:$A$61,VLOOKUP(A12,Runs!$A$2:$B$9,2,FALSE()),Factory_Components!$B$2:$B$61,"a",Factory_Components!$D$2:$D$61,F12)&gt;0,1,0)</f>
        <v>1</v>
      </c>
    </row>
    <row r="13" spans="1:7" ht="15" customHeight="1" x14ac:dyDescent="0.25">
      <c r="A13" t="s">
        <v>1</v>
      </c>
      <c r="B13" t="s">
        <v>399</v>
      </c>
      <c r="C13" t="s">
        <v>347</v>
      </c>
      <c r="D13" t="s">
        <v>400</v>
      </c>
      <c r="E13" t="str">
        <f t="shared" si="0"/>
        <v>BOSP</v>
      </c>
      <c r="F13" t="str">
        <f t="shared" si="1"/>
        <v>BOSP</v>
      </c>
      <c r="G13">
        <f>IF(COUNTIFS(Factory_Components!$A$2:$A$61,VLOOKUP(A13,Runs!$A$2:$B$9,2,FALSE()),Factory_Components!$B$2:$B$61,"a",Factory_Components!$D$2:$D$61,F13)&gt;0,1,0)</f>
        <v>1</v>
      </c>
    </row>
    <row r="14" spans="1:7" ht="15" customHeight="1" x14ac:dyDescent="0.25">
      <c r="A14" t="s">
        <v>1</v>
      </c>
      <c r="B14" t="s">
        <v>401</v>
      </c>
      <c r="C14" t="s">
        <v>347</v>
      </c>
      <c r="D14" t="s">
        <v>402</v>
      </c>
      <c r="E14" t="str">
        <f t="shared" si="0"/>
        <v>RT</v>
      </c>
      <c r="F14" t="str">
        <f t="shared" si="1"/>
        <v>RT</v>
      </c>
      <c r="G14">
        <f>IF(COUNTIFS(Factory_Components!$A$2:$A$61,VLOOKUP(A14,Runs!$A$2:$B$9,2,FALSE()),Factory_Components!$B$2:$B$61,"a",Factory_Components!$D$2:$D$61,F14)&gt;0,1,0)</f>
        <v>1</v>
      </c>
    </row>
    <row r="15" spans="1:7" ht="15" customHeight="1" x14ac:dyDescent="0.25">
      <c r="A15" t="s">
        <v>1</v>
      </c>
      <c r="B15" t="s">
        <v>403</v>
      </c>
      <c r="C15" t="s">
        <v>349</v>
      </c>
      <c r="D15" t="s">
        <v>404</v>
      </c>
      <c r="E15" t="str">
        <f t="shared" si="0"/>
        <v>BSA</v>
      </c>
      <c r="F15" t="str">
        <f t="shared" si="1"/>
        <v>BSA</v>
      </c>
      <c r="G15">
        <f>IF(COUNTIFS(Factory_Components!$A$2:$A$61,VLOOKUP(A15,Runs!$A$2:$B$9,2,FALSE()),Factory_Components!$B$2:$B$61,"a",Factory_Components!$D$2:$D$61,F15)&gt;0,1,0)</f>
        <v>1</v>
      </c>
    </row>
    <row r="16" spans="1:7" ht="15" customHeight="1" x14ac:dyDescent="0.25">
      <c r="A16" t="s">
        <v>1</v>
      </c>
      <c r="B16" t="s">
        <v>405</v>
      </c>
      <c r="C16" t="s">
        <v>349</v>
      </c>
      <c r="D16" t="s">
        <v>406</v>
      </c>
      <c r="E16" t="str">
        <f t="shared" si="0"/>
        <v>RAX_RD</v>
      </c>
      <c r="F16" t="str">
        <f t="shared" si="1"/>
        <v>RAX_RD</v>
      </c>
      <c r="G16">
        <f>IF(COUNTIFS(Factory_Components!$A$2:$A$61,VLOOKUP(A16,Runs!$A$2:$B$9,2,FALSE()),Factory_Components!$B$2:$B$61,"a",Factory_Components!$D$2:$D$61,F16)&gt;0,1,0)</f>
        <v>0</v>
      </c>
    </row>
    <row r="17" spans="1:7" ht="15" customHeight="1" x14ac:dyDescent="0.25">
      <c r="A17" t="s">
        <v>1</v>
      </c>
      <c r="B17" t="s">
        <v>407</v>
      </c>
      <c r="C17" t="s">
        <v>348</v>
      </c>
      <c r="D17" t="s">
        <v>408</v>
      </c>
      <c r="E17" t="str">
        <f t="shared" si="0"/>
        <v>CORE</v>
      </c>
      <c r="F17" t="str">
        <f t="shared" si="1"/>
        <v>CHS</v>
      </c>
      <c r="G17">
        <f>IF(COUNTIFS(Factory_Components!$A$2:$A$61,VLOOKUP(A17,Runs!$A$2:$B$9,2,FALSE()),Factory_Components!$B$2:$B$61,"a",Factory_Components!$D$2:$D$61,F17)&gt;0,1,0)</f>
        <v>1</v>
      </c>
    </row>
    <row r="18" spans="1:7" ht="15" customHeight="1" x14ac:dyDescent="0.25">
      <c r="A18" t="s">
        <v>1</v>
      </c>
      <c r="B18" t="s">
        <v>409</v>
      </c>
      <c r="C18" t="s">
        <v>347</v>
      </c>
      <c r="D18" t="s">
        <v>410</v>
      </c>
      <c r="E18" t="str">
        <f t="shared" si="0"/>
        <v>RT</v>
      </c>
      <c r="F18" t="str">
        <f t="shared" si="1"/>
        <v>RT</v>
      </c>
      <c r="G18">
        <f>IF(COUNTIFS(Factory_Components!$A$2:$A$61,VLOOKUP(A18,Runs!$A$2:$B$9,2,FALSE()),Factory_Components!$B$2:$B$61,"a",Factory_Components!$D$2:$D$61,F18)&gt;0,1,0)</f>
        <v>1</v>
      </c>
    </row>
    <row r="19" spans="1:7" ht="15" customHeight="1" x14ac:dyDescent="0.25">
      <c r="A19" t="s">
        <v>1</v>
      </c>
      <c r="B19" t="s">
        <v>411</v>
      </c>
      <c r="C19" t="s">
        <v>347</v>
      </c>
      <c r="D19" t="s">
        <v>412</v>
      </c>
      <c r="E19" t="str">
        <f t="shared" si="0"/>
        <v>BOSP</v>
      </c>
      <c r="F19" t="str">
        <f t="shared" si="1"/>
        <v>BOSP</v>
      </c>
      <c r="G19">
        <f>IF(COUNTIFS(Factory_Components!$A$2:$A$61,VLOOKUP(A19,Runs!$A$2:$B$9,2,FALSE()),Factory_Components!$B$2:$B$61,"a",Factory_Components!$D$2:$D$61,F19)&gt;0,1,0)</f>
        <v>1</v>
      </c>
    </row>
    <row r="20" spans="1:7" ht="15" customHeight="1" x14ac:dyDescent="0.25">
      <c r="A20" t="s">
        <v>1</v>
      </c>
      <c r="B20" t="s">
        <v>413</v>
      </c>
      <c r="C20" t="s">
        <v>347</v>
      </c>
      <c r="D20" t="s">
        <v>414</v>
      </c>
      <c r="E20" t="str">
        <f t="shared" si="0"/>
        <v>BOSP</v>
      </c>
      <c r="F20" t="str">
        <f t="shared" si="1"/>
        <v>BOSP</v>
      </c>
      <c r="G20">
        <f>IF(COUNTIFS(Factory_Components!$A$2:$A$61,VLOOKUP(A20,Runs!$A$2:$B$9,2,FALSE()),Factory_Components!$B$2:$B$61,"a",Factory_Components!$D$2:$D$61,F20)&gt;0,1,0)</f>
        <v>1</v>
      </c>
    </row>
    <row r="21" spans="1:7" ht="15" customHeight="1" x14ac:dyDescent="0.25">
      <c r="A21" t="s">
        <v>1</v>
      </c>
      <c r="B21" t="s">
        <v>415</v>
      </c>
      <c r="C21" t="s">
        <v>349</v>
      </c>
      <c r="D21" t="s">
        <v>416</v>
      </c>
      <c r="E21" t="str">
        <f t="shared" si="0"/>
        <v>BSA</v>
      </c>
      <c r="F21" t="str">
        <f t="shared" si="1"/>
        <v>BSA</v>
      </c>
      <c r="G21">
        <f>IF(COUNTIFS(Factory_Components!$A$2:$A$61,VLOOKUP(A21,Runs!$A$2:$B$9,2,FALSE()),Factory_Components!$B$2:$B$61,"a",Factory_Components!$D$2:$D$61,F21)&gt;0,1,0)</f>
        <v>1</v>
      </c>
    </row>
    <row r="22" spans="1:7" ht="15" customHeight="1" x14ac:dyDescent="0.25">
      <c r="A22" t="s">
        <v>1</v>
      </c>
      <c r="B22" t="s">
        <v>417</v>
      </c>
      <c r="C22" t="s">
        <v>348</v>
      </c>
      <c r="D22" t="s">
        <v>418</v>
      </c>
      <c r="E22" t="str">
        <f t="shared" si="0"/>
        <v>CORE</v>
      </c>
      <c r="F22" t="str">
        <f t="shared" si="1"/>
        <v>CHS</v>
      </c>
      <c r="G22">
        <f>IF(COUNTIFS(Factory_Components!$A$2:$A$61,VLOOKUP(A22,Runs!$A$2:$B$9,2,FALSE()),Factory_Components!$B$2:$B$61,"a",Factory_Components!$D$2:$D$61,F22)&gt;0,1,0)</f>
        <v>1</v>
      </c>
    </row>
    <row r="23" spans="1:7" ht="15" customHeight="1" x14ac:dyDescent="0.25">
      <c r="A23" t="s">
        <v>1</v>
      </c>
      <c r="B23" t="s">
        <v>419</v>
      </c>
      <c r="C23" t="s">
        <v>349</v>
      </c>
      <c r="D23" t="s">
        <v>420</v>
      </c>
      <c r="E23" t="str">
        <f t="shared" si="0"/>
        <v>BSA</v>
      </c>
      <c r="F23" t="str">
        <f t="shared" si="1"/>
        <v>BSA</v>
      </c>
      <c r="G23">
        <f>IF(COUNTIFS(Factory_Components!$A$2:$A$61,VLOOKUP(A23,Runs!$A$2:$B$9,2,FALSE()),Factory_Components!$B$2:$B$61,"a",Factory_Components!$D$2:$D$61,F23)&gt;0,1,0)</f>
        <v>1</v>
      </c>
    </row>
    <row r="24" spans="1:7" ht="15" customHeight="1" x14ac:dyDescent="0.25">
      <c r="A24" t="s">
        <v>1</v>
      </c>
      <c r="B24" t="s">
        <v>421</v>
      </c>
      <c r="C24" t="s">
        <v>349</v>
      </c>
      <c r="D24" t="s">
        <v>422</v>
      </c>
      <c r="E24" t="str">
        <f t="shared" si="0"/>
        <v>RAX_RD</v>
      </c>
      <c r="F24" t="str">
        <f t="shared" si="1"/>
        <v>RAX_RD</v>
      </c>
      <c r="G24">
        <f>IF(COUNTIFS(Factory_Components!$A$2:$A$61,VLOOKUP(A24,Runs!$A$2:$B$9,2,FALSE()),Factory_Components!$B$2:$B$61,"a",Factory_Components!$D$2:$D$61,F24)&gt;0,1,0)</f>
        <v>0</v>
      </c>
    </row>
    <row r="25" spans="1:7" ht="15" customHeight="1" x14ac:dyDescent="0.25">
      <c r="A25" t="s">
        <v>1</v>
      </c>
      <c r="B25" t="s">
        <v>423</v>
      </c>
      <c r="C25" t="s">
        <v>347</v>
      </c>
      <c r="D25" t="s">
        <v>424</v>
      </c>
      <c r="E25" t="str">
        <f t="shared" si="0"/>
        <v>BAT</v>
      </c>
      <c r="F25" t="str">
        <f t="shared" si="1"/>
        <v>BAT</v>
      </c>
      <c r="G25">
        <f>IF(COUNTIFS(Factory_Components!$A$2:$A$61,VLOOKUP(A25,Runs!$A$2:$B$9,2,FALSE()),Factory_Components!$B$2:$B$61,"a",Factory_Components!$D$2:$D$61,F25)&gt;0,1,0)</f>
        <v>1</v>
      </c>
    </row>
    <row r="26" spans="1:7" ht="15" customHeight="1" x14ac:dyDescent="0.25">
      <c r="A26" t="s">
        <v>1</v>
      </c>
      <c r="B26" t="s">
        <v>425</v>
      </c>
      <c r="C26" t="s">
        <v>349</v>
      </c>
      <c r="D26" t="s">
        <v>426</v>
      </c>
      <c r="E26" t="str">
        <f t="shared" si="0"/>
        <v>BSA</v>
      </c>
      <c r="F26" t="str">
        <f t="shared" si="1"/>
        <v>BSA</v>
      </c>
      <c r="G26">
        <f>IF(COUNTIFS(Factory_Components!$A$2:$A$61,VLOOKUP(A26,Runs!$A$2:$B$9,2,FALSE()),Factory_Components!$B$2:$B$61,"a",Factory_Components!$D$2:$D$61,F26)&gt;0,1,0)</f>
        <v>1</v>
      </c>
    </row>
    <row r="27" spans="1:7" ht="15" customHeight="1" x14ac:dyDescent="0.25">
      <c r="A27" t="s">
        <v>1</v>
      </c>
      <c r="B27" t="s">
        <v>427</v>
      </c>
      <c r="C27" t="s">
        <v>347</v>
      </c>
      <c r="D27" t="s">
        <v>428</v>
      </c>
      <c r="E27" t="str">
        <f t="shared" si="0"/>
        <v>RT</v>
      </c>
      <c r="F27" t="str">
        <f t="shared" si="1"/>
        <v>RT</v>
      </c>
      <c r="G27">
        <f>IF(COUNTIFS(Factory_Components!$A$2:$A$61,VLOOKUP(A27,Runs!$A$2:$B$9,2,FALSE()),Factory_Components!$B$2:$B$61,"a",Factory_Components!$D$2:$D$61,F27)&gt;0,1,0)</f>
        <v>1</v>
      </c>
    </row>
    <row r="28" spans="1:7" ht="15" customHeight="1" x14ac:dyDescent="0.25">
      <c r="A28" t="s">
        <v>1</v>
      </c>
      <c r="B28" t="s">
        <v>429</v>
      </c>
      <c r="C28" t="s">
        <v>347</v>
      </c>
      <c r="D28" t="s">
        <v>430</v>
      </c>
      <c r="E28" t="str">
        <f t="shared" si="0"/>
        <v>RT</v>
      </c>
      <c r="F28" t="str">
        <f t="shared" si="1"/>
        <v>RT</v>
      </c>
      <c r="G28">
        <f>IF(COUNTIFS(Factory_Components!$A$2:$A$61,VLOOKUP(A28,Runs!$A$2:$B$9,2,FALSE()),Factory_Components!$B$2:$B$61,"a",Factory_Components!$D$2:$D$61,F28)&gt;0,1,0)</f>
        <v>1</v>
      </c>
    </row>
    <row r="29" spans="1:7" ht="15" customHeight="1" x14ac:dyDescent="0.25">
      <c r="A29" t="s">
        <v>1</v>
      </c>
      <c r="B29" t="s">
        <v>431</v>
      </c>
      <c r="C29" t="s">
        <v>349</v>
      </c>
      <c r="D29" t="s">
        <v>432</v>
      </c>
      <c r="E29" t="str">
        <f t="shared" si="0"/>
        <v>BSA</v>
      </c>
      <c r="F29" t="str">
        <f t="shared" si="1"/>
        <v>BSA</v>
      </c>
      <c r="G29">
        <f>IF(COUNTIFS(Factory_Components!$A$2:$A$61,VLOOKUP(A29,Runs!$A$2:$B$9,2,FALSE()),Factory_Components!$B$2:$B$61,"a",Factory_Components!$D$2:$D$61,F29)&gt;0,1,0)</f>
        <v>1</v>
      </c>
    </row>
    <row r="30" spans="1:7" ht="15" customHeight="1" x14ac:dyDescent="0.25">
      <c r="A30" t="s">
        <v>1</v>
      </c>
      <c r="B30" t="s">
        <v>433</v>
      </c>
      <c r="C30" t="s">
        <v>349</v>
      </c>
      <c r="D30" t="s">
        <v>434</v>
      </c>
      <c r="E30" t="str">
        <f t="shared" si="0"/>
        <v>RAX_RD</v>
      </c>
      <c r="F30" t="str">
        <f t="shared" si="1"/>
        <v>RAX_RD</v>
      </c>
      <c r="G30">
        <f>IF(COUNTIFS(Factory_Components!$A$2:$A$61,VLOOKUP(A30,Runs!$A$2:$B$9,2,FALSE()),Factory_Components!$B$2:$B$61,"a",Factory_Components!$D$2:$D$61,F30)&gt;0,1,0)</f>
        <v>0</v>
      </c>
    </row>
    <row r="31" spans="1:7" ht="15" customHeight="1" x14ac:dyDescent="0.25">
      <c r="A31" t="s">
        <v>1</v>
      </c>
      <c r="B31" t="s">
        <v>435</v>
      </c>
      <c r="C31" t="s">
        <v>347</v>
      </c>
      <c r="D31" t="s">
        <v>436</v>
      </c>
      <c r="E31" t="str">
        <f t="shared" si="0"/>
        <v>FT</v>
      </c>
      <c r="F31" t="str">
        <f t="shared" si="1"/>
        <v>FT</v>
      </c>
      <c r="G31">
        <f>IF(COUNTIFS(Factory_Components!$A$2:$A$61,VLOOKUP(A31,Runs!$A$2:$B$9,2,FALSE()),Factory_Components!$B$2:$B$61,"a",Factory_Components!$D$2:$D$61,F31)&gt;0,1,0)</f>
        <v>1</v>
      </c>
    </row>
    <row r="32" spans="1:7" ht="15" customHeight="1" x14ac:dyDescent="0.25">
      <c r="A32" t="s">
        <v>1</v>
      </c>
      <c r="B32" t="s">
        <v>437</v>
      </c>
      <c r="C32" t="s">
        <v>347</v>
      </c>
      <c r="D32" t="s">
        <v>438</v>
      </c>
      <c r="E32" t="str">
        <f t="shared" si="0"/>
        <v>FT</v>
      </c>
      <c r="F32" t="str">
        <f t="shared" si="1"/>
        <v>FT</v>
      </c>
      <c r="G32">
        <f>IF(COUNTIFS(Factory_Components!$A$2:$A$61,VLOOKUP(A32,Runs!$A$2:$B$9,2,FALSE()),Factory_Components!$B$2:$B$61,"a",Factory_Components!$D$2:$D$61,F32)&gt;0,1,0)</f>
        <v>1</v>
      </c>
    </row>
    <row r="33" spans="1:7" ht="15" customHeight="1" x14ac:dyDescent="0.25">
      <c r="A33" t="s">
        <v>1</v>
      </c>
      <c r="B33" t="s">
        <v>439</v>
      </c>
      <c r="C33" t="s">
        <v>347</v>
      </c>
      <c r="D33" t="s">
        <v>440</v>
      </c>
      <c r="E33" t="str">
        <f t="shared" si="0"/>
        <v>CRE</v>
      </c>
      <c r="F33" t="str">
        <f t="shared" si="1"/>
        <v>CRE</v>
      </c>
      <c r="G33">
        <f>IF(COUNTIFS(Factory_Components!$A$2:$A$61,VLOOKUP(A33,Runs!$A$2:$B$9,2,FALSE()),Factory_Components!$B$2:$B$61,"a",Factory_Components!$D$2:$D$61,F33)&gt;0,1,0)</f>
        <v>0</v>
      </c>
    </row>
    <row r="34" spans="1:7" ht="15" customHeight="1" x14ac:dyDescent="0.25">
      <c r="A34" t="s">
        <v>1</v>
      </c>
      <c r="B34" t="s">
        <v>441</v>
      </c>
      <c r="C34" t="s">
        <v>347</v>
      </c>
      <c r="D34" t="s">
        <v>442</v>
      </c>
      <c r="E34" t="str">
        <f t="shared" si="0"/>
        <v>RT</v>
      </c>
      <c r="F34" t="str">
        <f t="shared" si="1"/>
        <v>RT</v>
      </c>
      <c r="G34">
        <f>IF(COUNTIFS(Factory_Components!$A$2:$A$61,VLOOKUP(A34,Runs!$A$2:$B$9,2,FALSE()),Factory_Components!$B$2:$B$61,"a",Factory_Components!$D$2:$D$61,F34)&gt;0,1,0)</f>
        <v>1</v>
      </c>
    </row>
    <row r="35" spans="1:7" ht="15" customHeight="1" x14ac:dyDescent="0.25">
      <c r="A35" t="s">
        <v>1</v>
      </c>
      <c r="B35" t="s">
        <v>443</v>
      </c>
      <c r="C35" t="s">
        <v>347</v>
      </c>
      <c r="D35" t="s">
        <v>444</v>
      </c>
      <c r="E35" t="str">
        <f t="shared" si="0"/>
        <v>RT</v>
      </c>
      <c r="F35" t="str">
        <f t="shared" si="1"/>
        <v>RT</v>
      </c>
      <c r="G35">
        <f>IF(COUNTIFS(Factory_Components!$A$2:$A$61,VLOOKUP(A35,Runs!$A$2:$B$9,2,FALSE()),Factory_Components!$B$2:$B$61,"a",Factory_Components!$D$2:$D$61,F35)&gt;0,1,0)</f>
        <v>1</v>
      </c>
    </row>
    <row r="36" spans="1:7" ht="15" customHeight="1" x14ac:dyDescent="0.25">
      <c r="A36" t="s">
        <v>1</v>
      </c>
      <c r="B36" t="s">
        <v>445</v>
      </c>
      <c r="C36" t="s">
        <v>347</v>
      </c>
      <c r="D36" t="s">
        <v>446</v>
      </c>
      <c r="E36" t="str">
        <f t="shared" si="0"/>
        <v>FT</v>
      </c>
      <c r="F36" t="str">
        <f t="shared" si="1"/>
        <v>FT</v>
      </c>
      <c r="G36">
        <f>IF(COUNTIFS(Factory_Components!$A$2:$A$61,VLOOKUP(A36,Runs!$A$2:$B$9,2,FALSE()),Factory_Components!$B$2:$B$61,"a",Factory_Components!$D$2:$D$61,F36)&gt;0,1,0)</f>
        <v>1</v>
      </c>
    </row>
    <row r="37" spans="1:7" ht="15" customHeight="1" x14ac:dyDescent="0.25">
      <c r="A37" t="s">
        <v>1</v>
      </c>
      <c r="B37" t="s">
        <v>447</v>
      </c>
      <c r="C37" t="s">
        <v>347</v>
      </c>
      <c r="D37" t="s">
        <v>448</v>
      </c>
      <c r="E37" t="str">
        <f t="shared" si="0"/>
        <v>FT</v>
      </c>
      <c r="F37" t="str">
        <f t="shared" si="1"/>
        <v>FT</v>
      </c>
      <c r="G37">
        <f>IF(COUNTIFS(Factory_Components!$A$2:$A$61,VLOOKUP(A37,Runs!$A$2:$B$9,2,FALSE()),Factory_Components!$B$2:$B$61,"a",Factory_Components!$D$2:$D$61,F37)&gt;0,1,0)</f>
        <v>1</v>
      </c>
    </row>
    <row r="38" spans="1:7" ht="15" customHeight="1" x14ac:dyDescent="0.25">
      <c r="A38" t="s">
        <v>1</v>
      </c>
      <c r="B38" t="s">
        <v>449</v>
      </c>
      <c r="C38" t="s">
        <v>347</v>
      </c>
      <c r="D38" t="s">
        <v>450</v>
      </c>
      <c r="E38" t="str">
        <f t="shared" si="0"/>
        <v>BOSP</v>
      </c>
      <c r="F38" t="str">
        <f t="shared" si="1"/>
        <v>BOSP</v>
      </c>
      <c r="G38">
        <f>IF(COUNTIFS(Factory_Components!$A$2:$A$61,VLOOKUP(A38,Runs!$A$2:$B$9,2,FALSE()),Factory_Components!$B$2:$B$61,"a",Factory_Components!$D$2:$D$61,F38)&gt;0,1,0)</f>
        <v>1</v>
      </c>
    </row>
    <row r="39" spans="1:7" ht="15" customHeight="1" x14ac:dyDescent="0.25">
      <c r="A39" t="s">
        <v>1</v>
      </c>
      <c r="B39" t="s">
        <v>451</v>
      </c>
      <c r="C39" t="s">
        <v>347</v>
      </c>
      <c r="D39" t="s">
        <v>452</v>
      </c>
      <c r="E39" t="str">
        <f t="shared" si="0"/>
        <v>BOSP</v>
      </c>
      <c r="F39" t="str">
        <f t="shared" si="1"/>
        <v>BOSP</v>
      </c>
      <c r="G39">
        <f>IF(COUNTIFS(Factory_Components!$A$2:$A$61,VLOOKUP(A39,Runs!$A$2:$B$9,2,FALSE()),Factory_Components!$B$2:$B$61,"a",Factory_Components!$D$2:$D$61,F39)&gt;0,1,0)</f>
        <v>1</v>
      </c>
    </row>
    <row r="40" spans="1:7" ht="15" customHeight="1" x14ac:dyDescent="0.25">
      <c r="A40" t="s">
        <v>1</v>
      </c>
      <c r="B40" t="s">
        <v>453</v>
      </c>
      <c r="C40" t="s">
        <v>349</v>
      </c>
      <c r="D40" t="s">
        <v>454</v>
      </c>
      <c r="E40" t="str">
        <f t="shared" si="0"/>
        <v>SSA</v>
      </c>
      <c r="F40" t="str">
        <f t="shared" si="1"/>
        <v>SSA</v>
      </c>
      <c r="G40">
        <f>IF(COUNTIFS(Factory_Components!$A$2:$A$61,VLOOKUP(A40,Runs!$A$2:$B$9,2,FALSE()),Factory_Components!$B$2:$B$61,"a",Factory_Components!$D$2:$D$61,F40)&gt;0,1,0)</f>
        <v>1</v>
      </c>
    </row>
    <row r="41" spans="1:7" ht="15" customHeight="1" x14ac:dyDescent="0.25">
      <c r="A41" t="s">
        <v>1</v>
      </c>
      <c r="B41" t="s">
        <v>455</v>
      </c>
      <c r="C41" t="s">
        <v>347</v>
      </c>
      <c r="D41" t="s">
        <v>456</v>
      </c>
      <c r="E41" t="str">
        <f t="shared" si="0"/>
        <v>RT</v>
      </c>
      <c r="F41" t="str">
        <f t="shared" si="1"/>
        <v>RT</v>
      </c>
      <c r="G41">
        <f>IF(COUNTIFS(Factory_Components!$A$2:$A$61,VLOOKUP(A41,Runs!$A$2:$B$9,2,FALSE()),Factory_Components!$B$2:$B$61,"a",Factory_Components!$D$2:$D$61,F41)&gt;0,1,0)</f>
        <v>1</v>
      </c>
    </row>
    <row r="42" spans="1:7" ht="15" customHeight="1" x14ac:dyDescent="0.25">
      <c r="A42" t="s">
        <v>1</v>
      </c>
      <c r="B42" t="s">
        <v>457</v>
      </c>
      <c r="C42" t="s">
        <v>349</v>
      </c>
      <c r="D42" t="s">
        <v>458</v>
      </c>
      <c r="E42" t="str">
        <f t="shared" si="0"/>
        <v>SSA</v>
      </c>
      <c r="F42" t="str">
        <f t="shared" si="1"/>
        <v>SSA</v>
      </c>
      <c r="G42">
        <f>IF(COUNTIFS(Factory_Components!$A$2:$A$61,VLOOKUP(A42,Runs!$A$2:$B$9,2,FALSE()),Factory_Components!$B$2:$B$61,"a",Factory_Components!$D$2:$D$61,F42)&gt;0,1,0)</f>
        <v>1</v>
      </c>
    </row>
    <row r="43" spans="1:7" ht="15" customHeight="1" x14ac:dyDescent="0.25">
      <c r="A43" t="s">
        <v>1</v>
      </c>
      <c r="B43" t="s">
        <v>459</v>
      </c>
      <c r="C43" t="s">
        <v>347</v>
      </c>
      <c r="D43" t="s">
        <v>460</v>
      </c>
      <c r="E43" t="str">
        <f t="shared" si="0"/>
        <v>RT</v>
      </c>
      <c r="F43" t="str">
        <f t="shared" si="1"/>
        <v>RT</v>
      </c>
      <c r="G43">
        <f>IF(COUNTIFS(Factory_Components!$A$2:$A$61,VLOOKUP(A43,Runs!$A$2:$B$9,2,FALSE()),Factory_Components!$B$2:$B$61,"a",Factory_Components!$D$2:$D$61,F43)&gt;0,1,0)</f>
        <v>1</v>
      </c>
    </row>
    <row r="44" spans="1:7" ht="15" customHeight="1" x14ac:dyDescent="0.25">
      <c r="A44" t="s">
        <v>1</v>
      </c>
      <c r="B44" t="s">
        <v>461</v>
      </c>
      <c r="C44" t="s">
        <v>347</v>
      </c>
      <c r="D44" t="s">
        <v>462</v>
      </c>
      <c r="E44" t="str">
        <f t="shared" si="0"/>
        <v>BOSP</v>
      </c>
      <c r="F44" t="str">
        <f t="shared" si="1"/>
        <v>BOSP</v>
      </c>
      <c r="G44">
        <f>IF(COUNTIFS(Factory_Components!$A$2:$A$61,VLOOKUP(A44,Runs!$A$2:$B$9,2,FALSE()),Factory_Components!$B$2:$B$61,"a",Factory_Components!$D$2:$D$61,F44)&gt;0,1,0)</f>
        <v>1</v>
      </c>
    </row>
    <row r="45" spans="1:7" ht="15" customHeight="1" x14ac:dyDescent="0.25">
      <c r="A45" t="s">
        <v>1</v>
      </c>
      <c r="B45" t="s">
        <v>463</v>
      </c>
      <c r="C45" t="s">
        <v>349</v>
      </c>
      <c r="D45" t="s">
        <v>464</v>
      </c>
      <c r="E45" t="str">
        <f t="shared" si="0"/>
        <v>BSA</v>
      </c>
      <c r="F45" t="str">
        <f t="shared" si="1"/>
        <v>BSA</v>
      </c>
      <c r="G45">
        <f>IF(COUNTIFS(Factory_Components!$A$2:$A$61,VLOOKUP(A45,Runs!$A$2:$B$9,2,FALSE()),Factory_Components!$B$2:$B$61,"a",Factory_Components!$D$2:$D$61,F45)&gt;0,1,0)</f>
        <v>1</v>
      </c>
    </row>
    <row r="46" spans="1:7" ht="15" customHeight="1" x14ac:dyDescent="0.25">
      <c r="A46" t="s">
        <v>1</v>
      </c>
      <c r="B46" t="s">
        <v>465</v>
      </c>
      <c r="C46" t="s">
        <v>347</v>
      </c>
      <c r="D46" t="s">
        <v>466</v>
      </c>
      <c r="E46" t="str">
        <f t="shared" si="0"/>
        <v>BOSP</v>
      </c>
      <c r="F46" t="str">
        <f t="shared" si="1"/>
        <v>BOSP</v>
      </c>
      <c r="G46">
        <f>IF(COUNTIFS(Factory_Components!$A$2:$A$61,VLOOKUP(A46,Runs!$A$2:$B$9,2,FALSE()),Factory_Components!$B$2:$B$61,"a",Factory_Components!$D$2:$D$61,F46)&gt;0,1,0)</f>
        <v>1</v>
      </c>
    </row>
    <row r="47" spans="1:7" ht="15" customHeight="1" x14ac:dyDescent="0.25">
      <c r="A47" t="s">
        <v>1</v>
      </c>
      <c r="B47" t="s">
        <v>467</v>
      </c>
      <c r="C47" t="s">
        <v>349</v>
      </c>
      <c r="D47" t="s">
        <v>468</v>
      </c>
      <c r="E47" t="str">
        <f t="shared" si="0"/>
        <v>BSA</v>
      </c>
      <c r="F47" t="str">
        <f t="shared" si="1"/>
        <v>BSA</v>
      </c>
      <c r="G47">
        <f>IF(COUNTIFS(Factory_Components!$A$2:$A$61,VLOOKUP(A47,Runs!$A$2:$B$9,2,FALSE()),Factory_Components!$B$2:$B$61,"a",Factory_Components!$D$2:$D$61,F47)&gt;0,1,0)</f>
        <v>1</v>
      </c>
    </row>
    <row r="48" spans="1:7" ht="15" customHeight="1" x14ac:dyDescent="0.25">
      <c r="A48" t="s">
        <v>1</v>
      </c>
      <c r="B48" t="s">
        <v>469</v>
      </c>
      <c r="C48" t="s">
        <v>349</v>
      </c>
      <c r="D48" t="s">
        <v>470</v>
      </c>
      <c r="E48" t="str">
        <f t="shared" si="0"/>
        <v>CSEB-NABS</v>
      </c>
      <c r="F48" t="str">
        <f t="shared" si="1"/>
        <v>CSEB-NABS</v>
      </c>
      <c r="G48">
        <f>IF(COUNTIFS(Factory_Components!$A$2:$A$61,VLOOKUP(A48,Runs!$A$2:$B$9,2,FALSE()),Factory_Components!$B$2:$B$61,"a",Factory_Components!$D$2:$D$61,F48)&gt;0,1,0)</f>
        <v>0</v>
      </c>
    </row>
    <row r="49" spans="1:7" ht="15" customHeight="1" x14ac:dyDescent="0.25">
      <c r="A49" t="s">
        <v>1</v>
      </c>
      <c r="B49" t="s">
        <v>471</v>
      </c>
      <c r="C49" t="s">
        <v>347</v>
      </c>
      <c r="D49" t="s">
        <v>472</v>
      </c>
      <c r="E49" t="str">
        <f t="shared" si="0"/>
        <v>RT</v>
      </c>
      <c r="F49" t="str">
        <f t="shared" si="1"/>
        <v>RT</v>
      </c>
      <c r="G49">
        <f>IF(COUNTIFS(Factory_Components!$A$2:$A$61,VLOOKUP(A49,Runs!$A$2:$B$9,2,FALSE()),Factory_Components!$B$2:$B$61,"a",Factory_Components!$D$2:$D$61,F49)&gt;0,1,0)</f>
        <v>1</v>
      </c>
    </row>
    <row r="50" spans="1:7" ht="15" customHeight="1" x14ac:dyDescent="0.25">
      <c r="A50" t="s">
        <v>1</v>
      </c>
      <c r="B50" t="s">
        <v>473</v>
      </c>
      <c r="C50" t="s">
        <v>348</v>
      </c>
      <c r="D50" t="s">
        <v>474</v>
      </c>
      <c r="E50" t="str">
        <f t="shared" si="0"/>
        <v>CORE</v>
      </c>
      <c r="F50" t="str">
        <f t="shared" si="1"/>
        <v>CHS</v>
      </c>
      <c r="G50">
        <f>IF(COUNTIFS(Factory_Components!$A$2:$A$61,VLOOKUP(A50,Runs!$A$2:$B$9,2,FALSE()),Factory_Components!$B$2:$B$61,"a",Factory_Components!$D$2:$D$61,F50)&gt;0,1,0)</f>
        <v>1</v>
      </c>
    </row>
    <row r="51" spans="1:7" ht="15" customHeight="1" x14ac:dyDescent="0.25">
      <c r="A51" t="s">
        <v>1</v>
      </c>
      <c r="B51" t="s">
        <v>475</v>
      </c>
      <c r="C51" t="s">
        <v>347</v>
      </c>
      <c r="D51" t="s">
        <v>476</v>
      </c>
      <c r="E51" t="str">
        <f t="shared" si="0"/>
        <v>RT</v>
      </c>
      <c r="F51" t="str">
        <f t="shared" si="1"/>
        <v>RT</v>
      </c>
      <c r="G51">
        <f>IF(COUNTIFS(Factory_Components!$A$2:$A$61,VLOOKUP(A51,Runs!$A$2:$B$9,2,FALSE()),Factory_Components!$B$2:$B$61,"a",Factory_Components!$D$2:$D$61,F51)&gt;0,1,0)</f>
        <v>1</v>
      </c>
    </row>
    <row r="52" spans="1:7" ht="15" customHeight="1" x14ac:dyDescent="0.25">
      <c r="A52" t="s">
        <v>1</v>
      </c>
      <c r="B52" t="s">
        <v>477</v>
      </c>
      <c r="C52" t="s">
        <v>347</v>
      </c>
      <c r="D52" t="s">
        <v>478</v>
      </c>
      <c r="E52" t="str">
        <f t="shared" si="0"/>
        <v>BOSP</v>
      </c>
      <c r="F52" t="str">
        <f t="shared" si="1"/>
        <v>BOSP</v>
      </c>
      <c r="G52">
        <f>IF(COUNTIFS(Factory_Components!$A$2:$A$61,VLOOKUP(A52,Runs!$A$2:$B$9,2,FALSE()),Factory_Components!$B$2:$B$61,"a",Factory_Components!$D$2:$D$61,F52)&gt;0,1,0)</f>
        <v>1</v>
      </c>
    </row>
    <row r="53" spans="1:7" ht="15" customHeight="1" x14ac:dyDescent="0.25">
      <c r="A53" t="s">
        <v>1</v>
      </c>
      <c r="B53" t="s">
        <v>479</v>
      </c>
      <c r="C53" t="s">
        <v>349</v>
      </c>
      <c r="D53" t="s">
        <v>480</v>
      </c>
      <c r="E53" t="str">
        <f t="shared" si="0"/>
        <v>BSA</v>
      </c>
      <c r="F53" t="str">
        <f t="shared" si="1"/>
        <v>BSA</v>
      </c>
      <c r="G53">
        <f>IF(COUNTIFS(Factory_Components!$A$2:$A$61,VLOOKUP(A53,Runs!$A$2:$B$9,2,FALSE()),Factory_Components!$B$2:$B$61,"a",Factory_Components!$D$2:$D$61,F53)&gt;0,1,0)</f>
        <v>1</v>
      </c>
    </row>
    <row r="54" spans="1:7" ht="15" customHeight="1" x14ac:dyDescent="0.25">
      <c r="A54" t="s">
        <v>1</v>
      </c>
      <c r="B54" t="s">
        <v>481</v>
      </c>
      <c r="C54" t="s">
        <v>347</v>
      </c>
      <c r="D54" t="s">
        <v>482</v>
      </c>
      <c r="E54" t="str">
        <f t="shared" si="0"/>
        <v>BOSP</v>
      </c>
      <c r="F54" t="str">
        <f t="shared" si="1"/>
        <v>BOSP</v>
      </c>
      <c r="G54">
        <f>IF(COUNTIFS(Factory_Components!$A$2:$A$61,VLOOKUP(A54,Runs!$A$2:$B$9,2,FALSE()),Factory_Components!$B$2:$B$61,"a",Factory_Components!$D$2:$D$61,F54)&gt;0,1,0)</f>
        <v>1</v>
      </c>
    </row>
    <row r="55" spans="1:7" ht="15" customHeight="1" x14ac:dyDescent="0.25">
      <c r="A55" t="s">
        <v>1</v>
      </c>
      <c r="B55" t="s">
        <v>483</v>
      </c>
      <c r="C55" t="s">
        <v>349</v>
      </c>
      <c r="D55" t="s">
        <v>484</v>
      </c>
      <c r="E55" t="str">
        <f t="shared" si="0"/>
        <v>BSA</v>
      </c>
      <c r="F55" t="str">
        <f t="shared" si="1"/>
        <v>BSA</v>
      </c>
      <c r="G55">
        <f>IF(COUNTIFS(Factory_Components!$A$2:$A$61,VLOOKUP(A55,Runs!$A$2:$B$9,2,FALSE()),Factory_Components!$B$2:$B$61,"a",Factory_Components!$D$2:$D$61,F55)&gt;0,1,0)</f>
        <v>1</v>
      </c>
    </row>
    <row r="56" spans="1:7" ht="15" customHeight="1" x14ac:dyDescent="0.25">
      <c r="A56" t="s">
        <v>1</v>
      </c>
      <c r="B56" t="s">
        <v>485</v>
      </c>
      <c r="C56" t="s">
        <v>349</v>
      </c>
      <c r="D56" t="s">
        <v>486</v>
      </c>
      <c r="E56" t="str">
        <f t="shared" si="0"/>
        <v>RAX_RD</v>
      </c>
      <c r="F56" t="str">
        <f t="shared" si="1"/>
        <v>RAX_RD</v>
      </c>
      <c r="G56">
        <f>IF(COUNTIFS(Factory_Components!$A$2:$A$61,VLOOKUP(A56,Runs!$A$2:$B$9,2,FALSE()),Factory_Components!$B$2:$B$61,"a",Factory_Components!$D$2:$D$61,F56)&gt;0,1,0)</f>
        <v>0</v>
      </c>
    </row>
    <row r="57" spans="1:7" ht="15" customHeight="1" x14ac:dyDescent="0.25">
      <c r="A57" t="s">
        <v>1</v>
      </c>
      <c r="B57" t="s">
        <v>487</v>
      </c>
      <c r="C57" t="s">
        <v>348</v>
      </c>
      <c r="D57" t="s">
        <v>488</v>
      </c>
      <c r="E57" t="str">
        <f t="shared" si="0"/>
        <v>CORE</v>
      </c>
      <c r="F57" t="str">
        <f t="shared" si="1"/>
        <v>CHS</v>
      </c>
      <c r="G57">
        <f>IF(COUNTIFS(Factory_Components!$A$2:$A$61,VLOOKUP(A57,Runs!$A$2:$B$9,2,FALSE()),Factory_Components!$B$2:$B$61,"a",Factory_Components!$D$2:$D$61,F57)&gt;0,1,0)</f>
        <v>1</v>
      </c>
    </row>
    <row r="58" spans="1:7" ht="15" customHeight="1" x14ac:dyDescent="0.25">
      <c r="A58" t="s">
        <v>1</v>
      </c>
      <c r="B58" t="s">
        <v>489</v>
      </c>
      <c r="C58" t="s">
        <v>347</v>
      </c>
      <c r="D58" t="s">
        <v>490</v>
      </c>
      <c r="E58" t="str">
        <f t="shared" si="0"/>
        <v>BAT</v>
      </c>
      <c r="F58" t="str">
        <f t="shared" si="1"/>
        <v>BAT</v>
      </c>
      <c r="G58">
        <f>IF(COUNTIFS(Factory_Components!$A$2:$A$61,VLOOKUP(A58,Runs!$A$2:$B$9,2,FALSE()),Factory_Components!$B$2:$B$61,"a",Factory_Components!$D$2:$D$61,F58)&gt;0,1,0)</f>
        <v>1</v>
      </c>
    </row>
    <row r="59" spans="1:7" ht="15" customHeight="1" x14ac:dyDescent="0.25">
      <c r="A59" t="s">
        <v>1</v>
      </c>
      <c r="B59" t="s">
        <v>491</v>
      </c>
      <c r="C59" t="s">
        <v>349</v>
      </c>
      <c r="D59" t="s">
        <v>492</v>
      </c>
      <c r="E59" t="str">
        <f t="shared" si="0"/>
        <v>BSA</v>
      </c>
      <c r="F59" t="str">
        <f t="shared" si="1"/>
        <v>BSA</v>
      </c>
      <c r="G59">
        <f>IF(COUNTIFS(Factory_Components!$A$2:$A$61,VLOOKUP(A59,Runs!$A$2:$B$9,2,FALSE()),Factory_Components!$B$2:$B$61,"a",Factory_Components!$D$2:$D$61,F59)&gt;0,1,0)</f>
        <v>1</v>
      </c>
    </row>
    <row r="60" spans="1:7" ht="15" customHeight="1" x14ac:dyDescent="0.25">
      <c r="A60" t="s">
        <v>1</v>
      </c>
      <c r="B60" t="s">
        <v>493</v>
      </c>
      <c r="C60" t="s">
        <v>347</v>
      </c>
      <c r="D60" t="s">
        <v>494</v>
      </c>
      <c r="E60" t="str">
        <f t="shared" si="0"/>
        <v>RT</v>
      </c>
      <c r="F60" t="str">
        <f t="shared" si="1"/>
        <v>RT</v>
      </c>
      <c r="G60">
        <f>IF(COUNTIFS(Factory_Components!$A$2:$A$61,VLOOKUP(A60,Runs!$A$2:$B$9,2,FALSE()),Factory_Components!$B$2:$B$61,"a",Factory_Components!$D$2:$D$61,F60)&gt;0,1,0)</f>
        <v>1</v>
      </c>
    </row>
    <row r="61" spans="1:7" ht="15" customHeight="1" x14ac:dyDescent="0.25">
      <c r="A61" t="s">
        <v>1</v>
      </c>
      <c r="B61" t="s">
        <v>495</v>
      </c>
      <c r="C61" t="s">
        <v>347</v>
      </c>
      <c r="D61" t="s">
        <v>496</v>
      </c>
      <c r="E61" t="str">
        <f t="shared" si="0"/>
        <v>RT</v>
      </c>
      <c r="F61" t="str">
        <f t="shared" si="1"/>
        <v>RT</v>
      </c>
      <c r="G61">
        <f>IF(COUNTIFS(Factory_Components!$A$2:$A$61,VLOOKUP(A61,Runs!$A$2:$B$9,2,FALSE()),Factory_Components!$B$2:$B$61,"a",Factory_Components!$D$2:$D$61,F61)&gt;0,1,0)</f>
        <v>1</v>
      </c>
    </row>
    <row r="62" spans="1:7" ht="15" customHeight="1" x14ac:dyDescent="0.25">
      <c r="A62" t="s">
        <v>1</v>
      </c>
      <c r="B62" t="s">
        <v>497</v>
      </c>
      <c r="C62" t="s">
        <v>349</v>
      </c>
      <c r="D62" t="s">
        <v>498</v>
      </c>
      <c r="E62" t="str">
        <f t="shared" si="0"/>
        <v>BSA</v>
      </c>
      <c r="F62" t="str">
        <f t="shared" si="1"/>
        <v>BSA</v>
      </c>
      <c r="G62">
        <f>IF(COUNTIFS(Factory_Components!$A$2:$A$61,VLOOKUP(A62,Runs!$A$2:$B$9,2,FALSE()),Factory_Components!$B$2:$B$61,"a",Factory_Components!$D$2:$D$61,F62)&gt;0,1,0)</f>
        <v>1</v>
      </c>
    </row>
    <row r="63" spans="1:7" ht="15" customHeight="1" x14ac:dyDescent="0.25">
      <c r="A63" t="s">
        <v>1</v>
      </c>
      <c r="B63" t="s">
        <v>499</v>
      </c>
      <c r="C63" t="s">
        <v>349</v>
      </c>
      <c r="D63" t="s">
        <v>500</v>
      </c>
      <c r="E63" t="str">
        <f t="shared" si="0"/>
        <v>RAX_RD</v>
      </c>
      <c r="F63" t="str">
        <f t="shared" si="1"/>
        <v>RAX_RD</v>
      </c>
      <c r="G63">
        <f>IF(COUNTIFS(Factory_Components!$A$2:$A$61,VLOOKUP(A63,Runs!$A$2:$B$9,2,FALSE()),Factory_Components!$B$2:$B$61,"a",Factory_Components!$D$2:$D$61,F63)&gt;0,1,0)</f>
        <v>0</v>
      </c>
    </row>
    <row r="64" spans="1:7" ht="15" customHeight="1" x14ac:dyDescent="0.25">
      <c r="A64" t="s">
        <v>1</v>
      </c>
      <c r="B64" t="s">
        <v>501</v>
      </c>
      <c r="C64" t="s">
        <v>347</v>
      </c>
      <c r="D64" t="s">
        <v>502</v>
      </c>
      <c r="E64" t="str">
        <f t="shared" si="0"/>
        <v>FT</v>
      </c>
      <c r="F64" t="str">
        <f t="shared" si="1"/>
        <v>FT</v>
      </c>
      <c r="G64">
        <f>IF(COUNTIFS(Factory_Components!$A$2:$A$61,VLOOKUP(A64,Runs!$A$2:$B$9,2,FALSE()),Factory_Components!$B$2:$B$61,"a",Factory_Components!$D$2:$D$61,F64)&gt;0,1,0)</f>
        <v>1</v>
      </c>
    </row>
    <row r="65" spans="1:7" ht="15" customHeight="1" x14ac:dyDescent="0.25">
      <c r="A65" t="s">
        <v>1</v>
      </c>
      <c r="B65" t="s">
        <v>503</v>
      </c>
      <c r="C65" t="s">
        <v>347</v>
      </c>
      <c r="D65" t="s">
        <v>504</v>
      </c>
      <c r="E65" t="str">
        <f t="shared" si="0"/>
        <v>FT</v>
      </c>
      <c r="F65" t="str">
        <f t="shared" si="1"/>
        <v>FT</v>
      </c>
      <c r="G65">
        <f>IF(COUNTIFS(Factory_Components!$A$2:$A$61,VLOOKUP(A65,Runs!$A$2:$B$9,2,FALSE()),Factory_Components!$B$2:$B$61,"a",Factory_Components!$D$2:$D$61,F65)&gt;0,1,0)</f>
        <v>1</v>
      </c>
    </row>
    <row r="66" spans="1:7" ht="15" customHeight="1" x14ac:dyDescent="0.25">
      <c r="A66" t="s">
        <v>1</v>
      </c>
      <c r="B66" t="s">
        <v>505</v>
      </c>
      <c r="C66" t="s">
        <v>347</v>
      </c>
      <c r="D66" t="s">
        <v>506</v>
      </c>
      <c r="E66" t="str">
        <f t="shared" ref="E66:E129" si="2">IF(ISNUMBER(--RIGHT(B66,1)),MID(B66,10,LEN(B66)-11),MID(B66,10,100))</f>
        <v>CRE</v>
      </c>
      <c r="F66" t="str">
        <f t="shared" ref="F66:F129" si="3">IF(E66="CORE","CHS",E66)</f>
        <v>CRE</v>
      </c>
      <c r="G66">
        <f>IF(COUNTIFS(Factory_Components!$A$2:$A$61,VLOOKUP(A66,Runs!$A$2:$B$9,2,FALSE()),Factory_Components!$B$2:$B$61,"a",Factory_Components!$D$2:$D$61,F66)&gt;0,1,0)</f>
        <v>0</v>
      </c>
    </row>
    <row r="67" spans="1:7" ht="15" customHeight="1" x14ac:dyDescent="0.25">
      <c r="A67" t="s">
        <v>1</v>
      </c>
      <c r="B67" t="s">
        <v>507</v>
      </c>
      <c r="C67" t="s">
        <v>347</v>
      </c>
      <c r="D67" t="s">
        <v>508</v>
      </c>
      <c r="E67" t="str">
        <f t="shared" si="2"/>
        <v>BOSP</v>
      </c>
      <c r="F67" t="str">
        <f t="shared" si="3"/>
        <v>BOSP</v>
      </c>
      <c r="G67">
        <f>IF(COUNTIFS(Factory_Components!$A$2:$A$61,VLOOKUP(A67,Runs!$A$2:$B$9,2,FALSE()),Factory_Components!$B$2:$B$61,"a",Factory_Components!$D$2:$D$61,F67)&gt;0,1,0)</f>
        <v>1</v>
      </c>
    </row>
    <row r="68" spans="1:7" ht="15" customHeight="1" x14ac:dyDescent="0.25">
      <c r="A68" t="s">
        <v>1</v>
      </c>
      <c r="B68" t="s">
        <v>509</v>
      </c>
      <c r="C68" t="s">
        <v>347</v>
      </c>
      <c r="D68" t="s">
        <v>510</v>
      </c>
      <c r="E68" t="str">
        <f t="shared" si="2"/>
        <v>BOSP</v>
      </c>
      <c r="F68" t="str">
        <f t="shared" si="3"/>
        <v>BOSP</v>
      </c>
      <c r="G68">
        <f>IF(COUNTIFS(Factory_Components!$A$2:$A$61,VLOOKUP(A68,Runs!$A$2:$B$9,2,FALSE()),Factory_Components!$B$2:$B$61,"a",Factory_Components!$D$2:$D$61,F68)&gt;0,1,0)</f>
        <v>1</v>
      </c>
    </row>
    <row r="69" spans="1:7" ht="15" customHeight="1" x14ac:dyDescent="0.25">
      <c r="A69" t="s">
        <v>1</v>
      </c>
      <c r="B69" t="s">
        <v>511</v>
      </c>
      <c r="C69" t="s">
        <v>347</v>
      </c>
      <c r="D69" t="s">
        <v>512</v>
      </c>
      <c r="E69" t="str">
        <f t="shared" si="2"/>
        <v>RT</v>
      </c>
      <c r="F69" t="str">
        <f t="shared" si="3"/>
        <v>RT</v>
      </c>
      <c r="G69">
        <f>IF(COUNTIFS(Factory_Components!$A$2:$A$61,VLOOKUP(A69,Runs!$A$2:$B$9,2,FALSE()),Factory_Components!$B$2:$B$61,"a",Factory_Components!$D$2:$D$61,F69)&gt;0,1,0)</f>
        <v>1</v>
      </c>
    </row>
    <row r="70" spans="1:7" ht="15" customHeight="1" x14ac:dyDescent="0.25">
      <c r="A70" t="s">
        <v>1</v>
      </c>
      <c r="B70" t="s">
        <v>513</v>
      </c>
      <c r="C70" t="s">
        <v>347</v>
      </c>
      <c r="D70" t="s">
        <v>514</v>
      </c>
      <c r="E70" t="str">
        <f t="shared" si="2"/>
        <v>RT</v>
      </c>
      <c r="F70" t="str">
        <f t="shared" si="3"/>
        <v>RT</v>
      </c>
      <c r="G70">
        <f>IF(COUNTIFS(Factory_Components!$A$2:$A$61,VLOOKUP(A70,Runs!$A$2:$B$9,2,FALSE()),Factory_Components!$B$2:$B$61,"a",Factory_Components!$D$2:$D$61,F70)&gt;0,1,0)</f>
        <v>1</v>
      </c>
    </row>
    <row r="71" spans="1:7" ht="15" customHeight="1" x14ac:dyDescent="0.25">
      <c r="A71" t="s">
        <v>1</v>
      </c>
      <c r="B71" t="s">
        <v>515</v>
      </c>
      <c r="C71" t="s">
        <v>347</v>
      </c>
      <c r="D71" t="s">
        <v>516</v>
      </c>
      <c r="E71" t="str">
        <f t="shared" si="2"/>
        <v>RT</v>
      </c>
      <c r="F71" t="str">
        <f t="shared" si="3"/>
        <v>RT</v>
      </c>
      <c r="G71">
        <f>IF(COUNTIFS(Factory_Components!$A$2:$A$61,VLOOKUP(A71,Runs!$A$2:$B$9,2,FALSE()),Factory_Components!$B$2:$B$61,"a",Factory_Components!$D$2:$D$61,F71)&gt;0,1,0)</f>
        <v>1</v>
      </c>
    </row>
    <row r="72" spans="1:7" ht="15" customHeight="1" x14ac:dyDescent="0.25">
      <c r="A72" t="s">
        <v>1</v>
      </c>
      <c r="B72" t="s">
        <v>517</v>
      </c>
      <c r="C72" t="s">
        <v>347</v>
      </c>
      <c r="D72" t="s">
        <v>518</v>
      </c>
      <c r="E72" t="str">
        <f t="shared" si="2"/>
        <v>RT</v>
      </c>
      <c r="F72" t="str">
        <f t="shared" si="3"/>
        <v>RT</v>
      </c>
      <c r="G72">
        <f>IF(COUNTIFS(Factory_Components!$A$2:$A$61,VLOOKUP(A72,Runs!$A$2:$B$9,2,FALSE()),Factory_Components!$B$2:$B$61,"a",Factory_Components!$D$2:$D$61,F72)&gt;0,1,0)</f>
        <v>1</v>
      </c>
    </row>
    <row r="73" spans="1:7" ht="15" customHeight="1" x14ac:dyDescent="0.25">
      <c r="A73" t="s">
        <v>1</v>
      </c>
      <c r="B73" t="s">
        <v>519</v>
      </c>
      <c r="C73" t="s">
        <v>347</v>
      </c>
      <c r="D73" t="s">
        <v>520</v>
      </c>
      <c r="E73" t="str">
        <f t="shared" si="2"/>
        <v>FT</v>
      </c>
      <c r="F73" t="str">
        <f t="shared" si="3"/>
        <v>FT</v>
      </c>
      <c r="G73">
        <f>IF(COUNTIFS(Factory_Components!$A$2:$A$61,VLOOKUP(A73,Runs!$A$2:$B$9,2,FALSE()),Factory_Components!$B$2:$B$61,"a",Factory_Components!$D$2:$D$61,F73)&gt;0,1,0)</f>
        <v>1</v>
      </c>
    </row>
    <row r="74" spans="1:7" ht="15" customHeight="1" x14ac:dyDescent="0.25">
      <c r="A74" t="s">
        <v>1</v>
      </c>
      <c r="B74" t="s">
        <v>521</v>
      </c>
      <c r="C74" t="s">
        <v>348</v>
      </c>
      <c r="D74" t="s">
        <v>522</v>
      </c>
      <c r="E74" t="str">
        <f t="shared" si="2"/>
        <v>CORE</v>
      </c>
      <c r="F74" t="str">
        <f t="shared" si="3"/>
        <v>CHS</v>
      </c>
      <c r="G74">
        <f>IF(COUNTIFS(Factory_Components!$A$2:$A$61,VLOOKUP(A74,Runs!$A$2:$B$9,2,FALSE()),Factory_Components!$B$2:$B$61,"a",Factory_Components!$D$2:$D$61,F74)&gt;0,1,0)</f>
        <v>1</v>
      </c>
    </row>
    <row r="75" spans="1:7" ht="15" customHeight="1" x14ac:dyDescent="0.25">
      <c r="A75" t="s">
        <v>1</v>
      </c>
      <c r="B75" t="s">
        <v>523</v>
      </c>
      <c r="C75" t="s">
        <v>347</v>
      </c>
      <c r="D75" t="s">
        <v>524</v>
      </c>
      <c r="E75" t="str">
        <f t="shared" si="2"/>
        <v>FT</v>
      </c>
      <c r="F75" t="str">
        <f t="shared" si="3"/>
        <v>FT</v>
      </c>
      <c r="G75">
        <f>IF(COUNTIFS(Factory_Components!$A$2:$A$61,VLOOKUP(A75,Runs!$A$2:$B$9,2,FALSE()),Factory_Components!$B$2:$B$61,"a",Factory_Components!$D$2:$D$61,F75)&gt;0,1,0)</f>
        <v>1</v>
      </c>
    </row>
    <row r="76" spans="1:7" ht="15" customHeight="1" x14ac:dyDescent="0.25">
      <c r="A76" t="s">
        <v>1</v>
      </c>
      <c r="B76" t="s">
        <v>525</v>
      </c>
      <c r="C76" t="s">
        <v>349</v>
      </c>
      <c r="D76" t="s">
        <v>526</v>
      </c>
      <c r="E76" t="str">
        <f t="shared" si="2"/>
        <v>BSA</v>
      </c>
      <c r="F76" t="str">
        <f t="shared" si="3"/>
        <v>BSA</v>
      </c>
      <c r="G76">
        <f>IF(COUNTIFS(Factory_Components!$A$2:$A$61,VLOOKUP(A76,Runs!$A$2:$B$9,2,FALSE()),Factory_Components!$B$2:$B$61,"a",Factory_Components!$D$2:$D$61,F76)&gt;0,1,0)</f>
        <v>1</v>
      </c>
    </row>
    <row r="77" spans="1:7" ht="15" customHeight="1" x14ac:dyDescent="0.25">
      <c r="A77" t="s">
        <v>1</v>
      </c>
      <c r="B77" t="s">
        <v>527</v>
      </c>
      <c r="C77" t="s">
        <v>349</v>
      </c>
      <c r="D77" t="s">
        <v>528</v>
      </c>
      <c r="E77" t="str">
        <f t="shared" si="2"/>
        <v>BSA</v>
      </c>
      <c r="F77" t="str">
        <f t="shared" si="3"/>
        <v>BSA</v>
      </c>
      <c r="G77">
        <f>IF(COUNTIFS(Factory_Components!$A$2:$A$61,VLOOKUP(A77,Runs!$A$2:$B$9,2,FALSE()),Factory_Components!$B$2:$B$61,"a",Factory_Components!$D$2:$D$61,F77)&gt;0,1,0)</f>
        <v>1</v>
      </c>
    </row>
    <row r="78" spans="1:7" ht="15" customHeight="1" x14ac:dyDescent="0.25">
      <c r="A78" t="s">
        <v>1</v>
      </c>
      <c r="B78" t="s">
        <v>529</v>
      </c>
      <c r="C78" t="s">
        <v>349</v>
      </c>
      <c r="D78" t="s">
        <v>530</v>
      </c>
      <c r="E78" t="str">
        <f t="shared" si="2"/>
        <v>RAX_RD</v>
      </c>
      <c r="F78" t="str">
        <f t="shared" si="3"/>
        <v>RAX_RD</v>
      </c>
      <c r="G78">
        <f>IF(COUNTIFS(Factory_Components!$A$2:$A$61,VLOOKUP(A78,Runs!$A$2:$B$9,2,FALSE()),Factory_Components!$B$2:$B$61,"a",Factory_Components!$D$2:$D$61,F78)&gt;0,1,0)</f>
        <v>0</v>
      </c>
    </row>
    <row r="79" spans="1:7" ht="15" customHeight="1" x14ac:dyDescent="0.25">
      <c r="A79" t="s">
        <v>1</v>
      </c>
      <c r="B79" t="s">
        <v>531</v>
      </c>
      <c r="C79" t="s">
        <v>349</v>
      </c>
      <c r="D79" t="s">
        <v>532</v>
      </c>
      <c r="E79" t="str">
        <f t="shared" si="2"/>
        <v>SSA</v>
      </c>
      <c r="F79" t="str">
        <f t="shared" si="3"/>
        <v>SSA</v>
      </c>
      <c r="G79">
        <f>IF(COUNTIFS(Factory_Components!$A$2:$A$61,VLOOKUP(A79,Runs!$A$2:$B$9,2,FALSE()),Factory_Components!$B$2:$B$61,"a",Factory_Components!$D$2:$D$61,F79)&gt;0,1,0)</f>
        <v>1</v>
      </c>
    </row>
    <row r="80" spans="1:7" ht="15" customHeight="1" x14ac:dyDescent="0.25">
      <c r="A80" t="s">
        <v>2</v>
      </c>
      <c r="B80" t="s">
        <v>377</v>
      </c>
      <c r="C80" t="s">
        <v>350</v>
      </c>
      <c r="D80" t="s">
        <v>533</v>
      </c>
      <c r="E80" t="str">
        <f t="shared" si="2"/>
        <v>BOSP</v>
      </c>
      <c r="F80" t="str">
        <f t="shared" si="3"/>
        <v>BOSP</v>
      </c>
      <c r="G80">
        <f>IF(COUNTIFS(Factory_Components!$A$2:$A$61,VLOOKUP(A80,Runs!$A$2:$B$9,2,FALSE()),Factory_Components!$B$2:$B$61,"a",Factory_Components!$D$2:$D$61,F80)&gt;0,1,0)</f>
        <v>1</v>
      </c>
    </row>
    <row r="81" spans="1:7" ht="15" customHeight="1" x14ac:dyDescent="0.25">
      <c r="A81" t="s">
        <v>2</v>
      </c>
      <c r="B81" t="s">
        <v>379</v>
      </c>
      <c r="C81" t="s">
        <v>350</v>
      </c>
      <c r="D81" t="s">
        <v>534</v>
      </c>
      <c r="E81" t="str">
        <f t="shared" si="2"/>
        <v>BOSP</v>
      </c>
      <c r="F81" t="str">
        <f t="shared" si="3"/>
        <v>BOSP</v>
      </c>
      <c r="G81">
        <f>IF(COUNTIFS(Factory_Components!$A$2:$A$61,VLOOKUP(A81,Runs!$A$2:$B$9,2,FALSE()),Factory_Components!$B$2:$B$61,"a",Factory_Components!$D$2:$D$61,F81)&gt;0,1,0)</f>
        <v>1</v>
      </c>
    </row>
    <row r="82" spans="1:7" ht="15" customHeight="1" x14ac:dyDescent="0.25">
      <c r="A82" t="s">
        <v>2</v>
      </c>
      <c r="B82" t="s">
        <v>385</v>
      </c>
      <c r="C82" t="s">
        <v>351</v>
      </c>
      <c r="D82" t="s">
        <v>535</v>
      </c>
      <c r="E82" t="str">
        <f t="shared" si="2"/>
        <v>BOSP</v>
      </c>
      <c r="F82" t="str">
        <f t="shared" si="3"/>
        <v>BOSP</v>
      </c>
      <c r="G82">
        <f>IF(COUNTIFS(Factory_Components!$A$2:$A$61,VLOOKUP(A82,Runs!$A$2:$B$9,2,FALSE()),Factory_Components!$B$2:$B$61,"a",Factory_Components!$D$2:$D$61,F82)&gt;0,1,0)</f>
        <v>1</v>
      </c>
    </row>
    <row r="83" spans="1:7" ht="15" customHeight="1" x14ac:dyDescent="0.25">
      <c r="A83" t="s">
        <v>2</v>
      </c>
      <c r="B83" t="s">
        <v>387</v>
      </c>
      <c r="C83" t="s">
        <v>351</v>
      </c>
      <c r="D83" t="s">
        <v>536</v>
      </c>
      <c r="E83" t="str">
        <f t="shared" si="2"/>
        <v>BOSP</v>
      </c>
      <c r="F83" t="str">
        <f t="shared" si="3"/>
        <v>BOSP</v>
      </c>
      <c r="G83">
        <f>IF(COUNTIFS(Factory_Components!$A$2:$A$61,VLOOKUP(A83,Runs!$A$2:$B$9,2,FALSE()),Factory_Components!$B$2:$B$61,"a",Factory_Components!$D$2:$D$61,F83)&gt;0,1,0)</f>
        <v>1</v>
      </c>
    </row>
    <row r="84" spans="1:7" ht="15" customHeight="1" x14ac:dyDescent="0.25">
      <c r="A84" t="s">
        <v>2</v>
      </c>
      <c r="B84" t="s">
        <v>395</v>
      </c>
      <c r="C84" t="s">
        <v>352</v>
      </c>
      <c r="D84" t="s">
        <v>537</v>
      </c>
      <c r="E84" t="str">
        <f t="shared" si="2"/>
        <v>BOSP</v>
      </c>
      <c r="F84" t="str">
        <f t="shared" si="3"/>
        <v>BOSP</v>
      </c>
      <c r="G84">
        <f>IF(COUNTIFS(Factory_Components!$A$2:$A$61,VLOOKUP(A84,Runs!$A$2:$B$9,2,FALSE()),Factory_Components!$B$2:$B$61,"a",Factory_Components!$D$2:$D$61,F84)&gt;0,1,0)</f>
        <v>1</v>
      </c>
    </row>
    <row r="85" spans="1:7" ht="15" customHeight="1" x14ac:dyDescent="0.25">
      <c r="A85" t="s">
        <v>2</v>
      </c>
      <c r="B85" t="s">
        <v>538</v>
      </c>
      <c r="C85" t="s">
        <v>350</v>
      </c>
      <c r="D85" t="s">
        <v>539</v>
      </c>
      <c r="E85" t="str">
        <f t="shared" si="2"/>
        <v>BAT</v>
      </c>
      <c r="F85" t="str">
        <f t="shared" si="3"/>
        <v>BAT</v>
      </c>
      <c r="G85">
        <f>IF(COUNTIFS(Factory_Components!$A$2:$A$61,VLOOKUP(A85,Runs!$A$2:$B$9,2,FALSE()),Factory_Components!$B$2:$B$61,"a",Factory_Components!$D$2:$D$61,F85)&gt;0,1,0)</f>
        <v>1</v>
      </c>
    </row>
    <row r="86" spans="1:7" ht="15" customHeight="1" x14ac:dyDescent="0.25">
      <c r="A86" t="s">
        <v>2</v>
      </c>
      <c r="B86" t="s">
        <v>399</v>
      </c>
      <c r="C86" t="s">
        <v>352</v>
      </c>
      <c r="D86" t="s">
        <v>540</v>
      </c>
      <c r="E86" t="str">
        <f t="shared" si="2"/>
        <v>BOSP</v>
      </c>
      <c r="F86" t="str">
        <f t="shared" si="3"/>
        <v>BOSP</v>
      </c>
      <c r="G86">
        <f>IF(COUNTIFS(Factory_Components!$A$2:$A$61,VLOOKUP(A86,Runs!$A$2:$B$9,2,FALSE()),Factory_Components!$B$2:$B$61,"a",Factory_Components!$D$2:$D$61,F86)&gt;0,1,0)</f>
        <v>1</v>
      </c>
    </row>
    <row r="87" spans="1:7" ht="15" customHeight="1" x14ac:dyDescent="0.25">
      <c r="A87" t="s">
        <v>2</v>
      </c>
      <c r="B87" t="s">
        <v>411</v>
      </c>
      <c r="C87" t="s">
        <v>353</v>
      </c>
      <c r="D87" t="s">
        <v>541</v>
      </c>
      <c r="E87" t="str">
        <f t="shared" si="2"/>
        <v>BOSP</v>
      </c>
      <c r="F87" t="str">
        <f t="shared" si="3"/>
        <v>BOSP</v>
      </c>
      <c r="G87">
        <f>IF(COUNTIFS(Factory_Components!$A$2:$A$61,VLOOKUP(A87,Runs!$A$2:$B$9,2,FALSE()),Factory_Components!$B$2:$B$61,"a",Factory_Components!$D$2:$D$61,F87)&gt;0,1,0)</f>
        <v>1</v>
      </c>
    </row>
    <row r="88" spans="1:7" ht="15" customHeight="1" x14ac:dyDescent="0.25">
      <c r="A88" t="s">
        <v>2</v>
      </c>
      <c r="B88" t="s">
        <v>381</v>
      </c>
      <c r="C88" t="s">
        <v>350</v>
      </c>
      <c r="D88" t="s">
        <v>542</v>
      </c>
      <c r="E88" t="str">
        <f t="shared" si="2"/>
        <v>RT</v>
      </c>
      <c r="F88" t="str">
        <f t="shared" si="3"/>
        <v>RT</v>
      </c>
      <c r="G88">
        <f>IF(COUNTIFS(Factory_Components!$A$2:$A$61,VLOOKUP(A88,Runs!$A$2:$B$9,2,FALSE()),Factory_Components!$B$2:$B$61,"a",Factory_Components!$D$2:$D$61,F88)&gt;0,1,0)</f>
        <v>1</v>
      </c>
    </row>
    <row r="89" spans="1:7" ht="15" customHeight="1" x14ac:dyDescent="0.25">
      <c r="A89" t="s">
        <v>2</v>
      </c>
      <c r="B89" t="s">
        <v>543</v>
      </c>
      <c r="C89" t="s">
        <v>351</v>
      </c>
      <c r="D89" t="s">
        <v>544</v>
      </c>
      <c r="E89" t="str">
        <f t="shared" si="2"/>
        <v>BAT</v>
      </c>
      <c r="F89" t="str">
        <f t="shared" si="3"/>
        <v>BAT</v>
      </c>
      <c r="G89">
        <f>IF(COUNTIFS(Factory_Components!$A$2:$A$61,VLOOKUP(A89,Runs!$A$2:$B$9,2,FALSE()),Factory_Components!$B$2:$B$61,"a",Factory_Components!$D$2:$D$61,F89)&gt;0,1,0)</f>
        <v>1</v>
      </c>
    </row>
    <row r="90" spans="1:7" ht="15" customHeight="1" x14ac:dyDescent="0.25">
      <c r="A90" t="s">
        <v>2</v>
      </c>
      <c r="B90" t="s">
        <v>413</v>
      </c>
      <c r="C90" t="s">
        <v>353</v>
      </c>
      <c r="D90" t="s">
        <v>545</v>
      </c>
      <c r="E90" t="str">
        <f t="shared" si="2"/>
        <v>BOSP</v>
      </c>
      <c r="F90" t="str">
        <f t="shared" si="3"/>
        <v>BOSP</v>
      </c>
      <c r="G90">
        <f>IF(COUNTIFS(Factory_Components!$A$2:$A$61,VLOOKUP(A90,Runs!$A$2:$B$9,2,FALSE()),Factory_Components!$B$2:$B$61,"a",Factory_Components!$D$2:$D$61,F90)&gt;0,1,0)</f>
        <v>1</v>
      </c>
    </row>
    <row r="91" spans="1:7" ht="15" customHeight="1" x14ac:dyDescent="0.25">
      <c r="A91" t="s">
        <v>2</v>
      </c>
      <c r="B91" t="s">
        <v>383</v>
      </c>
      <c r="C91" t="s">
        <v>350</v>
      </c>
      <c r="D91" t="s">
        <v>546</v>
      </c>
      <c r="E91" t="str">
        <f t="shared" si="2"/>
        <v>RT</v>
      </c>
      <c r="F91" t="str">
        <f t="shared" si="3"/>
        <v>RT</v>
      </c>
      <c r="G91">
        <f>IF(COUNTIFS(Factory_Components!$A$2:$A$61,VLOOKUP(A91,Runs!$A$2:$B$9,2,FALSE()),Factory_Components!$B$2:$B$61,"a",Factory_Components!$D$2:$D$61,F91)&gt;0,1,0)</f>
        <v>1</v>
      </c>
    </row>
    <row r="92" spans="1:7" ht="15" customHeight="1" x14ac:dyDescent="0.25">
      <c r="A92" t="s">
        <v>2</v>
      </c>
      <c r="B92" t="s">
        <v>389</v>
      </c>
      <c r="C92" t="s">
        <v>351</v>
      </c>
      <c r="D92" t="s">
        <v>547</v>
      </c>
      <c r="E92" t="str">
        <f t="shared" si="2"/>
        <v>RT</v>
      </c>
      <c r="F92" t="str">
        <f t="shared" si="3"/>
        <v>RT</v>
      </c>
      <c r="G92">
        <f>IF(COUNTIFS(Factory_Components!$A$2:$A$61,VLOOKUP(A92,Runs!$A$2:$B$9,2,FALSE()),Factory_Components!$B$2:$B$61,"a",Factory_Components!$D$2:$D$61,F92)&gt;0,1,0)</f>
        <v>1</v>
      </c>
    </row>
    <row r="93" spans="1:7" ht="15" customHeight="1" x14ac:dyDescent="0.25">
      <c r="A93" t="s">
        <v>2</v>
      </c>
      <c r="B93" t="s">
        <v>548</v>
      </c>
      <c r="C93" t="s">
        <v>352</v>
      </c>
      <c r="D93" t="s">
        <v>549</v>
      </c>
      <c r="E93" t="str">
        <f t="shared" si="2"/>
        <v>BAT</v>
      </c>
      <c r="F93" t="str">
        <f t="shared" si="3"/>
        <v>BAT</v>
      </c>
      <c r="G93">
        <f>IF(COUNTIFS(Factory_Components!$A$2:$A$61,VLOOKUP(A93,Runs!$A$2:$B$9,2,FALSE()),Factory_Components!$B$2:$B$61,"a",Factory_Components!$D$2:$D$61,F93)&gt;0,1,0)</f>
        <v>1</v>
      </c>
    </row>
    <row r="94" spans="1:7" ht="15" customHeight="1" x14ac:dyDescent="0.25">
      <c r="A94" t="s">
        <v>2</v>
      </c>
      <c r="B94" t="s">
        <v>550</v>
      </c>
      <c r="C94" t="s">
        <v>350</v>
      </c>
      <c r="D94" t="s">
        <v>551</v>
      </c>
      <c r="E94" t="str">
        <f t="shared" si="2"/>
        <v>FT</v>
      </c>
      <c r="F94" t="str">
        <f t="shared" si="3"/>
        <v>FT</v>
      </c>
      <c r="G94">
        <f>IF(COUNTIFS(Factory_Components!$A$2:$A$61,VLOOKUP(A94,Runs!$A$2:$B$9,2,FALSE()),Factory_Components!$B$2:$B$61,"a",Factory_Components!$D$2:$D$61,F94)&gt;0,1,0)</f>
        <v>1</v>
      </c>
    </row>
    <row r="95" spans="1:7" ht="15" customHeight="1" x14ac:dyDescent="0.25">
      <c r="A95" t="s">
        <v>2</v>
      </c>
      <c r="B95" t="s">
        <v>393</v>
      </c>
      <c r="C95" t="s">
        <v>351</v>
      </c>
      <c r="D95" t="s">
        <v>552</v>
      </c>
      <c r="E95" t="str">
        <f t="shared" si="2"/>
        <v>RT</v>
      </c>
      <c r="F95" t="str">
        <f t="shared" si="3"/>
        <v>RT</v>
      </c>
      <c r="G95">
        <f>IF(COUNTIFS(Factory_Components!$A$2:$A$61,VLOOKUP(A95,Runs!$A$2:$B$9,2,FALSE()),Factory_Components!$B$2:$B$61,"a",Factory_Components!$D$2:$D$61,F95)&gt;0,1,0)</f>
        <v>1</v>
      </c>
    </row>
    <row r="96" spans="1:7" ht="15" customHeight="1" x14ac:dyDescent="0.25">
      <c r="A96" t="s">
        <v>2</v>
      </c>
      <c r="B96" t="s">
        <v>401</v>
      </c>
      <c r="C96" t="s">
        <v>352</v>
      </c>
      <c r="D96" t="s">
        <v>553</v>
      </c>
      <c r="E96" t="str">
        <f t="shared" si="2"/>
        <v>RT</v>
      </c>
      <c r="F96" t="str">
        <f t="shared" si="3"/>
        <v>RT</v>
      </c>
      <c r="G96">
        <f>IF(COUNTIFS(Factory_Components!$A$2:$A$61,VLOOKUP(A96,Runs!$A$2:$B$9,2,FALSE()),Factory_Components!$B$2:$B$61,"a",Factory_Components!$D$2:$D$61,F96)&gt;0,1,0)</f>
        <v>1</v>
      </c>
    </row>
    <row r="97" spans="1:7" ht="15" customHeight="1" x14ac:dyDescent="0.25">
      <c r="A97" t="s">
        <v>2</v>
      </c>
      <c r="B97" t="s">
        <v>423</v>
      </c>
      <c r="C97" t="s">
        <v>353</v>
      </c>
      <c r="D97" t="s">
        <v>554</v>
      </c>
      <c r="E97" t="str">
        <f t="shared" si="2"/>
        <v>BAT</v>
      </c>
      <c r="F97" t="str">
        <f t="shared" si="3"/>
        <v>BAT</v>
      </c>
      <c r="G97">
        <f>IF(COUNTIFS(Factory_Components!$A$2:$A$61,VLOOKUP(A97,Runs!$A$2:$B$9,2,FALSE()),Factory_Components!$B$2:$B$61,"a",Factory_Components!$D$2:$D$61,F97)&gt;0,1,0)</f>
        <v>1</v>
      </c>
    </row>
    <row r="98" spans="1:7" ht="15" customHeight="1" x14ac:dyDescent="0.25">
      <c r="A98" t="s">
        <v>2</v>
      </c>
      <c r="B98" t="s">
        <v>555</v>
      </c>
      <c r="C98" t="s">
        <v>350</v>
      </c>
      <c r="D98" t="s">
        <v>556</v>
      </c>
      <c r="E98" t="str">
        <f t="shared" si="2"/>
        <v>FT</v>
      </c>
      <c r="F98" t="str">
        <f t="shared" si="3"/>
        <v>FT</v>
      </c>
      <c r="G98">
        <f>IF(COUNTIFS(Factory_Components!$A$2:$A$61,VLOOKUP(A98,Runs!$A$2:$B$9,2,FALSE()),Factory_Components!$B$2:$B$61,"a",Factory_Components!$D$2:$D$61,F98)&gt;0,1,0)</f>
        <v>1</v>
      </c>
    </row>
    <row r="99" spans="1:7" ht="15" customHeight="1" x14ac:dyDescent="0.25">
      <c r="A99" t="s">
        <v>2</v>
      </c>
      <c r="B99" t="s">
        <v>557</v>
      </c>
      <c r="C99" t="s">
        <v>351</v>
      </c>
      <c r="D99" t="s">
        <v>558</v>
      </c>
      <c r="E99" t="str">
        <f t="shared" si="2"/>
        <v>FT</v>
      </c>
      <c r="F99" t="str">
        <f t="shared" si="3"/>
        <v>FT</v>
      </c>
      <c r="G99">
        <f>IF(COUNTIFS(Factory_Components!$A$2:$A$61,VLOOKUP(A99,Runs!$A$2:$B$9,2,FALSE()),Factory_Components!$B$2:$B$61,"a",Factory_Components!$D$2:$D$61,F99)&gt;0,1,0)</f>
        <v>1</v>
      </c>
    </row>
    <row r="100" spans="1:7" ht="15" customHeight="1" x14ac:dyDescent="0.25">
      <c r="A100" t="s">
        <v>2</v>
      </c>
      <c r="B100" t="s">
        <v>409</v>
      </c>
      <c r="C100" t="s">
        <v>352</v>
      </c>
      <c r="D100" t="s">
        <v>559</v>
      </c>
      <c r="E100" t="str">
        <f t="shared" si="2"/>
        <v>RT</v>
      </c>
      <c r="F100" t="str">
        <f t="shared" si="3"/>
        <v>RT</v>
      </c>
      <c r="G100">
        <f>IF(COUNTIFS(Factory_Components!$A$2:$A$61,VLOOKUP(A100,Runs!$A$2:$B$9,2,FALSE()),Factory_Components!$B$2:$B$61,"a",Factory_Components!$D$2:$D$61,F100)&gt;0,1,0)</f>
        <v>1</v>
      </c>
    </row>
    <row r="101" spans="1:7" ht="15" customHeight="1" x14ac:dyDescent="0.25">
      <c r="A101" t="s">
        <v>2</v>
      </c>
      <c r="B101" t="s">
        <v>427</v>
      </c>
      <c r="C101" t="s">
        <v>353</v>
      </c>
      <c r="D101" t="s">
        <v>560</v>
      </c>
      <c r="E101" t="str">
        <f t="shared" si="2"/>
        <v>RT</v>
      </c>
      <c r="F101" t="str">
        <f t="shared" si="3"/>
        <v>RT</v>
      </c>
      <c r="G101">
        <f>IF(COUNTIFS(Factory_Components!$A$2:$A$61,VLOOKUP(A101,Runs!$A$2:$B$9,2,FALSE()),Factory_Components!$B$2:$B$61,"a",Factory_Components!$D$2:$D$61,F101)&gt;0,1,0)</f>
        <v>1</v>
      </c>
    </row>
    <row r="102" spans="1:7" ht="15" customHeight="1" x14ac:dyDescent="0.25">
      <c r="A102" t="s">
        <v>2</v>
      </c>
      <c r="B102" t="s">
        <v>561</v>
      </c>
      <c r="C102" t="s">
        <v>351</v>
      </c>
      <c r="D102" t="s">
        <v>562</v>
      </c>
      <c r="E102" t="str">
        <f t="shared" si="2"/>
        <v>FT</v>
      </c>
      <c r="F102" t="str">
        <f t="shared" si="3"/>
        <v>FT</v>
      </c>
      <c r="G102">
        <f>IF(COUNTIFS(Factory_Components!$A$2:$A$61,VLOOKUP(A102,Runs!$A$2:$B$9,2,FALSE()),Factory_Components!$B$2:$B$61,"a",Factory_Components!$D$2:$D$61,F102)&gt;0,1,0)</f>
        <v>1</v>
      </c>
    </row>
    <row r="103" spans="1:7" ht="15" customHeight="1" x14ac:dyDescent="0.25">
      <c r="A103" t="s">
        <v>2</v>
      </c>
      <c r="B103" t="s">
        <v>563</v>
      </c>
      <c r="C103" t="s">
        <v>352</v>
      </c>
      <c r="D103" t="s">
        <v>564</v>
      </c>
      <c r="E103" t="str">
        <f t="shared" si="2"/>
        <v>FT</v>
      </c>
      <c r="F103" t="str">
        <f t="shared" si="3"/>
        <v>FT</v>
      </c>
      <c r="G103">
        <f>IF(COUNTIFS(Factory_Components!$A$2:$A$61,VLOOKUP(A103,Runs!$A$2:$B$9,2,FALSE()),Factory_Components!$B$2:$B$61,"a",Factory_Components!$D$2:$D$61,F103)&gt;0,1,0)</f>
        <v>1</v>
      </c>
    </row>
    <row r="104" spans="1:7" ht="15" customHeight="1" x14ac:dyDescent="0.25">
      <c r="A104" t="s">
        <v>2</v>
      </c>
      <c r="B104" t="s">
        <v>429</v>
      </c>
      <c r="C104" t="s">
        <v>353</v>
      </c>
      <c r="D104" t="s">
        <v>565</v>
      </c>
      <c r="E104" t="str">
        <f t="shared" si="2"/>
        <v>RT</v>
      </c>
      <c r="F104" t="str">
        <f t="shared" si="3"/>
        <v>RT</v>
      </c>
      <c r="G104">
        <f>IF(COUNTIFS(Factory_Components!$A$2:$A$61,VLOOKUP(A104,Runs!$A$2:$B$9,2,FALSE()),Factory_Components!$B$2:$B$61,"a",Factory_Components!$D$2:$D$61,F104)&gt;0,1,0)</f>
        <v>1</v>
      </c>
    </row>
    <row r="105" spans="1:7" ht="15" customHeight="1" x14ac:dyDescent="0.25">
      <c r="A105" t="s">
        <v>2</v>
      </c>
      <c r="B105" t="s">
        <v>566</v>
      </c>
      <c r="C105" t="s">
        <v>352</v>
      </c>
      <c r="D105" t="s">
        <v>567</v>
      </c>
      <c r="E105" t="str">
        <f t="shared" si="2"/>
        <v>FT</v>
      </c>
      <c r="F105" t="str">
        <f t="shared" si="3"/>
        <v>FT</v>
      </c>
      <c r="G105">
        <f>IF(COUNTIFS(Factory_Components!$A$2:$A$61,VLOOKUP(A105,Runs!$A$2:$B$9,2,FALSE()),Factory_Components!$B$2:$B$61,"a",Factory_Components!$D$2:$D$61,F105)&gt;0,1,0)</f>
        <v>1</v>
      </c>
    </row>
    <row r="106" spans="1:7" ht="15" customHeight="1" x14ac:dyDescent="0.25">
      <c r="A106" t="s">
        <v>2</v>
      </c>
      <c r="B106" t="s">
        <v>435</v>
      </c>
      <c r="C106" t="s">
        <v>353</v>
      </c>
      <c r="D106" t="s">
        <v>568</v>
      </c>
      <c r="E106" t="str">
        <f t="shared" si="2"/>
        <v>FT</v>
      </c>
      <c r="F106" t="str">
        <f t="shared" si="3"/>
        <v>FT</v>
      </c>
      <c r="G106">
        <f>IF(COUNTIFS(Factory_Components!$A$2:$A$61,VLOOKUP(A106,Runs!$A$2:$B$9,2,FALSE()),Factory_Components!$B$2:$B$61,"a",Factory_Components!$D$2:$D$61,F106)&gt;0,1,0)</f>
        <v>1</v>
      </c>
    </row>
    <row r="107" spans="1:7" ht="15" customHeight="1" x14ac:dyDescent="0.25">
      <c r="A107" t="s">
        <v>2</v>
      </c>
      <c r="B107" t="s">
        <v>437</v>
      </c>
      <c r="C107" t="s">
        <v>353</v>
      </c>
      <c r="D107" t="s">
        <v>569</v>
      </c>
      <c r="E107" t="str">
        <f t="shared" si="2"/>
        <v>FT</v>
      </c>
      <c r="F107" t="str">
        <f t="shared" si="3"/>
        <v>FT</v>
      </c>
      <c r="G107">
        <f>IF(COUNTIFS(Factory_Components!$A$2:$A$61,VLOOKUP(A107,Runs!$A$2:$B$9,2,FALSE()),Factory_Components!$B$2:$B$61,"a",Factory_Components!$D$2:$D$61,F107)&gt;0,1,0)</f>
        <v>1</v>
      </c>
    </row>
    <row r="108" spans="1:7" ht="15" customHeight="1" x14ac:dyDescent="0.25">
      <c r="A108" t="s">
        <v>2</v>
      </c>
      <c r="B108" t="s">
        <v>570</v>
      </c>
      <c r="C108" t="s">
        <v>350</v>
      </c>
      <c r="D108" t="s">
        <v>571</v>
      </c>
      <c r="E108" t="str">
        <f t="shared" si="2"/>
        <v>SSA</v>
      </c>
      <c r="F108" t="str">
        <f t="shared" si="3"/>
        <v>SSA</v>
      </c>
      <c r="G108">
        <f>IF(COUNTIFS(Factory_Components!$A$2:$A$61,VLOOKUP(A108,Runs!$A$2:$B$9,2,FALSE()),Factory_Components!$B$2:$B$61,"a",Factory_Components!$D$2:$D$61,F108)&gt;0,1,0)</f>
        <v>1</v>
      </c>
    </row>
    <row r="109" spans="1:7" ht="15" customHeight="1" x14ac:dyDescent="0.25">
      <c r="A109" t="s">
        <v>2</v>
      </c>
      <c r="B109" t="s">
        <v>572</v>
      </c>
      <c r="C109" t="s">
        <v>351</v>
      </c>
      <c r="D109" t="s">
        <v>573</v>
      </c>
      <c r="E109" t="str">
        <f t="shared" si="2"/>
        <v>SSA</v>
      </c>
      <c r="F109" t="str">
        <f t="shared" si="3"/>
        <v>SSA</v>
      </c>
      <c r="G109">
        <f>IF(COUNTIFS(Factory_Components!$A$2:$A$61,VLOOKUP(A109,Runs!$A$2:$B$9,2,FALSE()),Factory_Components!$B$2:$B$61,"a",Factory_Components!$D$2:$D$61,F109)&gt;0,1,0)</f>
        <v>1</v>
      </c>
    </row>
    <row r="110" spans="1:7" ht="15" customHeight="1" x14ac:dyDescent="0.25">
      <c r="A110" t="s">
        <v>2</v>
      </c>
      <c r="B110" t="s">
        <v>574</v>
      </c>
      <c r="C110" t="s">
        <v>350</v>
      </c>
      <c r="D110" t="s">
        <v>575</v>
      </c>
      <c r="E110" t="str">
        <f t="shared" si="2"/>
        <v>SSA</v>
      </c>
      <c r="F110" t="str">
        <f t="shared" si="3"/>
        <v>SSA</v>
      </c>
      <c r="G110">
        <f>IF(COUNTIFS(Factory_Components!$A$2:$A$61,VLOOKUP(A110,Runs!$A$2:$B$9,2,FALSE()),Factory_Components!$B$2:$B$61,"a",Factory_Components!$D$2:$D$61,F110)&gt;0,1,0)</f>
        <v>1</v>
      </c>
    </row>
    <row r="111" spans="1:7" ht="15" customHeight="1" x14ac:dyDescent="0.25">
      <c r="A111" t="s">
        <v>2</v>
      </c>
      <c r="B111" t="s">
        <v>576</v>
      </c>
      <c r="C111" t="s">
        <v>350</v>
      </c>
      <c r="D111" t="s">
        <v>577</v>
      </c>
      <c r="E111" t="str">
        <f t="shared" si="2"/>
        <v>FAX</v>
      </c>
      <c r="F111" t="str">
        <f t="shared" si="3"/>
        <v>FAX</v>
      </c>
      <c r="G111">
        <f>IF(COUNTIFS(Factory_Components!$A$2:$A$61,VLOOKUP(A111,Runs!$A$2:$B$9,2,FALSE()),Factory_Components!$B$2:$B$61,"a",Factory_Components!$D$2:$D$61,F111)&gt;0,1,0)</f>
        <v>1</v>
      </c>
    </row>
    <row r="112" spans="1:7" ht="15" customHeight="1" x14ac:dyDescent="0.25">
      <c r="A112" t="s">
        <v>2</v>
      </c>
      <c r="B112" t="s">
        <v>578</v>
      </c>
      <c r="C112" t="s">
        <v>352</v>
      </c>
      <c r="D112" t="s">
        <v>579</v>
      </c>
      <c r="E112" t="str">
        <f t="shared" si="2"/>
        <v>SSA</v>
      </c>
      <c r="F112" t="str">
        <f t="shared" si="3"/>
        <v>SSA</v>
      </c>
      <c r="G112">
        <f>IF(COUNTIFS(Factory_Components!$A$2:$A$61,VLOOKUP(A112,Runs!$A$2:$B$9,2,FALSE()),Factory_Components!$B$2:$B$61,"a",Factory_Components!$D$2:$D$61,F112)&gt;0,1,0)</f>
        <v>1</v>
      </c>
    </row>
    <row r="113" spans="1:7" ht="15" customHeight="1" x14ac:dyDescent="0.25">
      <c r="A113" t="s">
        <v>2</v>
      </c>
      <c r="B113" t="s">
        <v>580</v>
      </c>
      <c r="C113" t="s">
        <v>351</v>
      </c>
      <c r="D113" t="s">
        <v>581</v>
      </c>
      <c r="E113" t="str">
        <f t="shared" si="2"/>
        <v>SSA</v>
      </c>
      <c r="F113" t="str">
        <f t="shared" si="3"/>
        <v>SSA</v>
      </c>
      <c r="G113">
        <f>IF(COUNTIFS(Factory_Components!$A$2:$A$61,VLOOKUP(A113,Runs!$A$2:$B$9,2,FALSE()),Factory_Components!$B$2:$B$61,"a",Factory_Components!$D$2:$D$61,F113)&gt;0,1,0)</f>
        <v>1</v>
      </c>
    </row>
    <row r="114" spans="1:7" ht="15" customHeight="1" x14ac:dyDescent="0.25">
      <c r="A114" t="s">
        <v>2</v>
      </c>
      <c r="B114" t="s">
        <v>582</v>
      </c>
      <c r="C114" t="s">
        <v>351</v>
      </c>
      <c r="D114" t="s">
        <v>583</v>
      </c>
      <c r="E114" t="str">
        <f t="shared" si="2"/>
        <v>FAX</v>
      </c>
      <c r="F114" t="str">
        <f t="shared" si="3"/>
        <v>FAX</v>
      </c>
      <c r="G114">
        <f>IF(COUNTIFS(Factory_Components!$A$2:$A$61,VLOOKUP(A114,Runs!$A$2:$B$9,2,FALSE()),Factory_Components!$B$2:$B$61,"a",Factory_Components!$D$2:$D$61,F114)&gt;0,1,0)</f>
        <v>1</v>
      </c>
    </row>
    <row r="115" spans="1:7" ht="15" customHeight="1" x14ac:dyDescent="0.25">
      <c r="A115" t="s">
        <v>2</v>
      </c>
      <c r="B115" t="s">
        <v>584</v>
      </c>
      <c r="C115" t="s">
        <v>353</v>
      </c>
      <c r="D115" t="s">
        <v>585</v>
      </c>
      <c r="E115" t="str">
        <f t="shared" si="2"/>
        <v>SSA</v>
      </c>
      <c r="F115" t="str">
        <f t="shared" si="3"/>
        <v>SSA</v>
      </c>
      <c r="G115">
        <f>IF(COUNTIFS(Factory_Components!$A$2:$A$61,VLOOKUP(A115,Runs!$A$2:$B$9,2,FALSE()),Factory_Components!$B$2:$B$61,"a",Factory_Components!$D$2:$D$61,F115)&gt;0,1,0)</f>
        <v>1</v>
      </c>
    </row>
    <row r="116" spans="1:7" ht="15" customHeight="1" x14ac:dyDescent="0.25">
      <c r="A116" t="s">
        <v>2</v>
      </c>
      <c r="B116" t="s">
        <v>586</v>
      </c>
      <c r="C116" t="s">
        <v>352</v>
      </c>
      <c r="D116" t="s">
        <v>587</v>
      </c>
      <c r="E116" t="str">
        <f t="shared" si="2"/>
        <v>SSA</v>
      </c>
      <c r="F116" t="str">
        <f t="shared" si="3"/>
        <v>SSA</v>
      </c>
      <c r="G116">
        <f>IF(COUNTIFS(Factory_Components!$A$2:$A$61,VLOOKUP(A116,Runs!$A$2:$B$9,2,FALSE()),Factory_Components!$B$2:$B$61,"a",Factory_Components!$D$2:$D$61,F116)&gt;0,1,0)</f>
        <v>1</v>
      </c>
    </row>
    <row r="117" spans="1:7" ht="15" customHeight="1" x14ac:dyDescent="0.25">
      <c r="A117" t="s">
        <v>2</v>
      </c>
      <c r="B117" t="s">
        <v>588</v>
      </c>
      <c r="C117" t="s">
        <v>352</v>
      </c>
      <c r="D117" t="s">
        <v>589</v>
      </c>
      <c r="E117" t="str">
        <f t="shared" si="2"/>
        <v>FAX</v>
      </c>
      <c r="F117" t="str">
        <f t="shared" si="3"/>
        <v>FAX</v>
      </c>
      <c r="G117">
        <f>IF(COUNTIFS(Factory_Components!$A$2:$A$61,VLOOKUP(A117,Runs!$A$2:$B$9,2,FALSE()),Factory_Components!$B$2:$B$61,"a",Factory_Components!$D$2:$D$61,F117)&gt;0,1,0)</f>
        <v>1</v>
      </c>
    </row>
    <row r="118" spans="1:7" ht="15" customHeight="1" x14ac:dyDescent="0.25">
      <c r="A118" t="s">
        <v>2</v>
      </c>
      <c r="B118" t="s">
        <v>590</v>
      </c>
      <c r="C118" t="s">
        <v>350</v>
      </c>
      <c r="D118" t="s">
        <v>591</v>
      </c>
      <c r="E118" t="str">
        <f t="shared" si="2"/>
        <v>CHS</v>
      </c>
      <c r="F118" t="str">
        <f t="shared" si="3"/>
        <v>CHS</v>
      </c>
      <c r="G118">
        <f>IF(COUNTIFS(Factory_Components!$A$2:$A$61,VLOOKUP(A118,Runs!$A$2:$B$9,2,FALSE()),Factory_Components!$B$2:$B$61,"a",Factory_Components!$D$2:$D$61,F118)&gt;0,1,0)</f>
        <v>1</v>
      </c>
    </row>
    <row r="119" spans="1:7" ht="15" customHeight="1" x14ac:dyDescent="0.25">
      <c r="A119" t="s">
        <v>2</v>
      </c>
      <c r="B119" t="s">
        <v>592</v>
      </c>
      <c r="C119" t="s">
        <v>353</v>
      </c>
      <c r="D119" t="s">
        <v>593</v>
      </c>
      <c r="E119" t="str">
        <f t="shared" si="2"/>
        <v>SSA</v>
      </c>
      <c r="F119" t="str">
        <f t="shared" si="3"/>
        <v>SSA</v>
      </c>
      <c r="G119">
        <f>IF(COUNTIFS(Factory_Components!$A$2:$A$61,VLOOKUP(A119,Runs!$A$2:$B$9,2,FALSE()),Factory_Components!$B$2:$B$61,"a",Factory_Components!$D$2:$D$61,F119)&gt;0,1,0)</f>
        <v>1</v>
      </c>
    </row>
    <row r="120" spans="1:7" ht="15" customHeight="1" x14ac:dyDescent="0.25">
      <c r="A120" t="s">
        <v>2</v>
      </c>
      <c r="B120" t="s">
        <v>594</v>
      </c>
      <c r="C120" t="s">
        <v>353</v>
      </c>
      <c r="D120" t="s">
        <v>595</v>
      </c>
      <c r="E120" t="str">
        <f t="shared" si="2"/>
        <v>FAX</v>
      </c>
      <c r="F120" t="str">
        <f t="shared" si="3"/>
        <v>FAX</v>
      </c>
      <c r="G120">
        <f>IF(COUNTIFS(Factory_Components!$A$2:$A$61,VLOOKUP(A120,Runs!$A$2:$B$9,2,FALSE()),Factory_Components!$B$2:$B$61,"a",Factory_Components!$D$2:$D$61,F120)&gt;0,1,0)</f>
        <v>1</v>
      </c>
    </row>
    <row r="121" spans="1:7" ht="15" customHeight="1" x14ac:dyDescent="0.25">
      <c r="A121" t="s">
        <v>2</v>
      </c>
      <c r="B121" t="s">
        <v>596</v>
      </c>
      <c r="C121" t="s">
        <v>351</v>
      </c>
      <c r="D121" t="s">
        <v>597</v>
      </c>
      <c r="E121" t="str">
        <f t="shared" si="2"/>
        <v>CHS</v>
      </c>
      <c r="F121" t="str">
        <f t="shared" si="3"/>
        <v>CHS</v>
      </c>
      <c r="G121">
        <f>IF(COUNTIFS(Factory_Components!$A$2:$A$61,VLOOKUP(A121,Runs!$A$2:$B$9,2,FALSE()),Factory_Components!$B$2:$B$61,"a",Factory_Components!$D$2:$D$61,F121)&gt;0,1,0)</f>
        <v>1</v>
      </c>
    </row>
    <row r="122" spans="1:7" ht="15" customHeight="1" x14ac:dyDescent="0.25">
      <c r="A122" t="s">
        <v>2</v>
      </c>
      <c r="B122" t="s">
        <v>397</v>
      </c>
      <c r="C122" t="s">
        <v>350</v>
      </c>
      <c r="D122" t="s">
        <v>598</v>
      </c>
      <c r="E122" t="str">
        <f t="shared" si="2"/>
        <v>BSA</v>
      </c>
      <c r="F122" t="str">
        <f t="shared" si="3"/>
        <v>BSA</v>
      </c>
      <c r="G122">
        <f>IF(COUNTIFS(Factory_Components!$A$2:$A$61,VLOOKUP(A122,Runs!$A$2:$B$9,2,FALSE()),Factory_Components!$B$2:$B$61,"a",Factory_Components!$D$2:$D$61,F122)&gt;0,1,0)</f>
        <v>1</v>
      </c>
    </row>
    <row r="123" spans="1:7" ht="15" customHeight="1" x14ac:dyDescent="0.25">
      <c r="A123" t="s">
        <v>2</v>
      </c>
      <c r="B123" t="s">
        <v>599</v>
      </c>
      <c r="C123" t="s">
        <v>352</v>
      </c>
      <c r="D123" t="s">
        <v>600</v>
      </c>
      <c r="E123" t="str">
        <f t="shared" si="2"/>
        <v>CHS</v>
      </c>
      <c r="F123" t="str">
        <f t="shared" si="3"/>
        <v>CHS</v>
      </c>
      <c r="G123">
        <f>IF(COUNTIFS(Factory_Components!$A$2:$A$61,VLOOKUP(A123,Runs!$A$2:$B$9,2,FALSE()),Factory_Components!$B$2:$B$61,"a",Factory_Components!$D$2:$D$61,F123)&gt;0,1,0)</f>
        <v>1</v>
      </c>
    </row>
    <row r="124" spans="1:7" ht="15" customHeight="1" x14ac:dyDescent="0.25">
      <c r="A124" t="s">
        <v>2</v>
      </c>
      <c r="B124" t="s">
        <v>415</v>
      </c>
      <c r="C124" t="s">
        <v>351</v>
      </c>
      <c r="D124" t="s">
        <v>601</v>
      </c>
      <c r="E124" t="str">
        <f t="shared" si="2"/>
        <v>BSA</v>
      </c>
      <c r="F124" t="str">
        <f t="shared" si="3"/>
        <v>BSA</v>
      </c>
      <c r="G124">
        <f>IF(COUNTIFS(Factory_Components!$A$2:$A$61,VLOOKUP(A124,Runs!$A$2:$B$9,2,FALSE()),Factory_Components!$B$2:$B$61,"a",Factory_Components!$D$2:$D$61,F124)&gt;0,1,0)</f>
        <v>1</v>
      </c>
    </row>
    <row r="125" spans="1:7" ht="15" customHeight="1" x14ac:dyDescent="0.25">
      <c r="A125" t="s">
        <v>2</v>
      </c>
      <c r="B125" t="s">
        <v>403</v>
      </c>
      <c r="C125" t="s">
        <v>350</v>
      </c>
      <c r="D125" t="s">
        <v>602</v>
      </c>
      <c r="E125" t="str">
        <f t="shared" si="2"/>
        <v>BSA</v>
      </c>
      <c r="F125" t="str">
        <f t="shared" si="3"/>
        <v>BSA</v>
      </c>
      <c r="G125">
        <f>IF(COUNTIFS(Factory_Components!$A$2:$A$61,VLOOKUP(A125,Runs!$A$2:$B$9,2,FALSE()),Factory_Components!$B$2:$B$61,"a",Factory_Components!$D$2:$D$61,F125)&gt;0,1,0)</f>
        <v>1</v>
      </c>
    </row>
    <row r="126" spans="1:7" ht="15" customHeight="1" x14ac:dyDescent="0.25">
      <c r="A126" t="s">
        <v>2</v>
      </c>
      <c r="B126" t="s">
        <v>603</v>
      </c>
      <c r="C126" t="s">
        <v>350</v>
      </c>
      <c r="D126" t="s">
        <v>604</v>
      </c>
      <c r="E126" t="str">
        <f t="shared" si="2"/>
        <v>RAX_HD</v>
      </c>
      <c r="F126" t="str">
        <f t="shared" si="3"/>
        <v>RAX_HD</v>
      </c>
      <c r="G126">
        <f>IF(COUNTIFS(Factory_Components!$A$2:$A$61,VLOOKUP(A126,Runs!$A$2:$B$9,2,FALSE()),Factory_Components!$B$2:$B$61,"a",Factory_Components!$D$2:$D$61,F126)&gt;0,1,0)</f>
        <v>0</v>
      </c>
    </row>
    <row r="127" spans="1:7" ht="15" customHeight="1" x14ac:dyDescent="0.25">
      <c r="A127" t="s">
        <v>2</v>
      </c>
      <c r="B127" t="s">
        <v>605</v>
      </c>
      <c r="C127" t="s">
        <v>353</v>
      </c>
      <c r="D127" t="s">
        <v>606</v>
      </c>
      <c r="E127" t="str">
        <f t="shared" si="2"/>
        <v>CHS</v>
      </c>
      <c r="F127" t="str">
        <f t="shared" si="3"/>
        <v>CHS</v>
      </c>
      <c r="G127">
        <f>IF(COUNTIFS(Factory_Components!$A$2:$A$61,VLOOKUP(A127,Runs!$A$2:$B$9,2,FALSE()),Factory_Components!$B$2:$B$61,"a",Factory_Components!$D$2:$D$61,F127)&gt;0,1,0)</f>
        <v>1</v>
      </c>
    </row>
    <row r="128" spans="1:7" ht="15" customHeight="1" x14ac:dyDescent="0.25">
      <c r="A128" t="s">
        <v>2</v>
      </c>
      <c r="B128" t="s">
        <v>425</v>
      </c>
      <c r="C128" t="s">
        <v>352</v>
      </c>
      <c r="D128" t="s">
        <v>607</v>
      </c>
      <c r="E128" t="str">
        <f t="shared" si="2"/>
        <v>BSA</v>
      </c>
      <c r="F128" t="str">
        <f t="shared" si="3"/>
        <v>BSA</v>
      </c>
      <c r="G128">
        <f>IF(COUNTIFS(Factory_Components!$A$2:$A$61,VLOOKUP(A128,Runs!$A$2:$B$9,2,FALSE()),Factory_Components!$B$2:$B$61,"a",Factory_Components!$D$2:$D$61,F128)&gt;0,1,0)</f>
        <v>1</v>
      </c>
    </row>
    <row r="129" spans="1:7" ht="15" customHeight="1" x14ac:dyDescent="0.25">
      <c r="A129" t="s">
        <v>2</v>
      </c>
      <c r="B129" t="s">
        <v>608</v>
      </c>
      <c r="C129" t="s">
        <v>350</v>
      </c>
      <c r="D129" t="s">
        <v>609</v>
      </c>
      <c r="E129" t="str">
        <f t="shared" si="2"/>
        <v>BOSP</v>
      </c>
      <c r="F129" t="str">
        <f t="shared" si="3"/>
        <v>BOSP</v>
      </c>
      <c r="G129">
        <f>IF(COUNTIFS(Factory_Components!$A$2:$A$61,VLOOKUP(A129,Runs!$A$2:$B$9,2,FALSE()),Factory_Components!$B$2:$B$61,"a",Factory_Components!$D$2:$D$61,F129)&gt;0,1,0)</f>
        <v>1</v>
      </c>
    </row>
    <row r="130" spans="1:7" ht="15" customHeight="1" x14ac:dyDescent="0.25">
      <c r="A130" t="s">
        <v>2</v>
      </c>
      <c r="B130" t="s">
        <v>419</v>
      </c>
      <c r="C130" t="s">
        <v>351</v>
      </c>
      <c r="D130" t="s">
        <v>610</v>
      </c>
      <c r="E130" t="str">
        <f t="shared" ref="E130:E193" si="4">IF(ISNUMBER(--RIGHT(B130,1)),MID(B130,10,LEN(B130)-11),MID(B130,10,100))</f>
        <v>BSA</v>
      </c>
      <c r="F130" t="str">
        <f t="shared" ref="F130:F193" si="5">IF(E130="CORE","CHS",E130)</f>
        <v>BSA</v>
      </c>
      <c r="G130">
        <f>IF(COUNTIFS(Factory_Components!$A$2:$A$61,VLOOKUP(A130,Runs!$A$2:$B$9,2,FALSE()),Factory_Components!$B$2:$B$61,"a",Factory_Components!$D$2:$D$61,F130)&gt;0,1,0)</f>
        <v>1</v>
      </c>
    </row>
    <row r="131" spans="1:7" ht="15" customHeight="1" x14ac:dyDescent="0.25">
      <c r="A131" t="s">
        <v>2</v>
      </c>
      <c r="B131" t="s">
        <v>611</v>
      </c>
      <c r="C131" t="s">
        <v>351</v>
      </c>
      <c r="D131" t="s">
        <v>612</v>
      </c>
      <c r="E131" t="str">
        <f t="shared" si="4"/>
        <v>RAX_HD</v>
      </c>
      <c r="F131" t="str">
        <f t="shared" si="5"/>
        <v>RAX_HD</v>
      </c>
      <c r="G131">
        <f>IF(COUNTIFS(Factory_Components!$A$2:$A$61,VLOOKUP(A131,Runs!$A$2:$B$9,2,FALSE()),Factory_Components!$B$2:$B$61,"a",Factory_Components!$D$2:$D$61,F131)&gt;0,1,0)</f>
        <v>0</v>
      </c>
    </row>
    <row r="132" spans="1:7" ht="15" customHeight="1" x14ac:dyDescent="0.25">
      <c r="A132" t="s">
        <v>2</v>
      </c>
      <c r="B132" t="s">
        <v>613</v>
      </c>
      <c r="C132" t="s">
        <v>350</v>
      </c>
      <c r="D132" t="s">
        <v>614</v>
      </c>
      <c r="E132" t="str">
        <f t="shared" si="4"/>
        <v>BOSP</v>
      </c>
      <c r="F132" t="str">
        <f t="shared" si="5"/>
        <v>BOSP</v>
      </c>
      <c r="G132">
        <f>IF(COUNTIFS(Factory_Components!$A$2:$A$61,VLOOKUP(A132,Runs!$A$2:$B$9,2,FALSE()),Factory_Components!$B$2:$B$61,"a",Factory_Components!$D$2:$D$61,F132)&gt;0,1,0)</f>
        <v>1</v>
      </c>
    </row>
    <row r="133" spans="1:7" ht="15" customHeight="1" x14ac:dyDescent="0.25">
      <c r="A133" t="s">
        <v>2</v>
      </c>
      <c r="B133" t="s">
        <v>615</v>
      </c>
      <c r="C133" t="s">
        <v>353</v>
      </c>
      <c r="D133" t="s">
        <v>616</v>
      </c>
      <c r="E133" t="str">
        <f t="shared" si="4"/>
        <v>BSA</v>
      </c>
      <c r="F133" t="str">
        <f t="shared" si="5"/>
        <v>BSA</v>
      </c>
      <c r="G133">
        <f>IF(COUNTIFS(Factory_Components!$A$2:$A$61,VLOOKUP(A133,Runs!$A$2:$B$9,2,FALSE()),Factory_Components!$B$2:$B$61,"a",Factory_Components!$D$2:$D$61,F133)&gt;0,1,0)</f>
        <v>1</v>
      </c>
    </row>
    <row r="134" spans="1:7" ht="15" customHeight="1" x14ac:dyDescent="0.25">
      <c r="A134" t="s">
        <v>2</v>
      </c>
      <c r="B134" t="s">
        <v>449</v>
      </c>
      <c r="C134" t="s">
        <v>351</v>
      </c>
      <c r="D134" t="s">
        <v>617</v>
      </c>
      <c r="E134" t="str">
        <f t="shared" si="4"/>
        <v>BOSP</v>
      </c>
      <c r="F134" t="str">
        <f t="shared" si="5"/>
        <v>BOSP</v>
      </c>
      <c r="G134">
        <f>IF(COUNTIFS(Factory_Components!$A$2:$A$61,VLOOKUP(A134,Runs!$A$2:$B$9,2,FALSE()),Factory_Components!$B$2:$B$61,"a",Factory_Components!$D$2:$D$61,F134)&gt;0,1,0)</f>
        <v>1</v>
      </c>
    </row>
    <row r="135" spans="1:7" ht="15" customHeight="1" x14ac:dyDescent="0.25">
      <c r="A135" t="s">
        <v>2</v>
      </c>
      <c r="B135" t="s">
        <v>431</v>
      </c>
      <c r="C135" t="s">
        <v>352</v>
      </c>
      <c r="D135" t="s">
        <v>618</v>
      </c>
      <c r="E135" t="str">
        <f t="shared" si="4"/>
        <v>BSA</v>
      </c>
      <c r="F135" t="str">
        <f t="shared" si="5"/>
        <v>BSA</v>
      </c>
      <c r="G135">
        <f>IF(COUNTIFS(Factory_Components!$A$2:$A$61,VLOOKUP(A135,Runs!$A$2:$B$9,2,FALSE()),Factory_Components!$B$2:$B$61,"a",Factory_Components!$D$2:$D$61,F135)&gt;0,1,0)</f>
        <v>1</v>
      </c>
    </row>
    <row r="136" spans="1:7" ht="15" customHeight="1" x14ac:dyDescent="0.25">
      <c r="A136" t="s">
        <v>2</v>
      </c>
      <c r="B136" t="s">
        <v>619</v>
      </c>
      <c r="C136" t="s">
        <v>352</v>
      </c>
      <c r="D136" t="s">
        <v>620</v>
      </c>
      <c r="E136" t="str">
        <f t="shared" si="4"/>
        <v>RAX_HD</v>
      </c>
      <c r="F136" t="str">
        <f t="shared" si="5"/>
        <v>RAX_HD</v>
      </c>
      <c r="G136">
        <f>IF(COUNTIFS(Factory_Components!$A$2:$A$61,VLOOKUP(A136,Runs!$A$2:$B$9,2,FALSE()),Factory_Components!$B$2:$B$61,"a",Factory_Components!$D$2:$D$61,F136)&gt;0,1,0)</f>
        <v>0</v>
      </c>
    </row>
    <row r="137" spans="1:7" ht="15" customHeight="1" x14ac:dyDescent="0.25">
      <c r="A137" t="s">
        <v>2</v>
      </c>
      <c r="B137" t="s">
        <v>451</v>
      </c>
      <c r="C137" t="s">
        <v>351</v>
      </c>
      <c r="D137" t="s">
        <v>621</v>
      </c>
      <c r="E137" t="str">
        <f t="shared" si="4"/>
        <v>BOSP</v>
      </c>
      <c r="F137" t="str">
        <f t="shared" si="5"/>
        <v>BOSP</v>
      </c>
      <c r="G137">
        <f>IF(COUNTIFS(Factory_Components!$A$2:$A$61,VLOOKUP(A137,Runs!$A$2:$B$9,2,FALSE()),Factory_Components!$B$2:$B$61,"a",Factory_Components!$D$2:$D$61,F137)&gt;0,1,0)</f>
        <v>1</v>
      </c>
    </row>
    <row r="138" spans="1:7" ht="15" customHeight="1" x14ac:dyDescent="0.25">
      <c r="A138" t="s">
        <v>2</v>
      </c>
      <c r="B138" t="s">
        <v>461</v>
      </c>
      <c r="C138" t="s">
        <v>352</v>
      </c>
      <c r="D138" t="s">
        <v>622</v>
      </c>
      <c r="E138" t="str">
        <f t="shared" si="4"/>
        <v>BOSP</v>
      </c>
      <c r="F138" t="str">
        <f t="shared" si="5"/>
        <v>BOSP</v>
      </c>
      <c r="G138">
        <f>IF(COUNTIFS(Factory_Components!$A$2:$A$61,VLOOKUP(A138,Runs!$A$2:$B$9,2,FALSE()),Factory_Components!$B$2:$B$61,"a",Factory_Components!$D$2:$D$61,F138)&gt;0,1,0)</f>
        <v>1</v>
      </c>
    </row>
    <row r="139" spans="1:7" ht="15" customHeight="1" x14ac:dyDescent="0.25">
      <c r="A139" t="s">
        <v>2</v>
      </c>
      <c r="B139" t="s">
        <v>623</v>
      </c>
      <c r="C139" t="s">
        <v>353</v>
      </c>
      <c r="D139" t="s">
        <v>624</v>
      </c>
      <c r="E139" t="str">
        <f t="shared" si="4"/>
        <v>BSA</v>
      </c>
      <c r="F139" t="str">
        <f t="shared" si="5"/>
        <v>BSA</v>
      </c>
      <c r="G139">
        <f>IF(COUNTIFS(Factory_Components!$A$2:$A$61,VLOOKUP(A139,Runs!$A$2:$B$9,2,FALSE()),Factory_Components!$B$2:$B$61,"a",Factory_Components!$D$2:$D$61,F139)&gt;0,1,0)</f>
        <v>1</v>
      </c>
    </row>
    <row r="140" spans="1:7" ht="15" customHeight="1" x14ac:dyDescent="0.25">
      <c r="A140" t="s">
        <v>2</v>
      </c>
      <c r="B140" t="s">
        <v>625</v>
      </c>
      <c r="C140" t="s">
        <v>353</v>
      </c>
      <c r="D140" t="s">
        <v>626</v>
      </c>
      <c r="E140" t="str">
        <f t="shared" si="4"/>
        <v>RAX_HD</v>
      </c>
      <c r="F140" t="str">
        <f t="shared" si="5"/>
        <v>RAX_HD</v>
      </c>
      <c r="G140">
        <f>IF(COUNTIFS(Factory_Components!$A$2:$A$61,VLOOKUP(A140,Runs!$A$2:$B$9,2,FALSE()),Factory_Components!$B$2:$B$61,"a",Factory_Components!$D$2:$D$61,F140)&gt;0,1,0)</f>
        <v>0</v>
      </c>
    </row>
    <row r="141" spans="1:7" ht="15" customHeight="1" x14ac:dyDescent="0.25">
      <c r="A141" t="s">
        <v>2</v>
      </c>
      <c r="B141" t="s">
        <v>627</v>
      </c>
      <c r="C141" t="s">
        <v>350</v>
      </c>
      <c r="D141" t="s">
        <v>628</v>
      </c>
      <c r="E141" t="str">
        <f t="shared" si="4"/>
        <v>BAT</v>
      </c>
      <c r="F141" t="str">
        <f t="shared" si="5"/>
        <v>BAT</v>
      </c>
      <c r="G141">
        <f>IF(COUNTIFS(Factory_Components!$A$2:$A$61,VLOOKUP(A141,Runs!$A$2:$B$9,2,FALSE()),Factory_Components!$B$2:$B$61,"a",Factory_Components!$D$2:$D$61,F141)&gt;0,1,0)</f>
        <v>1</v>
      </c>
    </row>
    <row r="142" spans="1:7" ht="15" customHeight="1" x14ac:dyDescent="0.25">
      <c r="A142" t="s">
        <v>2</v>
      </c>
      <c r="B142" t="s">
        <v>465</v>
      </c>
      <c r="C142" t="s">
        <v>352</v>
      </c>
      <c r="D142" t="s">
        <v>629</v>
      </c>
      <c r="E142" t="str">
        <f t="shared" si="4"/>
        <v>BOSP</v>
      </c>
      <c r="F142" t="str">
        <f t="shared" si="5"/>
        <v>BOSP</v>
      </c>
      <c r="G142">
        <f>IF(COUNTIFS(Factory_Components!$A$2:$A$61,VLOOKUP(A142,Runs!$A$2:$B$9,2,FALSE()),Factory_Components!$B$2:$B$61,"a",Factory_Components!$D$2:$D$61,F142)&gt;0,1,0)</f>
        <v>1</v>
      </c>
    </row>
    <row r="143" spans="1:7" ht="15" customHeight="1" x14ac:dyDescent="0.25">
      <c r="A143" t="s">
        <v>2</v>
      </c>
      <c r="B143" t="s">
        <v>477</v>
      </c>
      <c r="C143" t="s">
        <v>353</v>
      </c>
      <c r="D143" t="s">
        <v>630</v>
      </c>
      <c r="E143" t="str">
        <f t="shared" si="4"/>
        <v>BOSP</v>
      </c>
      <c r="F143" t="str">
        <f t="shared" si="5"/>
        <v>BOSP</v>
      </c>
      <c r="G143">
        <f>IF(COUNTIFS(Factory_Components!$A$2:$A$61,VLOOKUP(A143,Runs!$A$2:$B$9,2,FALSE()),Factory_Components!$B$2:$B$61,"a",Factory_Components!$D$2:$D$61,F143)&gt;0,1,0)</f>
        <v>1</v>
      </c>
    </row>
    <row r="144" spans="1:7" ht="15" customHeight="1" x14ac:dyDescent="0.25">
      <c r="A144" t="s">
        <v>2</v>
      </c>
      <c r="B144" t="s">
        <v>441</v>
      </c>
      <c r="C144" t="s">
        <v>350</v>
      </c>
      <c r="D144" t="s">
        <v>631</v>
      </c>
      <c r="E144" t="str">
        <f t="shared" si="4"/>
        <v>RT</v>
      </c>
      <c r="F144" t="str">
        <f t="shared" si="5"/>
        <v>RT</v>
      </c>
      <c r="G144">
        <f>IF(COUNTIFS(Factory_Components!$A$2:$A$61,VLOOKUP(A144,Runs!$A$2:$B$9,2,FALSE()),Factory_Components!$B$2:$B$61,"a",Factory_Components!$D$2:$D$61,F144)&gt;0,1,0)</f>
        <v>1</v>
      </c>
    </row>
    <row r="145" spans="1:7" ht="15" customHeight="1" x14ac:dyDescent="0.25">
      <c r="A145" t="s">
        <v>2</v>
      </c>
      <c r="B145" t="s">
        <v>632</v>
      </c>
      <c r="C145" t="s">
        <v>351</v>
      </c>
      <c r="D145" t="s">
        <v>633</v>
      </c>
      <c r="E145" t="str">
        <f t="shared" si="4"/>
        <v>BAT</v>
      </c>
      <c r="F145" t="str">
        <f t="shared" si="5"/>
        <v>BAT</v>
      </c>
      <c r="G145">
        <f>IF(COUNTIFS(Factory_Components!$A$2:$A$61,VLOOKUP(A145,Runs!$A$2:$B$9,2,FALSE()),Factory_Components!$B$2:$B$61,"a",Factory_Components!$D$2:$D$61,F145)&gt;0,1,0)</f>
        <v>1</v>
      </c>
    </row>
    <row r="146" spans="1:7" ht="15" customHeight="1" x14ac:dyDescent="0.25">
      <c r="A146" t="s">
        <v>2</v>
      </c>
      <c r="B146" t="s">
        <v>481</v>
      </c>
      <c r="C146" t="s">
        <v>353</v>
      </c>
      <c r="D146" t="s">
        <v>634</v>
      </c>
      <c r="E146" t="str">
        <f t="shared" si="4"/>
        <v>BOSP</v>
      </c>
      <c r="F146" t="str">
        <f t="shared" si="5"/>
        <v>BOSP</v>
      </c>
      <c r="G146">
        <f>IF(COUNTIFS(Factory_Components!$A$2:$A$61,VLOOKUP(A146,Runs!$A$2:$B$9,2,FALSE()),Factory_Components!$B$2:$B$61,"a",Factory_Components!$D$2:$D$61,F146)&gt;0,1,0)</f>
        <v>1</v>
      </c>
    </row>
    <row r="147" spans="1:7" ht="15" customHeight="1" x14ac:dyDescent="0.25">
      <c r="A147" t="s">
        <v>2</v>
      </c>
      <c r="B147" t="s">
        <v>443</v>
      </c>
      <c r="C147" t="s">
        <v>350</v>
      </c>
      <c r="D147" t="s">
        <v>635</v>
      </c>
      <c r="E147" t="str">
        <f t="shared" si="4"/>
        <v>RT</v>
      </c>
      <c r="F147" t="str">
        <f t="shared" si="5"/>
        <v>RT</v>
      </c>
      <c r="G147">
        <f>IF(COUNTIFS(Factory_Components!$A$2:$A$61,VLOOKUP(A147,Runs!$A$2:$B$9,2,FALSE()),Factory_Components!$B$2:$B$61,"a",Factory_Components!$D$2:$D$61,F147)&gt;0,1,0)</f>
        <v>1</v>
      </c>
    </row>
    <row r="148" spans="1:7" ht="15" customHeight="1" x14ac:dyDescent="0.25">
      <c r="A148" t="s">
        <v>2</v>
      </c>
      <c r="B148" t="s">
        <v>455</v>
      </c>
      <c r="C148" t="s">
        <v>351</v>
      </c>
      <c r="D148" t="s">
        <v>636</v>
      </c>
      <c r="E148" t="str">
        <f t="shared" si="4"/>
        <v>RT</v>
      </c>
      <c r="F148" t="str">
        <f t="shared" si="5"/>
        <v>RT</v>
      </c>
      <c r="G148">
        <f>IF(COUNTIFS(Factory_Components!$A$2:$A$61,VLOOKUP(A148,Runs!$A$2:$B$9,2,FALSE()),Factory_Components!$B$2:$B$61,"a",Factory_Components!$D$2:$D$61,F148)&gt;0,1,0)</f>
        <v>1</v>
      </c>
    </row>
    <row r="149" spans="1:7" ht="15" customHeight="1" x14ac:dyDescent="0.25">
      <c r="A149" t="s">
        <v>2</v>
      </c>
      <c r="B149" t="s">
        <v>637</v>
      </c>
      <c r="C149" t="s">
        <v>352</v>
      </c>
      <c r="D149" t="s">
        <v>638</v>
      </c>
      <c r="E149" t="str">
        <f t="shared" si="4"/>
        <v>BAT</v>
      </c>
      <c r="F149" t="str">
        <f t="shared" si="5"/>
        <v>BAT</v>
      </c>
      <c r="G149">
        <f>IF(COUNTIFS(Factory_Components!$A$2:$A$61,VLOOKUP(A149,Runs!$A$2:$B$9,2,FALSE()),Factory_Components!$B$2:$B$61,"a",Factory_Components!$D$2:$D$61,F149)&gt;0,1,0)</f>
        <v>1</v>
      </c>
    </row>
    <row r="150" spans="1:7" ht="15" customHeight="1" x14ac:dyDescent="0.25">
      <c r="A150" t="s">
        <v>2</v>
      </c>
      <c r="B150" t="s">
        <v>445</v>
      </c>
      <c r="C150" t="s">
        <v>350</v>
      </c>
      <c r="D150" t="s">
        <v>639</v>
      </c>
      <c r="E150" t="str">
        <f t="shared" si="4"/>
        <v>FT</v>
      </c>
      <c r="F150" t="str">
        <f t="shared" si="5"/>
        <v>FT</v>
      </c>
      <c r="G150">
        <f>IF(COUNTIFS(Factory_Components!$A$2:$A$61,VLOOKUP(A150,Runs!$A$2:$B$9,2,FALSE()),Factory_Components!$B$2:$B$61,"a",Factory_Components!$D$2:$D$61,F150)&gt;0,1,0)</f>
        <v>1</v>
      </c>
    </row>
    <row r="151" spans="1:7" ht="15" customHeight="1" x14ac:dyDescent="0.25">
      <c r="A151" t="s">
        <v>2</v>
      </c>
      <c r="B151" t="s">
        <v>459</v>
      </c>
      <c r="C151" t="s">
        <v>351</v>
      </c>
      <c r="D151" t="s">
        <v>640</v>
      </c>
      <c r="E151" t="str">
        <f t="shared" si="4"/>
        <v>RT</v>
      </c>
      <c r="F151" t="str">
        <f t="shared" si="5"/>
        <v>RT</v>
      </c>
      <c r="G151">
        <f>IF(COUNTIFS(Factory_Components!$A$2:$A$61,VLOOKUP(A151,Runs!$A$2:$B$9,2,FALSE()),Factory_Components!$B$2:$B$61,"a",Factory_Components!$D$2:$D$61,F151)&gt;0,1,0)</f>
        <v>1</v>
      </c>
    </row>
    <row r="152" spans="1:7" ht="15" customHeight="1" x14ac:dyDescent="0.25">
      <c r="A152" t="s">
        <v>2</v>
      </c>
      <c r="B152" t="s">
        <v>471</v>
      </c>
      <c r="C152" t="s">
        <v>352</v>
      </c>
      <c r="D152" t="s">
        <v>641</v>
      </c>
      <c r="E152" t="str">
        <f t="shared" si="4"/>
        <v>RT</v>
      </c>
      <c r="F152" t="str">
        <f t="shared" si="5"/>
        <v>RT</v>
      </c>
      <c r="G152">
        <f>IF(COUNTIFS(Factory_Components!$A$2:$A$61,VLOOKUP(A152,Runs!$A$2:$B$9,2,FALSE()),Factory_Components!$B$2:$B$61,"a",Factory_Components!$D$2:$D$61,F152)&gt;0,1,0)</f>
        <v>1</v>
      </c>
    </row>
    <row r="153" spans="1:7" ht="15" customHeight="1" x14ac:dyDescent="0.25">
      <c r="A153" t="s">
        <v>2</v>
      </c>
      <c r="B153" t="s">
        <v>489</v>
      </c>
      <c r="C153" t="s">
        <v>353</v>
      </c>
      <c r="D153" t="s">
        <v>642</v>
      </c>
      <c r="E153" t="str">
        <f t="shared" si="4"/>
        <v>BAT</v>
      </c>
      <c r="F153" t="str">
        <f t="shared" si="5"/>
        <v>BAT</v>
      </c>
      <c r="G153">
        <f>IF(COUNTIFS(Factory_Components!$A$2:$A$61,VLOOKUP(A153,Runs!$A$2:$B$9,2,FALSE()),Factory_Components!$B$2:$B$61,"a",Factory_Components!$D$2:$D$61,F153)&gt;0,1,0)</f>
        <v>1</v>
      </c>
    </row>
    <row r="154" spans="1:7" ht="15" customHeight="1" x14ac:dyDescent="0.25">
      <c r="A154" t="s">
        <v>2</v>
      </c>
      <c r="B154" t="s">
        <v>447</v>
      </c>
      <c r="C154" t="s">
        <v>350</v>
      </c>
      <c r="D154" t="s">
        <v>643</v>
      </c>
      <c r="E154" t="str">
        <f t="shared" si="4"/>
        <v>FT</v>
      </c>
      <c r="F154" t="str">
        <f t="shared" si="5"/>
        <v>FT</v>
      </c>
      <c r="G154">
        <f>IF(COUNTIFS(Factory_Components!$A$2:$A$61,VLOOKUP(A154,Runs!$A$2:$B$9,2,FALSE()),Factory_Components!$B$2:$B$61,"a",Factory_Components!$D$2:$D$61,F154)&gt;0,1,0)</f>
        <v>1</v>
      </c>
    </row>
    <row r="155" spans="1:7" ht="15" customHeight="1" x14ac:dyDescent="0.25">
      <c r="A155" t="s">
        <v>2</v>
      </c>
      <c r="B155" t="s">
        <v>644</v>
      </c>
      <c r="C155" t="s">
        <v>351</v>
      </c>
      <c r="D155" t="s">
        <v>645</v>
      </c>
      <c r="E155" t="str">
        <f t="shared" si="4"/>
        <v>FT</v>
      </c>
      <c r="F155" t="str">
        <f t="shared" si="5"/>
        <v>FT</v>
      </c>
      <c r="G155">
        <f>IF(COUNTIFS(Factory_Components!$A$2:$A$61,VLOOKUP(A155,Runs!$A$2:$B$9,2,FALSE()),Factory_Components!$B$2:$B$61,"a",Factory_Components!$D$2:$D$61,F155)&gt;0,1,0)</f>
        <v>1</v>
      </c>
    </row>
    <row r="156" spans="1:7" ht="15" customHeight="1" x14ac:dyDescent="0.25">
      <c r="A156" t="s">
        <v>2</v>
      </c>
      <c r="B156" t="s">
        <v>475</v>
      </c>
      <c r="C156" t="s">
        <v>352</v>
      </c>
      <c r="D156" t="s">
        <v>646</v>
      </c>
      <c r="E156" t="str">
        <f t="shared" si="4"/>
        <v>RT</v>
      </c>
      <c r="F156" t="str">
        <f t="shared" si="5"/>
        <v>RT</v>
      </c>
      <c r="G156">
        <f>IF(COUNTIFS(Factory_Components!$A$2:$A$61,VLOOKUP(A156,Runs!$A$2:$B$9,2,FALSE()),Factory_Components!$B$2:$B$61,"a",Factory_Components!$D$2:$D$61,F156)&gt;0,1,0)</f>
        <v>1</v>
      </c>
    </row>
    <row r="157" spans="1:7" ht="15" customHeight="1" x14ac:dyDescent="0.25">
      <c r="A157" t="s">
        <v>2</v>
      </c>
      <c r="B157" t="s">
        <v>493</v>
      </c>
      <c r="C157" t="s">
        <v>353</v>
      </c>
      <c r="D157" t="s">
        <v>647</v>
      </c>
      <c r="E157" t="str">
        <f t="shared" si="4"/>
        <v>RT</v>
      </c>
      <c r="F157" t="str">
        <f t="shared" si="5"/>
        <v>RT</v>
      </c>
      <c r="G157">
        <f>IF(COUNTIFS(Factory_Components!$A$2:$A$61,VLOOKUP(A157,Runs!$A$2:$B$9,2,FALSE()),Factory_Components!$B$2:$B$61,"a",Factory_Components!$D$2:$D$61,F157)&gt;0,1,0)</f>
        <v>1</v>
      </c>
    </row>
    <row r="158" spans="1:7" ht="15" customHeight="1" x14ac:dyDescent="0.25">
      <c r="A158" t="s">
        <v>2</v>
      </c>
      <c r="B158" t="s">
        <v>648</v>
      </c>
      <c r="C158" t="s">
        <v>351</v>
      </c>
      <c r="D158" t="s">
        <v>649</v>
      </c>
      <c r="E158" t="str">
        <f t="shared" si="4"/>
        <v>FT</v>
      </c>
      <c r="F158" t="str">
        <f t="shared" si="5"/>
        <v>FT</v>
      </c>
      <c r="G158">
        <f>IF(COUNTIFS(Factory_Components!$A$2:$A$61,VLOOKUP(A158,Runs!$A$2:$B$9,2,FALSE()),Factory_Components!$B$2:$B$61,"a",Factory_Components!$D$2:$D$61,F158)&gt;0,1,0)</f>
        <v>1</v>
      </c>
    </row>
    <row r="159" spans="1:7" ht="15" customHeight="1" x14ac:dyDescent="0.25">
      <c r="A159" t="s">
        <v>2</v>
      </c>
      <c r="B159" t="s">
        <v>650</v>
      </c>
      <c r="C159" t="s">
        <v>352</v>
      </c>
      <c r="D159" t="s">
        <v>651</v>
      </c>
      <c r="E159" t="str">
        <f t="shared" si="4"/>
        <v>FT</v>
      </c>
      <c r="F159" t="str">
        <f t="shared" si="5"/>
        <v>FT</v>
      </c>
      <c r="G159">
        <f>IF(COUNTIFS(Factory_Components!$A$2:$A$61,VLOOKUP(A159,Runs!$A$2:$B$9,2,FALSE()),Factory_Components!$B$2:$B$61,"a",Factory_Components!$D$2:$D$61,F159)&gt;0,1,0)</f>
        <v>1</v>
      </c>
    </row>
    <row r="160" spans="1:7" ht="15" customHeight="1" x14ac:dyDescent="0.25">
      <c r="A160" t="s">
        <v>2</v>
      </c>
      <c r="B160" t="s">
        <v>495</v>
      </c>
      <c r="C160" t="s">
        <v>353</v>
      </c>
      <c r="D160" t="s">
        <v>652</v>
      </c>
      <c r="E160" t="str">
        <f t="shared" si="4"/>
        <v>RT</v>
      </c>
      <c r="F160" t="str">
        <f t="shared" si="5"/>
        <v>RT</v>
      </c>
      <c r="G160">
        <f>IF(COUNTIFS(Factory_Components!$A$2:$A$61,VLOOKUP(A160,Runs!$A$2:$B$9,2,FALSE()),Factory_Components!$B$2:$B$61,"a",Factory_Components!$D$2:$D$61,F160)&gt;0,1,0)</f>
        <v>1</v>
      </c>
    </row>
    <row r="161" spans="1:7" ht="15" customHeight="1" x14ac:dyDescent="0.25">
      <c r="A161" t="s">
        <v>2</v>
      </c>
      <c r="B161" t="s">
        <v>653</v>
      </c>
      <c r="C161" t="s">
        <v>352</v>
      </c>
      <c r="D161" t="s">
        <v>654</v>
      </c>
      <c r="E161" t="str">
        <f t="shared" si="4"/>
        <v>FT</v>
      </c>
      <c r="F161" t="str">
        <f t="shared" si="5"/>
        <v>FT</v>
      </c>
      <c r="G161">
        <f>IF(COUNTIFS(Factory_Components!$A$2:$A$61,VLOOKUP(A161,Runs!$A$2:$B$9,2,FALSE()),Factory_Components!$B$2:$B$61,"a",Factory_Components!$D$2:$D$61,F161)&gt;0,1,0)</f>
        <v>1</v>
      </c>
    </row>
    <row r="162" spans="1:7" ht="15" customHeight="1" x14ac:dyDescent="0.25">
      <c r="A162" t="s">
        <v>2</v>
      </c>
      <c r="B162" t="s">
        <v>501</v>
      </c>
      <c r="C162" t="s">
        <v>353</v>
      </c>
      <c r="D162" t="s">
        <v>655</v>
      </c>
      <c r="E162" t="str">
        <f t="shared" si="4"/>
        <v>FT</v>
      </c>
      <c r="F162" t="str">
        <f t="shared" si="5"/>
        <v>FT</v>
      </c>
      <c r="G162">
        <f>IF(COUNTIFS(Factory_Components!$A$2:$A$61,VLOOKUP(A162,Runs!$A$2:$B$9,2,FALSE()),Factory_Components!$B$2:$B$61,"a",Factory_Components!$D$2:$D$61,F162)&gt;0,1,0)</f>
        <v>1</v>
      </c>
    </row>
    <row r="163" spans="1:7" ht="15" customHeight="1" x14ac:dyDescent="0.25">
      <c r="A163" t="s">
        <v>2</v>
      </c>
      <c r="B163" t="s">
        <v>503</v>
      </c>
      <c r="C163" t="s">
        <v>353</v>
      </c>
      <c r="D163" t="s">
        <v>656</v>
      </c>
      <c r="E163" t="str">
        <f t="shared" si="4"/>
        <v>FT</v>
      </c>
      <c r="F163" t="str">
        <f t="shared" si="5"/>
        <v>FT</v>
      </c>
      <c r="G163">
        <f>IF(COUNTIFS(Factory_Components!$A$2:$A$61,VLOOKUP(A163,Runs!$A$2:$B$9,2,FALSE()),Factory_Components!$B$2:$B$61,"a",Factory_Components!$D$2:$D$61,F163)&gt;0,1,0)</f>
        <v>1</v>
      </c>
    </row>
    <row r="164" spans="1:7" ht="15" customHeight="1" x14ac:dyDescent="0.25">
      <c r="A164" t="s">
        <v>2</v>
      </c>
      <c r="B164" t="s">
        <v>453</v>
      </c>
      <c r="C164" t="s">
        <v>350</v>
      </c>
      <c r="D164" t="s">
        <v>657</v>
      </c>
      <c r="E164" t="str">
        <f t="shared" si="4"/>
        <v>SSA</v>
      </c>
      <c r="F164" t="str">
        <f t="shared" si="5"/>
        <v>SSA</v>
      </c>
      <c r="G164">
        <f>IF(COUNTIFS(Factory_Components!$A$2:$A$61,VLOOKUP(A164,Runs!$A$2:$B$9,2,FALSE()),Factory_Components!$B$2:$B$61,"a",Factory_Components!$D$2:$D$61,F164)&gt;0,1,0)</f>
        <v>1</v>
      </c>
    </row>
    <row r="165" spans="1:7" ht="15" customHeight="1" x14ac:dyDescent="0.25">
      <c r="A165" t="s">
        <v>2</v>
      </c>
      <c r="B165" t="s">
        <v>658</v>
      </c>
      <c r="C165" t="s">
        <v>351</v>
      </c>
      <c r="D165" t="s">
        <v>659</v>
      </c>
      <c r="E165" t="str">
        <f t="shared" si="4"/>
        <v>SSA</v>
      </c>
      <c r="F165" t="str">
        <f t="shared" si="5"/>
        <v>SSA</v>
      </c>
      <c r="G165">
        <f>IF(COUNTIFS(Factory_Components!$A$2:$A$61,VLOOKUP(A165,Runs!$A$2:$B$9,2,FALSE()),Factory_Components!$B$2:$B$61,"a",Factory_Components!$D$2:$D$61,F165)&gt;0,1,0)</f>
        <v>1</v>
      </c>
    </row>
    <row r="166" spans="1:7" ht="15" customHeight="1" x14ac:dyDescent="0.25">
      <c r="A166" t="s">
        <v>2</v>
      </c>
      <c r="B166" t="s">
        <v>457</v>
      </c>
      <c r="C166" t="s">
        <v>350</v>
      </c>
      <c r="D166" t="s">
        <v>660</v>
      </c>
      <c r="E166" t="str">
        <f t="shared" si="4"/>
        <v>SSA</v>
      </c>
      <c r="F166" t="str">
        <f t="shared" si="5"/>
        <v>SSA</v>
      </c>
      <c r="G166">
        <f>IF(COUNTIFS(Factory_Components!$A$2:$A$61,VLOOKUP(A166,Runs!$A$2:$B$9,2,FALSE()),Factory_Components!$B$2:$B$61,"a",Factory_Components!$D$2:$D$61,F166)&gt;0,1,0)</f>
        <v>1</v>
      </c>
    </row>
    <row r="167" spans="1:7" ht="15" customHeight="1" x14ac:dyDescent="0.25">
      <c r="A167" t="s">
        <v>2</v>
      </c>
      <c r="B167" t="s">
        <v>661</v>
      </c>
      <c r="C167" t="s">
        <v>350</v>
      </c>
      <c r="D167" t="s">
        <v>662</v>
      </c>
      <c r="E167" t="str">
        <f t="shared" si="4"/>
        <v>FAX</v>
      </c>
      <c r="F167" t="str">
        <f t="shared" si="5"/>
        <v>FAX</v>
      </c>
      <c r="G167">
        <f>IF(COUNTIFS(Factory_Components!$A$2:$A$61,VLOOKUP(A167,Runs!$A$2:$B$9,2,FALSE()),Factory_Components!$B$2:$B$61,"a",Factory_Components!$D$2:$D$61,F167)&gt;0,1,0)</f>
        <v>1</v>
      </c>
    </row>
    <row r="168" spans="1:7" ht="15" customHeight="1" x14ac:dyDescent="0.25">
      <c r="A168" t="s">
        <v>2</v>
      </c>
      <c r="B168" t="s">
        <v>663</v>
      </c>
      <c r="C168" t="s">
        <v>352</v>
      </c>
      <c r="D168" t="s">
        <v>664</v>
      </c>
      <c r="E168" t="str">
        <f t="shared" si="4"/>
        <v>SSA</v>
      </c>
      <c r="F168" t="str">
        <f t="shared" si="5"/>
        <v>SSA</v>
      </c>
      <c r="G168">
        <f>IF(COUNTIFS(Factory_Components!$A$2:$A$61,VLOOKUP(A168,Runs!$A$2:$B$9,2,FALSE()),Factory_Components!$B$2:$B$61,"a",Factory_Components!$D$2:$D$61,F168)&gt;0,1,0)</f>
        <v>1</v>
      </c>
    </row>
    <row r="169" spans="1:7" ht="15" customHeight="1" x14ac:dyDescent="0.25">
      <c r="A169" t="s">
        <v>2</v>
      </c>
      <c r="B169" t="s">
        <v>665</v>
      </c>
      <c r="C169" t="s">
        <v>351</v>
      </c>
      <c r="D169" t="s">
        <v>666</v>
      </c>
      <c r="E169" t="str">
        <f t="shared" si="4"/>
        <v>SSA</v>
      </c>
      <c r="F169" t="str">
        <f t="shared" si="5"/>
        <v>SSA</v>
      </c>
      <c r="G169">
        <f>IF(COUNTIFS(Factory_Components!$A$2:$A$61,VLOOKUP(A169,Runs!$A$2:$B$9,2,FALSE()),Factory_Components!$B$2:$B$61,"a",Factory_Components!$D$2:$D$61,F169)&gt;0,1,0)</f>
        <v>1</v>
      </c>
    </row>
    <row r="170" spans="1:7" ht="15" customHeight="1" x14ac:dyDescent="0.25">
      <c r="A170" t="s">
        <v>2</v>
      </c>
      <c r="B170" t="s">
        <v>667</v>
      </c>
      <c r="C170" t="s">
        <v>351</v>
      </c>
      <c r="D170" t="s">
        <v>668</v>
      </c>
      <c r="E170" t="str">
        <f t="shared" si="4"/>
        <v>FAX</v>
      </c>
      <c r="F170" t="str">
        <f t="shared" si="5"/>
        <v>FAX</v>
      </c>
      <c r="G170">
        <f>IF(COUNTIFS(Factory_Components!$A$2:$A$61,VLOOKUP(A170,Runs!$A$2:$B$9,2,FALSE()),Factory_Components!$B$2:$B$61,"a",Factory_Components!$D$2:$D$61,F170)&gt;0,1,0)</f>
        <v>1</v>
      </c>
    </row>
    <row r="171" spans="1:7" ht="15" customHeight="1" x14ac:dyDescent="0.25">
      <c r="A171" t="s">
        <v>2</v>
      </c>
      <c r="B171" t="s">
        <v>669</v>
      </c>
      <c r="C171" t="s">
        <v>353</v>
      </c>
      <c r="D171" t="s">
        <v>670</v>
      </c>
      <c r="E171" t="str">
        <f t="shared" si="4"/>
        <v>SSA</v>
      </c>
      <c r="F171" t="str">
        <f t="shared" si="5"/>
        <v>SSA</v>
      </c>
      <c r="G171">
        <f>IF(COUNTIFS(Factory_Components!$A$2:$A$61,VLOOKUP(A171,Runs!$A$2:$B$9,2,FALSE()),Factory_Components!$B$2:$B$61,"a",Factory_Components!$D$2:$D$61,F171)&gt;0,1,0)</f>
        <v>1</v>
      </c>
    </row>
    <row r="172" spans="1:7" ht="15" customHeight="1" x14ac:dyDescent="0.25">
      <c r="A172" t="s">
        <v>2</v>
      </c>
      <c r="B172" t="s">
        <v>671</v>
      </c>
      <c r="C172" t="s">
        <v>352</v>
      </c>
      <c r="D172" t="s">
        <v>672</v>
      </c>
      <c r="E172" t="str">
        <f t="shared" si="4"/>
        <v>SSA</v>
      </c>
      <c r="F172" t="str">
        <f t="shared" si="5"/>
        <v>SSA</v>
      </c>
      <c r="G172">
        <f>IF(COUNTIFS(Factory_Components!$A$2:$A$61,VLOOKUP(A172,Runs!$A$2:$B$9,2,FALSE()),Factory_Components!$B$2:$B$61,"a",Factory_Components!$D$2:$D$61,F172)&gt;0,1,0)</f>
        <v>1</v>
      </c>
    </row>
    <row r="173" spans="1:7" ht="15" customHeight="1" x14ac:dyDescent="0.25">
      <c r="A173" t="s">
        <v>2</v>
      </c>
      <c r="B173" t="s">
        <v>673</v>
      </c>
      <c r="C173" t="s">
        <v>352</v>
      </c>
      <c r="D173" t="s">
        <v>674</v>
      </c>
      <c r="E173" t="str">
        <f t="shared" si="4"/>
        <v>FAX</v>
      </c>
      <c r="F173" t="str">
        <f t="shared" si="5"/>
        <v>FAX</v>
      </c>
      <c r="G173">
        <f>IF(COUNTIFS(Factory_Components!$A$2:$A$61,VLOOKUP(A173,Runs!$A$2:$B$9,2,FALSE()),Factory_Components!$B$2:$B$61,"a",Factory_Components!$D$2:$D$61,F173)&gt;0,1,0)</f>
        <v>1</v>
      </c>
    </row>
    <row r="174" spans="1:7" ht="15" customHeight="1" x14ac:dyDescent="0.25">
      <c r="A174" t="s">
        <v>2</v>
      </c>
      <c r="B174" t="s">
        <v>675</v>
      </c>
      <c r="C174" t="s">
        <v>350</v>
      </c>
      <c r="D174" t="s">
        <v>676</v>
      </c>
      <c r="E174" t="str">
        <f t="shared" si="4"/>
        <v>CHS</v>
      </c>
      <c r="F174" t="str">
        <f t="shared" si="5"/>
        <v>CHS</v>
      </c>
      <c r="G174">
        <f>IF(COUNTIFS(Factory_Components!$A$2:$A$61,VLOOKUP(A174,Runs!$A$2:$B$9,2,FALSE()),Factory_Components!$B$2:$B$61,"a",Factory_Components!$D$2:$D$61,F174)&gt;0,1,0)</f>
        <v>1</v>
      </c>
    </row>
    <row r="175" spans="1:7" ht="15" customHeight="1" x14ac:dyDescent="0.25">
      <c r="A175" t="s">
        <v>2</v>
      </c>
      <c r="B175" t="s">
        <v>677</v>
      </c>
      <c r="C175" t="s">
        <v>353</v>
      </c>
      <c r="D175" t="s">
        <v>678</v>
      </c>
      <c r="E175" t="str">
        <f t="shared" si="4"/>
        <v>SSA</v>
      </c>
      <c r="F175" t="str">
        <f t="shared" si="5"/>
        <v>SSA</v>
      </c>
      <c r="G175">
        <f>IF(COUNTIFS(Factory_Components!$A$2:$A$61,VLOOKUP(A175,Runs!$A$2:$B$9,2,FALSE()),Factory_Components!$B$2:$B$61,"a",Factory_Components!$D$2:$D$61,F175)&gt;0,1,0)</f>
        <v>1</v>
      </c>
    </row>
    <row r="176" spans="1:7" ht="15" customHeight="1" x14ac:dyDescent="0.25">
      <c r="A176" t="s">
        <v>2</v>
      </c>
      <c r="B176" t="s">
        <v>679</v>
      </c>
      <c r="C176" t="s">
        <v>353</v>
      </c>
      <c r="D176" t="s">
        <v>680</v>
      </c>
      <c r="E176" t="str">
        <f t="shared" si="4"/>
        <v>FAX</v>
      </c>
      <c r="F176" t="str">
        <f t="shared" si="5"/>
        <v>FAX</v>
      </c>
      <c r="G176">
        <f>IF(COUNTIFS(Factory_Components!$A$2:$A$61,VLOOKUP(A176,Runs!$A$2:$B$9,2,FALSE()),Factory_Components!$B$2:$B$61,"a",Factory_Components!$D$2:$D$61,F176)&gt;0,1,0)</f>
        <v>1</v>
      </c>
    </row>
    <row r="177" spans="1:7" ht="15" customHeight="1" x14ac:dyDescent="0.25">
      <c r="A177" t="s">
        <v>2</v>
      </c>
      <c r="B177" t="s">
        <v>681</v>
      </c>
      <c r="C177" t="s">
        <v>351</v>
      </c>
      <c r="D177" t="s">
        <v>682</v>
      </c>
      <c r="E177" t="str">
        <f t="shared" si="4"/>
        <v>CHS</v>
      </c>
      <c r="F177" t="str">
        <f t="shared" si="5"/>
        <v>CHS</v>
      </c>
      <c r="G177">
        <f>IF(COUNTIFS(Factory_Components!$A$2:$A$61,VLOOKUP(A177,Runs!$A$2:$B$9,2,FALSE()),Factory_Components!$B$2:$B$61,"a",Factory_Components!$D$2:$D$61,F177)&gt;0,1,0)</f>
        <v>1</v>
      </c>
    </row>
    <row r="178" spans="1:7" ht="15" customHeight="1" x14ac:dyDescent="0.25">
      <c r="A178" t="s">
        <v>2</v>
      </c>
      <c r="B178" t="s">
        <v>463</v>
      </c>
      <c r="C178" t="s">
        <v>350</v>
      </c>
      <c r="D178" t="s">
        <v>683</v>
      </c>
      <c r="E178" t="str">
        <f t="shared" si="4"/>
        <v>BSA</v>
      </c>
      <c r="F178" t="str">
        <f t="shared" si="5"/>
        <v>BSA</v>
      </c>
      <c r="G178">
        <f>IF(COUNTIFS(Factory_Components!$A$2:$A$61,VLOOKUP(A178,Runs!$A$2:$B$9,2,FALSE()),Factory_Components!$B$2:$B$61,"a",Factory_Components!$D$2:$D$61,F178)&gt;0,1,0)</f>
        <v>1</v>
      </c>
    </row>
    <row r="179" spans="1:7" ht="15" customHeight="1" x14ac:dyDescent="0.25">
      <c r="A179" t="s">
        <v>2</v>
      </c>
      <c r="B179" t="s">
        <v>684</v>
      </c>
      <c r="C179" t="s">
        <v>352</v>
      </c>
      <c r="D179" t="s">
        <v>685</v>
      </c>
      <c r="E179" t="str">
        <f t="shared" si="4"/>
        <v>CHS</v>
      </c>
      <c r="F179" t="str">
        <f t="shared" si="5"/>
        <v>CHS</v>
      </c>
      <c r="G179">
        <f>IF(COUNTIFS(Factory_Components!$A$2:$A$61,VLOOKUP(A179,Runs!$A$2:$B$9,2,FALSE()),Factory_Components!$B$2:$B$61,"a",Factory_Components!$D$2:$D$61,F179)&gt;0,1,0)</f>
        <v>1</v>
      </c>
    </row>
    <row r="180" spans="1:7" ht="15" customHeight="1" x14ac:dyDescent="0.25">
      <c r="A180" t="s">
        <v>2</v>
      </c>
      <c r="B180" t="s">
        <v>479</v>
      </c>
      <c r="C180" t="s">
        <v>351</v>
      </c>
      <c r="D180" t="s">
        <v>686</v>
      </c>
      <c r="E180" t="str">
        <f t="shared" si="4"/>
        <v>BSA</v>
      </c>
      <c r="F180" t="str">
        <f t="shared" si="5"/>
        <v>BSA</v>
      </c>
      <c r="G180">
        <f>IF(COUNTIFS(Factory_Components!$A$2:$A$61,VLOOKUP(A180,Runs!$A$2:$B$9,2,FALSE()),Factory_Components!$B$2:$B$61,"a",Factory_Components!$D$2:$D$61,F180)&gt;0,1,0)</f>
        <v>1</v>
      </c>
    </row>
    <row r="181" spans="1:7" ht="15" customHeight="1" x14ac:dyDescent="0.25">
      <c r="A181" t="s">
        <v>2</v>
      </c>
      <c r="B181" t="s">
        <v>467</v>
      </c>
      <c r="C181" t="s">
        <v>350</v>
      </c>
      <c r="D181" t="s">
        <v>687</v>
      </c>
      <c r="E181" t="str">
        <f t="shared" si="4"/>
        <v>BSA</v>
      </c>
      <c r="F181" t="str">
        <f t="shared" si="5"/>
        <v>BSA</v>
      </c>
      <c r="G181">
        <f>IF(COUNTIFS(Factory_Components!$A$2:$A$61,VLOOKUP(A181,Runs!$A$2:$B$9,2,FALSE()),Factory_Components!$B$2:$B$61,"a",Factory_Components!$D$2:$D$61,F181)&gt;0,1,0)</f>
        <v>1</v>
      </c>
    </row>
    <row r="182" spans="1:7" ht="15" customHeight="1" x14ac:dyDescent="0.25">
      <c r="A182" t="s">
        <v>2</v>
      </c>
      <c r="B182" t="s">
        <v>688</v>
      </c>
      <c r="C182" t="s">
        <v>350</v>
      </c>
      <c r="D182" t="s">
        <v>689</v>
      </c>
      <c r="E182" t="str">
        <f t="shared" si="4"/>
        <v>RAX_HD</v>
      </c>
      <c r="F182" t="str">
        <f t="shared" si="5"/>
        <v>RAX_HD</v>
      </c>
      <c r="G182">
        <f>IF(COUNTIFS(Factory_Components!$A$2:$A$61,VLOOKUP(A182,Runs!$A$2:$B$9,2,FALSE()),Factory_Components!$B$2:$B$61,"a",Factory_Components!$D$2:$D$61,F182)&gt;0,1,0)</f>
        <v>0</v>
      </c>
    </row>
    <row r="183" spans="1:7" ht="15" customHeight="1" x14ac:dyDescent="0.25">
      <c r="A183" t="s">
        <v>2</v>
      </c>
      <c r="B183" t="s">
        <v>690</v>
      </c>
      <c r="C183" t="s">
        <v>353</v>
      </c>
      <c r="D183" t="s">
        <v>691</v>
      </c>
      <c r="E183" t="str">
        <f t="shared" si="4"/>
        <v>CHS</v>
      </c>
      <c r="F183" t="str">
        <f t="shared" si="5"/>
        <v>CHS</v>
      </c>
      <c r="G183">
        <f>IF(COUNTIFS(Factory_Components!$A$2:$A$61,VLOOKUP(A183,Runs!$A$2:$B$9,2,FALSE()),Factory_Components!$B$2:$B$61,"a",Factory_Components!$D$2:$D$61,F183)&gt;0,1,0)</f>
        <v>1</v>
      </c>
    </row>
    <row r="184" spans="1:7" ht="15" customHeight="1" x14ac:dyDescent="0.25">
      <c r="A184" t="s">
        <v>2</v>
      </c>
      <c r="B184" t="s">
        <v>491</v>
      </c>
      <c r="C184" t="s">
        <v>352</v>
      </c>
      <c r="D184" t="s">
        <v>692</v>
      </c>
      <c r="E184" t="str">
        <f t="shared" si="4"/>
        <v>BSA</v>
      </c>
      <c r="F184" t="str">
        <f t="shared" si="5"/>
        <v>BSA</v>
      </c>
      <c r="G184">
        <f>IF(COUNTIFS(Factory_Components!$A$2:$A$61,VLOOKUP(A184,Runs!$A$2:$B$9,2,FALSE()),Factory_Components!$B$2:$B$61,"a",Factory_Components!$D$2:$D$61,F184)&gt;0,1,0)</f>
        <v>1</v>
      </c>
    </row>
    <row r="185" spans="1:7" ht="15" customHeight="1" x14ac:dyDescent="0.25">
      <c r="A185" t="s">
        <v>2</v>
      </c>
      <c r="B185" t="s">
        <v>507</v>
      </c>
      <c r="C185" t="s">
        <v>350</v>
      </c>
      <c r="D185" t="s">
        <v>693</v>
      </c>
      <c r="E185" t="str">
        <f t="shared" si="4"/>
        <v>BOSP</v>
      </c>
      <c r="F185" t="str">
        <f t="shared" si="5"/>
        <v>BOSP</v>
      </c>
      <c r="G185">
        <f>IF(COUNTIFS(Factory_Components!$A$2:$A$61,VLOOKUP(A185,Runs!$A$2:$B$9,2,FALSE()),Factory_Components!$B$2:$B$61,"a",Factory_Components!$D$2:$D$61,F185)&gt;0,1,0)</f>
        <v>1</v>
      </c>
    </row>
    <row r="186" spans="1:7" ht="15" customHeight="1" x14ac:dyDescent="0.25">
      <c r="A186" t="s">
        <v>2</v>
      </c>
      <c r="B186" t="s">
        <v>483</v>
      </c>
      <c r="C186" t="s">
        <v>351</v>
      </c>
      <c r="D186" t="s">
        <v>694</v>
      </c>
      <c r="E186" t="str">
        <f t="shared" si="4"/>
        <v>BSA</v>
      </c>
      <c r="F186" t="str">
        <f t="shared" si="5"/>
        <v>BSA</v>
      </c>
      <c r="G186">
        <f>IF(COUNTIFS(Factory_Components!$A$2:$A$61,VLOOKUP(A186,Runs!$A$2:$B$9,2,FALSE()),Factory_Components!$B$2:$B$61,"a",Factory_Components!$D$2:$D$61,F186)&gt;0,1,0)</f>
        <v>1</v>
      </c>
    </row>
    <row r="187" spans="1:7" ht="15" customHeight="1" x14ac:dyDescent="0.25">
      <c r="A187" t="s">
        <v>2</v>
      </c>
      <c r="B187" t="s">
        <v>695</v>
      </c>
      <c r="C187" t="s">
        <v>351</v>
      </c>
      <c r="D187" t="s">
        <v>696</v>
      </c>
      <c r="E187" t="str">
        <f t="shared" si="4"/>
        <v>RAX_HD</v>
      </c>
      <c r="F187" t="str">
        <f t="shared" si="5"/>
        <v>RAX_HD</v>
      </c>
      <c r="G187">
        <f>IF(COUNTIFS(Factory_Components!$A$2:$A$61,VLOOKUP(A187,Runs!$A$2:$B$9,2,FALSE()),Factory_Components!$B$2:$B$61,"a",Factory_Components!$D$2:$D$61,F187)&gt;0,1,0)</f>
        <v>0</v>
      </c>
    </row>
    <row r="188" spans="1:7" ht="15" customHeight="1" x14ac:dyDescent="0.25">
      <c r="A188" t="s">
        <v>2</v>
      </c>
      <c r="B188" t="s">
        <v>509</v>
      </c>
      <c r="C188" t="s">
        <v>350</v>
      </c>
      <c r="D188" t="s">
        <v>697</v>
      </c>
      <c r="E188" t="str">
        <f t="shared" si="4"/>
        <v>BOSP</v>
      </c>
      <c r="F188" t="str">
        <f t="shared" si="5"/>
        <v>BOSP</v>
      </c>
      <c r="G188">
        <f>IF(COUNTIFS(Factory_Components!$A$2:$A$61,VLOOKUP(A188,Runs!$A$2:$B$9,2,FALSE()),Factory_Components!$B$2:$B$61,"a",Factory_Components!$D$2:$D$61,F188)&gt;0,1,0)</f>
        <v>1</v>
      </c>
    </row>
    <row r="189" spans="1:7" ht="15" customHeight="1" x14ac:dyDescent="0.25">
      <c r="A189" t="s">
        <v>2</v>
      </c>
      <c r="B189" t="s">
        <v>698</v>
      </c>
      <c r="C189" t="s">
        <v>353</v>
      </c>
      <c r="D189" t="s">
        <v>699</v>
      </c>
      <c r="E189" t="str">
        <f t="shared" si="4"/>
        <v>BSA</v>
      </c>
      <c r="F189" t="str">
        <f t="shared" si="5"/>
        <v>BSA</v>
      </c>
      <c r="G189">
        <f>IF(COUNTIFS(Factory_Components!$A$2:$A$61,VLOOKUP(A189,Runs!$A$2:$B$9,2,FALSE()),Factory_Components!$B$2:$B$61,"a",Factory_Components!$D$2:$D$61,F189)&gt;0,1,0)</f>
        <v>1</v>
      </c>
    </row>
    <row r="190" spans="1:7" ht="15" customHeight="1" x14ac:dyDescent="0.25">
      <c r="A190" t="s">
        <v>2</v>
      </c>
      <c r="B190" t="s">
        <v>700</v>
      </c>
      <c r="C190" t="s">
        <v>351</v>
      </c>
      <c r="D190" t="s">
        <v>701</v>
      </c>
      <c r="E190" t="str">
        <f t="shared" si="4"/>
        <v>BOSP</v>
      </c>
      <c r="F190" t="str">
        <f t="shared" si="5"/>
        <v>BOSP</v>
      </c>
      <c r="G190">
        <f>IF(COUNTIFS(Factory_Components!$A$2:$A$61,VLOOKUP(A190,Runs!$A$2:$B$9,2,FALSE()),Factory_Components!$B$2:$B$61,"a",Factory_Components!$D$2:$D$61,F190)&gt;0,1,0)</f>
        <v>1</v>
      </c>
    </row>
    <row r="191" spans="1:7" ht="15" customHeight="1" x14ac:dyDescent="0.25">
      <c r="A191" t="s">
        <v>2</v>
      </c>
      <c r="B191" t="s">
        <v>497</v>
      </c>
      <c r="C191" t="s">
        <v>352</v>
      </c>
      <c r="D191" t="s">
        <v>702</v>
      </c>
      <c r="E191" t="str">
        <f t="shared" si="4"/>
        <v>BSA</v>
      </c>
      <c r="F191" t="str">
        <f t="shared" si="5"/>
        <v>BSA</v>
      </c>
      <c r="G191">
        <f>IF(COUNTIFS(Factory_Components!$A$2:$A$61,VLOOKUP(A191,Runs!$A$2:$B$9,2,FALSE()),Factory_Components!$B$2:$B$61,"a",Factory_Components!$D$2:$D$61,F191)&gt;0,1,0)</f>
        <v>1</v>
      </c>
    </row>
    <row r="192" spans="1:7" ht="15" customHeight="1" x14ac:dyDescent="0.25">
      <c r="A192" t="s">
        <v>2</v>
      </c>
      <c r="B192" t="s">
        <v>703</v>
      </c>
      <c r="C192" t="s">
        <v>352</v>
      </c>
      <c r="D192" t="s">
        <v>704</v>
      </c>
      <c r="E192" t="str">
        <f t="shared" si="4"/>
        <v>RAX_HD</v>
      </c>
      <c r="F192" t="str">
        <f t="shared" si="5"/>
        <v>RAX_HD</v>
      </c>
      <c r="G192">
        <f>IF(COUNTIFS(Factory_Components!$A$2:$A$61,VLOOKUP(A192,Runs!$A$2:$B$9,2,FALSE()),Factory_Components!$B$2:$B$61,"a",Factory_Components!$D$2:$D$61,F192)&gt;0,1,0)</f>
        <v>0</v>
      </c>
    </row>
    <row r="193" spans="1:7" ht="15" customHeight="1" x14ac:dyDescent="0.25">
      <c r="A193" t="s">
        <v>2</v>
      </c>
      <c r="B193" t="s">
        <v>705</v>
      </c>
      <c r="C193" t="s">
        <v>351</v>
      </c>
      <c r="D193" t="s">
        <v>706</v>
      </c>
      <c r="E193" t="str">
        <f t="shared" si="4"/>
        <v>BOSP</v>
      </c>
      <c r="F193" t="str">
        <f t="shared" si="5"/>
        <v>BOSP</v>
      </c>
      <c r="G193">
        <f>IF(COUNTIFS(Factory_Components!$A$2:$A$61,VLOOKUP(A193,Runs!$A$2:$B$9,2,FALSE()),Factory_Components!$B$2:$B$61,"a",Factory_Components!$D$2:$D$61,F193)&gt;0,1,0)</f>
        <v>1</v>
      </c>
    </row>
    <row r="194" spans="1:7" ht="15" customHeight="1" x14ac:dyDescent="0.25">
      <c r="A194" t="s">
        <v>3</v>
      </c>
      <c r="B194" t="s">
        <v>377</v>
      </c>
      <c r="C194" t="s">
        <v>354</v>
      </c>
      <c r="D194" t="s">
        <v>707</v>
      </c>
      <c r="E194" t="str">
        <f t="shared" ref="E194:E257" si="6">IF(ISNUMBER(--RIGHT(B194,1)),MID(B194,10,LEN(B194)-11),MID(B194,10,100))</f>
        <v>BOSP</v>
      </c>
      <c r="F194" t="str">
        <f t="shared" ref="F194:F257" si="7">IF(E194="CORE","CHS",E194)</f>
        <v>BOSP</v>
      </c>
      <c r="G194">
        <f>IF(COUNTIFS(Factory_Components!$A$2:$A$61,VLOOKUP(A194,Runs!$A$2:$B$9,2,FALSE()),Factory_Components!$B$2:$B$61,"a",Factory_Components!$D$2:$D$61,F194)&gt;0,1,0)</f>
        <v>1</v>
      </c>
    </row>
    <row r="195" spans="1:7" ht="15" customHeight="1" x14ac:dyDescent="0.25">
      <c r="A195" t="s">
        <v>3</v>
      </c>
      <c r="B195" t="s">
        <v>379</v>
      </c>
      <c r="C195" t="s">
        <v>354</v>
      </c>
      <c r="D195" t="s">
        <v>708</v>
      </c>
      <c r="E195" t="str">
        <f t="shared" si="6"/>
        <v>BOSP</v>
      </c>
      <c r="F195" t="str">
        <f t="shared" si="7"/>
        <v>BOSP</v>
      </c>
      <c r="G195">
        <f>IF(COUNTIFS(Factory_Components!$A$2:$A$61,VLOOKUP(A195,Runs!$A$2:$B$9,2,FALSE()),Factory_Components!$B$2:$B$61,"a",Factory_Components!$D$2:$D$61,F195)&gt;0,1,0)</f>
        <v>1</v>
      </c>
    </row>
    <row r="196" spans="1:7" ht="15" customHeight="1" x14ac:dyDescent="0.25">
      <c r="A196" t="s">
        <v>3</v>
      </c>
      <c r="B196" t="s">
        <v>538</v>
      </c>
      <c r="C196" t="s">
        <v>354</v>
      </c>
      <c r="D196" t="s">
        <v>709</v>
      </c>
      <c r="E196" t="str">
        <f t="shared" si="6"/>
        <v>BAT</v>
      </c>
      <c r="F196" t="str">
        <f t="shared" si="7"/>
        <v>BAT</v>
      </c>
      <c r="G196">
        <f>IF(COUNTIFS(Factory_Components!$A$2:$A$61,VLOOKUP(A196,Runs!$A$2:$B$9,2,FALSE()),Factory_Components!$B$2:$B$61,"a",Factory_Components!$D$2:$D$61,F196)&gt;0,1,0)</f>
        <v>1</v>
      </c>
    </row>
    <row r="197" spans="1:7" ht="15" customHeight="1" x14ac:dyDescent="0.25">
      <c r="A197" t="s">
        <v>3</v>
      </c>
      <c r="B197" t="s">
        <v>385</v>
      </c>
      <c r="C197" t="s">
        <v>354</v>
      </c>
      <c r="D197" t="s">
        <v>710</v>
      </c>
      <c r="E197" t="str">
        <f t="shared" si="6"/>
        <v>BOSP</v>
      </c>
      <c r="F197" t="str">
        <f t="shared" si="7"/>
        <v>BOSP</v>
      </c>
      <c r="G197">
        <f>IF(COUNTIFS(Factory_Components!$A$2:$A$61,VLOOKUP(A197,Runs!$A$2:$B$9,2,FALSE()),Factory_Components!$B$2:$B$61,"a",Factory_Components!$D$2:$D$61,F197)&gt;0,1,0)</f>
        <v>1</v>
      </c>
    </row>
    <row r="198" spans="1:7" ht="15" customHeight="1" x14ac:dyDescent="0.25">
      <c r="A198" t="s">
        <v>3</v>
      </c>
      <c r="B198" t="s">
        <v>387</v>
      </c>
      <c r="C198" t="s">
        <v>354</v>
      </c>
      <c r="D198" t="s">
        <v>711</v>
      </c>
      <c r="E198" t="str">
        <f t="shared" si="6"/>
        <v>BOSP</v>
      </c>
      <c r="F198" t="str">
        <f t="shared" si="7"/>
        <v>BOSP</v>
      </c>
      <c r="G198">
        <f>IF(COUNTIFS(Factory_Components!$A$2:$A$61,VLOOKUP(A198,Runs!$A$2:$B$9,2,FALSE()),Factory_Components!$B$2:$B$61,"a",Factory_Components!$D$2:$D$61,F198)&gt;0,1,0)</f>
        <v>1</v>
      </c>
    </row>
    <row r="199" spans="1:7" ht="15" customHeight="1" x14ac:dyDescent="0.25">
      <c r="A199" t="s">
        <v>3</v>
      </c>
      <c r="B199" t="s">
        <v>381</v>
      </c>
      <c r="C199" t="s">
        <v>355</v>
      </c>
      <c r="D199" t="s">
        <v>712</v>
      </c>
      <c r="E199" t="str">
        <f t="shared" si="6"/>
        <v>RT</v>
      </c>
      <c r="F199" t="str">
        <f t="shared" si="7"/>
        <v>RT</v>
      </c>
      <c r="G199">
        <f>IF(COUNTIFS(Factory_Components!$A$2:$A$61,VLOOKUP(A199,Runs!$A$2:$B$9,2,FALSE()),Factory_Components!$B$2:$B$61,"a",Factory_Components!$D$2:$D$61,F199)&gt;0,1,0)</f>
        <v>1</v>
      </c>
    </row>
    <row r="200" spans="1:7" ht="15" customHeight="1" x14ac:dyDescent="0.25">
      <c r="A200" t="s">
        <v>3</v>
      </c>
      <c r="B200" t="s">
        <v>543</v>
      </c>
      <c r="C200" t="s">
        <v>354</v>
      </c>
      <c r="D200" t="s">
        <v>713</v>
      </c>
      <c r="E200" t="str">
        <f t="shared" si="6"/>
        <v>BAT</v>
      </c>
      <c r="F200" t="str">
        <f t="shared" si="7"/>
        <v>BAT</v>
      </c>
      <c r="G200">
        <f>IF(COUNTIFS(Factory_Components!$A$2:$A$61,VLOOKUP(A200,Runs!$A$2:$B$9,2,FALSE()),Factory_Components!$B$2:$B$61,"a",Factory_Components!$D$2:$D$61,F200)&gt;0,1,0)</f>
        <v>1</v>
      </c>
    </row>
    <row r="201" spans="1:7" ht="15" customHeight="1" x14ac:dyDescent="0.25">
      <c r="A201" t="s">
        <v>3</v>
      </c>
      <c r="B201" t="s">
        <v>383</v>
      </c>
      <c r="C201" t="s">
        <v>355</v>
      </c>
      <c r="D201" t="s">
        <v>714</v>
      </c>
      <c r="E201" t="str">
        <f t="shared" si="6"/>
        <v>RT</v>
      </c>
      <c r="F201" t="str">
        <f t="shared" si="7"/>
        <v>RT</v>
      </c>
      <c r="G201">
        <f>IF(COUNTIFS(Factory_Components!$A$2:$A$61,VLOOKUP(A201,Runs!$A$2:$B$9,2,FALSE()),Factory_Components!$B$2:$B$61,"a",Factory_Components!$D$2:$D$61,F201)&gt;0,1,0)</f>
        <v>1</v>
      </c>
    </row>
    <row r="202" spans="1:7" ht="15" customHeight="1" x14ac:dyDescent="0.25">
      <c r="A202" t="s">
        <v>3</v>
      </c>
      <c r="B202" t="s">
        <v>395</v>
      </c>
      <c r="C202" t="s">
        <v>354</v>
      </c>
      <c r="D202" t="s">
        <v>715</v>
      </c>
      <c r="E202" t="str">
        <f t="shared" si="6"/>
        <v>BOSP</v>
      </c>
      <c r="F202" t="str">
        <f t="shared" si="7"/>
        <v>BOSP</v>
      </c>
      <c r="G202">
        <f>IF(COUNTIFS(Factory_Components!$A$2:$A$61,VLOOKUP(A202,Runs!$A$2:$B$9,2,FALSE()),Factory_Components!$B$2:$B$61,"a",Factory_Components!$D$2:$D$61,F202)&gt;0,1,0)</f>
        <v>1</v>
      </c>
    </row>
    <row r="203" spans="1:7" ht="15" customHeight="1" x14ac:dyDescent="0.25">
      <c r="A203" t="s">
        <v>3</v>
      </c>
      <c r="B203" t="s">
        <v>550</v>
      </c>
      <c r="C203" t="s">
        <v>355</v>
      </c>
      <c r="D203" t="s">
        <v>716</v>
      </c>
      <c r="E203" t="str">
        <f t="shared" si="6"/>
        <v>FT</v>
      </c>
      <c r="F203" t="str">
        <f t="shared" si="7"/>
        <v>FT</v>
      </c>
      <c r="G203">
        <f>IF(COUNTIFS(Factory_Components!$A$2:$A$61,VLOOKUP(A203,Runs!$A$2:$B$9,2,FALSE()),Factory_Components!$B$2:$B$61,"a",Factory_Components!$D$2:$D$61,F203)&gt;0,1,0)</f>
        <v>1</v>
      </c>
    </row>
    <row r="204" spans="1:7" ht="15" customHeight="1" x14ac:dyDescent="0.25">
      <c r="A204" t="s">
        <v>3</v>
      </c>
      <c r="B204" t="s">
        <v>399</v>
      </c>
      <c r="C204" t="s">
        <v>354</v>
      </c>
      <c r="D204" t="s">
        <v>717</v>
      </c>
      <c r="E204" t="str">
        <f t="shared" si="6"/>
        <v>BOSP</v>
      </c>
      <c r="F204" t="str">
        <f t="shared" si="7"/>
        <v>BOSP</v>
      </c>
      <c r="G204">
        <f>IF(COUNTIFS(Factory_Components!$A$2:$A$61,VLOOKUP(A204,Runs!$A$2:$B$9,2,FALSE()),Factory_Components!$B$2:$B$61,"a",Factory_Components!$D$2:$D$61,F204)&gt;0,1,0)</f>
        <v>1</v>
      </c>
    </row>
    <row r="205" spans="1:7" ht="15" customHeight="1" x14ac:dyDescent="0.25">
      <c r="A205" t="s">
        <v>3</v>
      </c>
      <c r="B205" t="s">
        <v>555</v>
      </c>
      <c r="C205" t="s">
        <v>355</v>
      </c>
      <c r="D205" t="s">
        <v>718</v>
      </c>
      <c r="E205" t="str">
        <f t="shared" si="6"/>
        <v>FT</v>
      </c>
      <c r="F205" t="str">
        <f t="shared" si="7"/>
        <v>FT</v>
      </c>
      <c r="G205">
        <f>IF(COUNTIFS(Factory_Components!$A$2:$A$61,VLOOKUP(A205,Runs!$A$2:$B$9,2,FALSE()),Factory_Components!$B$2:$B$61,"a",Factory_Components!$D$2:$D$61,F205)&gt;0,1,0)</f>
        <v>1</v>
      </c>
    </row>
    <row r="206" spans="1:7" ht="15" customHeight="1" x14ac:dyDescent="0.25">
      <c r="A206" t="s">
        <v>3</v>
      </c>
      <c r="B206" t="s">
        <v>548</v>
      </c>
      <c r="C206" t="s">
        <v>354</v>
      </c>
      <c r="D206" t="s">
        <v>719</v>
      </c>
      <c r="E206" t="str">
        <f t="shared" si="6"/>
        <v>BAT</v>
      </c>
      <c r="F206" t="str">
        <f t="shared" si="7"/>
        <v>BAT</v>
      </c>
      <c r="G206">
        <f>IF(COUNTIFS(Factory_Components!$A$2:$A$61,VLOOKUP(A206,Runs!$A$2:$B$9,2,FALSE()),Factory_Components!$B$2:$B$61,"a",Factory_Components!$D$2:$D$61,F206)&gt;0,1,0)</f>
        <v>1</v>
      </c>
    </row>
    <row r="207" spans="1:7" ht="15" customHeight="1" x14ac:dyDescent="0.25">
      <c r="A207" t="s">
        <v>3</v>
      </c>
      <c r="B207" t="s">
        <v>411</v>
      </c>
      <c r="C207" t="s">
        <v>354</v>
      </c>
      <c r="D207" t="s">
        <v>720</v>
      </c>
      <c r="E207" t="str">
        <f t="shared" si="6"/>
        <v>BOSP</v>
      </c>
      <c r="F207" t="str">
        <f t="shared" si="7"/>
        <v>BOSP</v>
      </c>
      <c r="G207">
        <f>IF(COUNTIFS(Factory_Components!$A$2:$A$61,VLOOKUP(A207,Runs!$A$2:$B$9,2,FALSE()),Factory_Components!$B$2:$B$61,"a",Factory_Components!$D$2:$D$61,F207)&gt;0,1,0)</f>
        <v>1</v>
      </c>
    </row>
    <row r="208" spans="1:7" ht="15" customHeight="1" x14ac:dyDescent="0.25">
      <c r="A208" t="s">
        <v>3</v>
      </c>
      <c r="B208" t="s">
        <v>389</v>
      </c>
      <c r="C208" t="s">
        <v>355</v>
      </c>
      <c r="D208" t="s">
        <v>721</v>
      </c>
      <c r="E208" t="str">
        <f t="shared" si="6"/>
        <v>RT</v>
      </c>
      <c r="F208" t="str">
        <f t="shared" si="7"/>
        <v>RT</v>
      </c>
      <c r="G208">
        <f>IF(COUNTIFS(Factory_Components!$A$2:$A$61,VLOOKUP(A208,Runs!$A$2:$B$9,2,FALSE()),Factory_Components!$B$2:$B$61,"a",Factory_Components!$D$2:$D$61,F208)&gt;0,1,0)</f>
        <v>1</v>
      </c>
    </row>
    <row r="209" spans="1:7" ht="15" customHeight="1" x14ac:dyDescent="0.25">
      <c r="A209" t="s">
        <v>3</v>
      </c>
      <c r="B209" t="s">
        <v>413</v>
      </c>
      <c r="C209" t="s">
        <v>354</v>
      </c>
      <c r="D209" t="s">
        <v>722</v>
      </c>
      <c r="E209" t="str">
        <f t="shared" si="6"/>
        <v>BOSP</v>
      </c>
      <c r="F209" t="str">
        <f t="shared" si="7"/>
        <v>BOSP</v>
      </c>
      <c r="G209">
        <f>IF(COUNTIFS(Factory_Components!$A$2:$A$61,VLOOKUP(A209,Runs!$A$2:$B$9,2,FALSE()),Factory_Components!$B$2:$B$61,"a",Factory_Components!$D$2:$D$61,F209)&gt;0,1,0)</f>
        <v>1</v>
      </c>
    </row>
    <row r="210" spans="1:7" ht="15" customHeight="1" x14ac:dyDescent="0.25">
      <c r="A210" t="s">
        <v>3</v>
      </c>
      <c r="B210" t="s">
        <v>393</v>
      </c>
      <c r="C210" t="s">
        <v>355</v>
      </c>
      <c r="D210" t="s">
        <v>723</v>
      </c>
      <c r="E210" t="str">
        <f t="shared" si="6"/>
        <v>RT</v>
      </c>
      <c r="F210" t="str">
        <f t="shared" si="7"/>
        <v>RT</v>
      </c>
      <c r="G210">
        <f>IF(COUNTIFS(Factory_Components!$A$2:$A$61,VLOOKUP(A210,Runs!$A$2:$B$9,2,FALSE()),Factory_Components!$B$2:$B$61,"a",Factory_Components!$D$2:$D$61,F210)&gt;0,1,0)</f>
        <v>1</v>
      </c>
    </row>
    <row r="211" spans="1:7" ht="15" customHeight="1" x14ac:dyDescent="0.25">
      <c r="A211" t="s">
        <v>3</v>
      </c>
      <c r="B211" t="s">
        <v>423</v>
      </c>
      <c r="C211" t="s">
        <v>354</v>
      </c>
      <c r="D211" t="s">
        <v>724</v>
      </c>
      <c r="E211" t="str">
        <f t="shared" si="6"/>
        <v>BAT</v>
      </c>
      <c r="F211" t="str">
        <f t="shared" si="7"/>
        <v>BAT</v>
      </c>
      <c r="G211">
        <f>IF(COUNTIFS(Factory_Components!$A$2:$A$61,VLOOKUP(A211,Runs!$A$2:$B$9,2,FALSE()),Factory_Components!$B$2:$B$61,"a",Factory_Components!$D$2:$D$61,F211)&gt;0,1,0)</f>
        <v>1</v>
      </c>
    </row>
    <row r="212" spans="1:7" ht="15" customHeight="1" x14ac:dyDescent="0.25">
      <c r="A212" t="s">
        <v>3</v>
      </c>
      <c r="B212" t="s">
        <v>557</v>
      </c>
      <c r="C212" t="s">
        <v>355</v>
      </c>
      <c r="D212" t="s">
        <v>725</v>
      </c>
      <c r="E212" t="str">
        <f t="shared" si="6"/>
        <v>FT</v>
      </c>
      <c r="F212" t="str">
        <f t="shared" si="7"/>
        <v>FT</v>
      </c>
      <c r="G212">
        <f>IF(COUNTIFS(Factory_Components!$A$2:$A$61,VLOOKUP(A212,Runs!$A$2:$B$9,2,FALSE()),Factory_Components!$B$2:$B$61,"a",Factory_Components!$D$2:$D$61,F212)&gt;0,1,0)</f>
        <v>1</v>
      </c>
    </row>
    <row r="213" spans="1:7" ht="15" customHeight="1" x14ac:dyDescent="0.25">
      <c r="A213" t="s">
        <v>3</v>
      </c>
      <c r="B213" t="s">
        <v>608</v>
      </c>
      <c r="C213" t="s">
        <v>354</v>
      </c>
      <c r="D213" t="s">
        <v>726</v>
      </c>
      <c r="E213" t="str">
        <f t="shared" si="6"/>
        <v>BOSP</v>
      </c>
      <c r="F213" t="str">
        <f t="shared" si="7"/>
        <v>BOSP</v>
      </c>
      <c r="G213">
        <f>IF(COUNTIFS(Factory_Components!$A$2:$A$61,VLOOKUP(A213,Runs!$A$2:$B$9,2,FALSE()),Factory_Components!$B$2:$B$61,"a",Factory_Components!$D$2:$D$61,F213)&gt;0,1,0)</f>
        <v>1</v>
      </c>
    </row>
    <row r="214" spans="1:7" ht="15" customHeight="1" x14ac:dyDescent="0.25">
      <c r="A214" t="s">
        <v>3</v>
      </c>
      <c r="B214" t="s">
        <v>613</v>
      </c>
      <c r="C214" t="s">
        <v>354</v>
      </c>
      <c r="D214" t="s">
        <v>727</v>
      </c>
      <c r="E214" t="str">
        <f t="shared" si="6"/>
        <v>BOSP</v>
      </c>
      <c r="F214" t="str">
        <f t="shared" si="7"/>
        <v>BOSP</v>
      </c>
      <c r="G214">
        <f>IF(COUNTIFS(Factory_Components!$A$2:$A$61,VLOOKUP(A214,Runs!$A$2:$B$9,2,FALSE()),Factory_Components!$B$2:$B$61,"a",Factory_Components!$D$2:$D$61,F214)&gt;0,1,0)</f>
        <v>1</v>
      </c>
    </row>
    <row r="215" spans="1:7" ht="15" customHeight="1" x14ac:dyDescent="0.25">
      <c r="A215" t="s">
        <v>3</v>
      </c>
      <c r="B215" t="s">
        <v>561</v>
      </c>
      <c r="C215" t="s">
        <v>355</v>
      </c>
      <c r="D215" t="s">
        <v>728</v>
      </c>
      <c r="E215" t="str">
        <f t="shared" si="6"/>
        <v>FT</v>
      </c>
      <c r="F215" t="str">
        <f t="shared" si="7"/>
        <v>FT</v>
      </c>
      <c r="G215">
        <f>IF(COUNTIFS(Factory_Components!$A$2:$A$61,VLOOKUP(A215,Runs!$A$2:$B$9,2,FALSE()),Factory_Components!$B$2:$B$61,"a",Factory_Components!$D$2:$D$61,F215)&gt;0,1,0)</f>
        <v>1</v>
      </c>
    </row>
    <row r="216" spans="1:7" ht="15" customHeight="1" x14ac:dyDescent="0.25">
      <c r="A216" t="s">
        <v>3</v>
      </c>
      <c r="B216" t="s">
        <v>627</v>
      </c>
      <c r="C216" t="s">
        <v>354</v>
      </c>
      <c r="D216" t="s">
        <v>729</v>
      </c>
      <c r="E216" t="str">
        <f t="shared" si="6"/>
        <v>BAT</v>
      </c>
      <c r="F216" t="str">
        <f t="shared" si="7"/>
        <v>BAT</v>
      </c>
      <c r="G216">
        <f>IF(COUNTIFS(Factory_Components!$A$2:$A$61,VLOOKUP(A216,Runs!$A$2:$B$9,2,FALSE()),Factory_Components!$B$2:$B$61,"a",Factory_Components!$D$2:$D$61,F216)&gt;0,1,0)</f>
        <v>1</v>
      </c>
    </row>
    <row r="217" spans="1:7" ht="15" customHeight="1" x14ac:dyDescent="0.25">
      <c r="A217" t="s">
        <v>3</v>
      </c>
      <c r="B217" t="s">
        <v>401</v>
      </c>
      <c r="C217" t="s">
        <v>355</v>
      </c>
      <c r="D217" t="s">
        <v>730</v>
      </c>
      <c r="E217" t="str">
        <f t="shared" si="6"/>
        <v>RT</v>
      </c>
      <c r="F217" t="str">
        <f t="shared" si="7"/>
        <v>RT</v>
      </c>
      <c r="G217">
        <f>IF(COUNTIFS(Factory_Components!$A$2:$A$61,VLOOKUP(A217,Runs!$A$2:$B$9,2,FALSE()),Factory_Components!$B$2:$B$61,"a",Factory_Components!$D$2:$D$61,F217)&gt;0,1,0)</f>
        <v>1</v>
      </c>
    </row>
    <row r="218" spans="1:7" ht="15" customHeight="1" x14ac:dyDescent="0.25">
      <c r="A218" t="s">
        <v>3</v>
      </c>
      <c r="B218" t="s">
        <v>449</v>
      </c>
      <c r="C218" t="s">
        <v>354</v>
      </c>
      <c r="D218" t="s">
        <v>731</v>
      </c>
      <c r="E218" t="str">
        <f t="shared" si="6"/>
        <v>BOSP</v>
      </c>
      <c r="F218" t="str">
        <f t="shared" si="7"/>
        <v>BOSP</v>
      </c>
      <c r="G218">
        <f>IF(COUNTIFS(Factory_Components!$A$2:$A$61,VLOOKUP(A218,Runs!$A$2:$B$9,2,FALSE()),Factory_Components!$B$2:$B$61,"a",Factory_Components!$D$2:$D$61,F218)&gt;0,1,0)</f>
        <v>1</v>
      </c>
    </row>
    <row r="219" spans="1:7" ht="15" customHeight="1" x14ac:dyDescent="0.25">
      <c r="A219" t="s">
        <v>3</v>
      </c>
      <c r="B219" t="s">
        <v>570</v>
      </c>
      <c r="C219" t="s">
        <v>349</v>
      </c>
      <c r="D219" t="s">
        <v>732</v>
      </c>
      <c r="E219" t="str">
        <f t="shared" si="6"/>
        <v>SSA</v>
      </c>
      <c r="F219" t="str">
        <f t="shared" si="7"/>
        <v>SSA</v>
      </c>
      <c r="G219">
        <f>IF(COUNTIFS(Factory_Components!$A$2:$A$61,VLOOKUP(A219,Runs!$A$2:$B$9,2,FALSE()),Factory_Components!$B$2:$B$61,"a",Factory_Components!$D$2:$D$61,F219)&gt;0,1,0)</f>
        <v>1</v>
      </c>
    </row>
    <row r="220" spans="1:7" ht="15" customHeight="1" x14ac:dyDescent="0.25">
      <c r="A220" t="s">
        <v>3</v>
      </c>
      <c r="B220" t="s">
        <v>451</v>
      </c>
      <c r="C220" t="s">
        <v>354</v>
      </c>
      <c r="D220" t="s">
        <v>733</v>
      </c>
      <c r="E220" t="str">
        <f t="shared" si="6"/>
        <v>BOSP</v>
      </c>
      <c r="F220" t="str">
        <f t="shared" si="7"/>
        <v>BOSP</v>
      </c>
      <c r="G220">
        <f>IF(COUNTIFS(Factory_Components!$A$2:$A$61,VLOOKUP(A220,Runs!$A$2:$B$9,2,FALSE()),Factory_Components!$B$2:$B$61,"a",Factory_Components!$D$2:$D$61,F220)&gt;0,1,0)</f>
        <v>1</v>
      </c>
    </row>
    <row r="221" spans="1:7" ht="15" customHeight="1" x14ac:dyDescent="0.25">
      <c r="A221" t="s">
        <v>3</v>
      </c>
      <c r="B221" t="s">
        <v>409</v>
      </c>
      <c r="C221" t="s">
        <v>355</v>
      </c>
      <c r="D221" t="s">
        <v>734</v>
      </c>
      <c r="E221" t="str">
        <f t="shared" si="6"/>
        <v>RT</v>
      </c>
      <c r="F221" t="str">
        <f t="shared" si="7"/>
        <v>RT</v>
      </c>
      <c r="G221">
        <f>IF(COUNTIFS(Factory_Components!$A$2:$A$61,VLOOKUP(A221,Runs!$A$2:$B$9,2,FALSE()),Factory_Components!$B$2:$B$61,"a",Factory_Components!$D$2:$D$61,F221)&gt;0,1,0)</f>
        <v>1</v>
      </c>
    </row>
    <row r="222" spans="1:7" ht="15" customHeight="1" x14ac:dyDescent="0.25">
      <c r="A222" t="s">
        <v>3</v>
      </c>
      <c r="B222" t="s">
        <v>574</v>
      </c>
      <c r="C222" t="s">
        <v>349</v>
      </c>
      <c r="D222" t="s">
        <v>735</v>
      </c>
      <c r="E222" t="str">
        <f t="shared" si="6"/>
        <v>SSA</v>
      </c>
      <c r="F222" t="str">
        <f t="shared" si="7"/>
        <v>SSA</v>
      </c>
      <c r="G222">
        <f>IF(COUNTIFS(Factory_Components!$A$2:$A$61,VLOOKUP(A222,Runs!$A$2:$B$9,2,FALSE()),Factory_Components!$B$2:$B$61,"a",Factory_Components!$D$2:$D$61,F222)&gt;0,1,0)</f>
        <v>1</v>
      </c>
    </row>
    <row r="223" spans="1:7" ht="15" customHeight="1" x14ac:dyDescent="0.25">
      <c r="A223" t="s">
        <v>3</v>
      </c>
      <c r="B223" t="s">
        <v>576</v>
      </c>
      <c r="C223" t="s">
        <v>349</v>
      </c>
      <c r="D223" t="s">
        <v>736</v>
      </c>
      <c r="E223" t="str">
        <f t="shared" si="6"/>
        <v>FAX</v>
      </c>
      <c r="F223" t="str">
        <f t="shared" si="7"/>
        <v>FAX</v>
      </c>
      <c r="G223">
        <f>IF(COUNTIFS(Factory_Components!$A$2:$A$61,VLOOKUP(A223,Runs!$A$2:$B$9,2,FALSE()),Factory_Components!$B$2:$B$61,"a",Factory_Components!$D$2:$D$61,F223)&gt;0,1,0)</f>
        <v>1</v>
      </c>
    </row>
    <row r="224" spans="1:7" ht="15" customHeight="1" x14ac:dyDescent="0.25">
      <c r="A224" t="s">
        <v>3</v>
      </c>
      <c r="B224" t="s">
        <v>590</v>
      </c>
      <c r="C224" t="s">
        <v>357</v>
      </c>
      <c r="D224" t="s">
        <v>737</v>
      </c>
      <c r="E224" t="str">
        <f t="shared" si="6"/>
        <v>CHS</v>
      </c>
      <c r="F224" t="str">
        <f t="shared" si="7"/>
        <v>CHS</v>
      </c>
      <c r="G224">
        <f>IF(COUNTIFS(Factory_Components!$A$2:$A$61,VLOOKUP(A224,Runs!$A$2:$B$9,2,FALSE()),Factory_Components!$B$2:$B$61,"a",Factory_Components!$D$2:$D$61,F224)&gt;0,1,0)</f>
        <v>1</v>
      </c>
    </row>
    <row r="225" spans="1:7" ht="15" customHeight="1" x14ac:dyDescent="0.25">
      <c r="A225" t="s">
        <v>3</v>
      </c>
      <c r="B225" t="s">
        <v>563</v>
      </c>
      <c r="C225" t="s">
        <v>355</v>
      </c>
      <c r="D225" t="s">
        <v>738</v>
      </c>
      <c r="E225" t="str">
        <f t="shared" si="6"/>
        <v>FT</v>
      </c>
      <c r="F225" t="str">
        <f t="shared" si="7"/>
        <v>FT</v>
      </c>
      <c r="G225">
        <f>IF(COUNTIFS(Factory_Components!$A$2:$A$61,VLOOKUP(A225,Runs!$A$2:$B$9,2,FALSE()),Factory_Components!$B$2:$B$61,"a",Factory_Components!$D$2:$D$61,F225)&gt;0,1,0)</f>
        <v>1</v>
      </c>
    </row>
    <row r="226" spans="1:7" ht="15" customHeight="1" x14ac:dyDescent="0.25">
      <c r="A226" t="s">
        <v>3</v>
      </c>
      <c r="B226" t="s">
        <v>632</v>
      </c>
      <c r="C226" t="s">
        <v>354</v>
      </c>
      <c r="D226" t="s">
        <v>739</v>
      </c>
      <c r="E226" t="str">
        <f t="shared" si="6"/>
        <v>BAT</v>
      </c>
      <c r="F226" t="str">
        <f t="shared" si="7"/>
        <v>BAT</v>
      </c>
      <c r="G226">
        <f>IF(COUNTIFS(Factory_Components!$A$2:$A$61,VLOOKUP(A226,Runs!$A$2:$B$9,2,FALSE()),Factory_Components!$B$2:$B$61,"a",Factory_Components!$D$2:$D$61,F226)&gt;0,1,0)</f>
        <v>1</v>
      </c>
    </row>
    <row r="227" spans="1:7" ht="15" customHeight="1" x14ac:dyDescent="0.25">
      <c r="A227" t="s">
        <v>3</v>
      </c>
      <c r="B227" t="s">
        <v>461</v>
      </c>
      <c r="C227" t="s">
        <v>354</v>
      </c>
      <c r="D227" t="s">
        <v>740</v>
      </c>
      <c r="E227" t="str">
        <f t="shared" si="6"/>
        <v>BOSP</v>
      </c>
      <c r="F227" t="str">
        <f t="shared" si="7"/>
        <v>BOSP</v>
      </c>
      <c r="G227">
        <f>IF(COUNTIFS(Factory_Components!$A$2:$A$61,VLOOKUP(A227,Runs!$A$2:$B$9,2,FALSE()),Factory_Components!$B$2:$B$61,"a",Factory_Components!$D$2:$D$61,F227)&gt;0,1,0)</f>
        <v>1</v>
      </c>
    </row>
    <row r="228" spans="1:7" ht="15" customHeight="1" x14ac:dyDescent="0.25">
      <c r="A228" t="s">
        <v>3</v>
      </c>
      <c r="B228" t="s">
        <v>566</v>
      </c>
      <c r="C228" t="s">
        <v>355</v>
      </c>
      <c r="D228" t="s">
        <v>741</v>
      </c>
      <c r="E228" t="str">
        <f t="shared" si="6"/>
        <v>FT</v>
      </c>
      <c r="F228" t="str">
        <f t="shared" si="7"/>
        <v>FT</v>
      </c>
      <c r="G228">
        <f>IF(COUNTIFS(Factory_Components!$A$2:$A$61,VLOOKUP(A228,Runs!$A$2:$B$9,2,FALSE()),Factory_Components!$B$2:$B$61,"a",Factory_Components!$D$2:$D$61,F228)&gt;0,1,0)</f>
        <v>1</v>
      </c>
    </row>
    <row r="229" spans="1:7" ht="15" customHeight="1" x14ac:dyDescent="0.25">
      <c r="A229" t="s">
        <v>3</v>
      </c>
      <c r="B229" t="s">
        <v>465</v>
      </c>
      <c r="C229" t="s">
        <v>354</v>
      </c>
      <c r="D229" t="s">
        <v>742</v>
      </c>
      <c r="E229" t="str">
        <f t="shared" si="6"/>
        <v>BOSP</v>
      </c>
      <c r="F229" t="str">
        <f t="shared" si="7"/>
        <v>BOSP</v>
      </c>
      <c r="G229">
        <f>IF(COUNTIFS(Factory_Components!$A$2:$A$61,VLOOKUP(A229,Runs!$A$2:$B$9,2,FALSE()),Factory_Components!$B$2:$B$61,"a",Factory_Components!$D$2:$D$61,F229)&gt;0,1,0)</f>
        <v>1</v>
      </c>
    </row>
    <row r="230" spans="1:7" ht="15" customHeight="1" x14ac:dyDescent="0.25">
      <c r="A230" t="s">
        <v>3</v>
      </c>
      <c r="B230" t="s">
        <v>397</v>
      </c>
      <c r="C230" t="s">
        <v>349</v>
      </c>
      <c r="D230" t="s">
        <v>743</v>
      </c>
      <c r="E230" t="str">
        <f t="shared" si="6"/>
        <v>BSA</v>
      </c>
      <c r="F230" t="str">
        <f t="shared" si="7"/>
        <v>BSA</v>
      </c>
      <c r="G230">
        <f>IF(COUNTIFS(Factory_Components!$A$2:$A$61,VLOOKUP(A230,Runs!$A$2:$B$9,2,FALSE()),Factory_Components!$B$2:$B$61,"a",Factory_Components!$D$2:$D$61,F230)&gt;0,1,0)</f>
        <v>1</v>
      </c>
    </row>
    <row r="231" spans="1:7" ht="15" customHeight="1" x14ac:dyDescent="0.25">
      <c r="A231" t="s">
        <v>3</v>
      </c>
      <c r="B231" t="s">
        <v>427</v>
      </c>
      <c r="C231" t="s">
        <v>355</v>
      </c>
      <c r="D231" t="s">
        <v>744</v>
      </c>
      <c r="E231" t="str">
        <f t="shared" si="6"/>
        <v>RT</v>
      </c>
      <c r="F231" t="str">
        <f t="shared" si="7"/>
        <v>RT</v>
      </c>
      <c r="G231">
        <f>IF(COUNTIFS(Factory_Components!$A$2:$A$61,VLOOKUP(A231,Runs!$A$2:$B$9,2,FALSE()),Factory_Components!$B$2:$B$61,"a",Factory_Components!$D$2:$D$61,F231)&gt;0,1,0)</f>
        <v>1</v>
      </c>
    </row>
    <row r="232" spans="1:7" ht="15" customHeight="1" x14ac:dyDescent="0.25">
      <c r="A232" t="s">
        <v>3</v>
      </c>
      <c r="B232" t="s">
        <v>637</v>
      </c>
      <c r="C232" t="s">
        <v>354</v>
      </c>
      <c r="D232" t="s">
        <v>745</v>
      </c>
      <c r="E232" t="str">
        <f t="shared" si="6"/>
        <v>BAT</v>
      </c>
      <c r="F232" t="str">
        <f t="shared" si="7"/>
        <v>BAT</v>
      </c>
      <c r="G232">
        <f>IF(COUNTIFS(Factory_Components!$A$2:$A$61,VLOOKUP(A232,Runs!$A$2:$B$9,2,FALSE()),Factory_Components!$B$2:$B$61,"a",Factory_Components!$D$2:$D$61,F232)&gt;0,1,0)</f>
        <v>1</v>
      </c>
    </row>
    <row r="233" spans="1:7" ht="15" customHeight="1" x14ac:dyDescent="0.25">
      <c r="A233" t="s">
        <v>3</v>
      </c>
      <c r="B233" t="s">
        <v>403</v>
      </c>
      <c r="C233" t="s">
        <v>349</v>
      </c>
      <c r="D233" t="s">
        <v>746</v>
      </c>
      <c r="E233" t="str">
        <f t="shared" si="6"/>
        <v>BSA</v>
      </c>
      <c r="F233" t="str">
        <f t="shared" si="7"/>
        <v>BSA</v>
      </c>
      <c r="G233">
        <f>IF(COUNTIFS(Factory_Components!$A$2:$A$61,VLOOKUP(A233,Runs!$A$2:$B$9,2,FALSE()),Factory_Components!$B$2:$B$61,"a",Factory_Components!$D$2:$D$61,F233)&gt;0,1,0)</f>
        <v>1</v>
      </c>
    </row>
    <row r="234" spans="1:7" ht="15" customHeight="1" x14ac:dyDescent="0.25">
      <c r="A234" t="s">
        <v>3</v>
      </c>
      <c r="B234" t="s">
        <v>603</v>
      </c>
      <c r="C234" t="s">
        <v>349</v>
      </c>
      <c r="D234" t="s">
        <v>747</v>
      </c>
      <c r="E234" t="str">
        <f t="shared" si="6"/>
        <v>RAX_HD</v>
      </c>
      <c r="F234" t="str">
        <f t="shared" si="7"/>
        <v>RAX_HD</v>
      </c>
      <c r="G234">
        <f>IF(COUNTIFS(Factory_Components!$A$2:$A$61,VLOOKUP(A234,Runs!$A$2:$B$9,2,FALSE()),Factory_Components!$B$2:$B$61,"a",Factory_Components!$D$2:$D$61,F234)&gt;0,1,0)</f>
        <v>0</v>
      </c>
    </row>
    <row r="235" spans="1:7" ht="15" customHeight="1" x14ac:dyDescent="0.25">
      <c r="A235" t="s">
        <v>3</v>
      </c>
      <c r="B235" t="s">
        <v>477</v>
      </c>
      <c r="C235" t="s">
        <v>354</v>
      </c>
      <c r="D235" t="s">
        <v>748</v>
      </c>
      <c r="E235" t="str">
        <f t="shared" si="6"/>
        <v>BOSP</v>
      </c>
      <c r="F235" t="str">
        <f t="shared" si="7"/>
        <v>BOSP</v>
      </c>
      <c r="G235">
        <f>IF(COUNTIFS(Factory_Components!$A$2:$A$61,VLOOKUP(A235,Runs!$A$2:$B$9,2,FALSE()),Factory_Components!$B$2:$B$61,"a",Factory_Components!$D$2:$D$61,F235)&gt;0,1,0)</f>
        <v>1</v>
      </c>
    </row>
    <row r="236" spans="1:7" ht="15" customHeight="1" x14ac:dyDescent="0.25">
      <c r="A236" t="s">
        <v>3</v>
      </c>
      <c r="B236" t="s">
        <v>429</v>
      </c>
      <c r="C236" t="s">
        <v>355</v>
      </c>
      <c r="D236" t="s">
        <v>749</v>
      </c>
      <c r="E236" t="str">
        <f t="shared" si="6"/>
        <v>RT</v>
      </c>
      <c r="F236" t="str">
        <f t="shared" si="7"/>
        <v>RT</v>
      </c>
      <c r="G236">
        <f>IF(COUNTIFS(Factory_Components!$A$2:$A$61,VLOOKUP(A236,Runs!$A$2:$B$9,2,FALSE()),Factory_Components!$B$2:$B$61,"a",Factory_Components!$D$2:$D$61,F236)&gt;0,1,0)</f>
        <v>1</v>
      </c>
    </row>
    <row r="237" spans="1:7" ht="15" customHeight="1" x14ac:dyDescent="0.25">
      <c r="A237" t="s">
        <v>3</v>
      </c>
      <c r="B237" t="s">
        <v>481</v>
      </c>
      <c r="C237" t="s">
        <v>354</v>
      </c>
      <c r="D237" t="s">
        <v>750</v>
      </c>
      <c r="E237" t="str">
        <f t="shared" si="6"/>
        <v>BOSP</v>
      </c>
      <c r="F237" t="str">
        <f t="shared" si="7"/>
        <v>BOSP</v>
      </c>
      <c r="G237">
        <f>IF(COUNTIFS(Factory_Components!$A$2:$A$61,VLOOKUP(A237,Runs!$A$2:$B$9,2,FALSE()),Factory_Components!$B$2:$B$61,"a",Factory_Components!$D$2:$D$61,F237)&gt;0,1,0)</f>
        <v>1</v>
      </c>
    </row>
    <row r="238" spans="1:7" ht="15" customHeight="1" x14ac:dyDescent="0.25">
      <c r="A238" t="s">
        <v>3</v>
      </c>
      <c r="B238" t="s">
        <v>596</v>
      </c>
      <c r="C238" t="s">
        <v>357</v>
      </c>
      <c r="D238" t="s">
        <v>751</v>
      </c>
      <c r="E238" t="str">
        <f t="shared" si="6"/>
        <v>CHS</v>
      </c>
      <c r="F238" t="str">
        <f t="shared" si="7"/>
        <v>CHS</v>
      </c>
      <c r="G238">
        <f>IF(COUNTIFS(Factory_Components!$A$2:$A$61,VLOOKUP(A238,Runs!$A$2:$B$9,2,FALSE()),Factory_Components!$B$2:$B$61,"a",Factory_Components!$D$2:$D$61,F238)&gt;0,1,0)</f>
        <v>1</v>
      </c>
    </row>
    <row r="239" spans="1:7" ht="15" customHeight="1" x14ac:dyDescent="0.25">
      <c r="A239" t="s">
        <v>3</v>
      </c>
      <c r="B239" t="s">
        <v>572</v>
      </c>
      <c r="C239" t="s">
        <v>349</v>
      </c>
      <c r="D239" t="s">
        <v>752</v>
      </c>
      <c r="E239" t="str">
        <f t="shared" si="6"/>
        <v>SSA</v>
      </c>
      <c r="F239" t="str">
        <f t="shared" si="7"/>
        <v>SSA</v>
      </c>
      <c r="G239">
        <f>IF(COUNTIFS(Factory_Components!$A$2:$A$61,VLOOKUP(A239,Runs!$A$2:$B$9,2,FALSE()),Factory_Components!$B$2:$B$61,"a",Factory_Components!$D$2:$D$61,F239)&gt;0,1,0)</f>
        <v>1</v>
      </c>
    </row>
    <row r="240" spans="1:7" ht="15" customHeight="1" x14ac:dyDescent="0.25">
      <c r="A240" t="s">
        <v>3</v>
      </c>
      <c r="B240" t="s">
        <v>435</v>
      </c>
      <c r="C240" t="s">
        <v>355</v>
      </c>
      <c r="D240" t="s">
        <v>753</v>
      </c>
      <c r="E240" t="str">
        <f t="shared" si="6"/>
        <v>FT</v>
      </c>
      <c r="F240" t="str">
        <f t="shared" si="7"/>
        <v>FT</v>
      </c>
      <c r="G240">
        <f>IF(COUNTIFS(Factory_Components!$A$2:$A$61,VLOOKUP(A240,Runs!$A$2:$B$9,2,FALSE()),Factory_Components!$B$2:$B$61,"a",Factory_Components!$D$2:$D$61,F240)&gt;0,1,0)</f>
        <v>1</v>
      </c>
    </row>
    <row r="241" spans="1:7" ht="15" customHeight="1" x14ac:dyDescent="0.25">
      <c r="A241" t="s">
        <v>3</v>
      </c>
      <c r="B241" t="s">
        <v>437</v>
      </c>
      <c r="C241" t="s">
        <v>355</v>
      </c>
      <c r="D241" t="s">
        <v>754</v>
      </c>
      <c r="E241" t="str">
        <f t="shared" si="6"/>
        <v>FT</v>
      </c>
      <c r="F241" t="str">
        <f t="shared" si="7"/>
        <v>FT</v>
      </c>
      <c r="G241">
        <f>IF(COUNTIFS(Factory_Components!$A$2:$A$61,VLOOKUP(A241,Runs!$A$2:$B$9,2,FALSE()),Factory_Components!$B$2:$B$61,"a",Factory_Components!$D$2:$D$61,F241)&gt;0,1,0)</f>
        <v>1</v>
      </c>
    </row>
    <row r="242" spans="1:7" ht="15" customHeight="1" x14ac:dyDescent="0.25">
      <c r="A242" t="s">
        <v>3</v>
      </c>
      <c r="B242" t="s">
        <v>489</v>
      </c>
      <c r="C242" t="s">
        <v>354</v>
      </c>
      <c r="D242" t="s">
        <v>755</v>
      </c>
      <c r="E242" t="str">
        <f t="shared" si="6"/>
        <v>BAT</v>
      </c>
      <c r="F242" t="str">
        <f t="shared" si="7"/>
        <v>BAT</v>
      </c>
      <c r="G242">
        <f>IF(COUNTIFS(Factory_Components!$A$2:$A$61,VLOOKUP(A242,Runs!$A$2:$B$9,2,FALSE()),Factory_Components!$B$2:$B$61,"a",Factory_Components!$D$2:$D$61,F242)&gt;0,1,0)</f>
        <v>1</v>
      </c>
    </row>
    <row r="243" spans="1:7" ht="15" customHeight="1" x14ac:dyDescent="0.25">
      <c r="A243" t="s">
        <v>3</v>
      </c>
      <c r="B243" t="s">
        <v>580</v>
      </c>
      <c r="C243" t="s">
        <v>349</v>
      </c>
      <c r="D243" t="s">
        <v>756</v>
      </c>
      <c r="E243" t="str">
        <f t="shared" si="6"/>
        <v>SSA</v>
      </c>
      <c r="F243" t="str">
        <f t="shared" si="7"/>
        <v>SSA</v>
      </c>
      <c r="G243">
        <f>IF(COUNTIFS(Factory_Components!$A$2:$A$61,VLOOKUP(A243,Runs!$A$2:$B$9,2,FALSE()),Factory_Components!$B$2:$B$61,"a",Factory_Components!$D$2:$D$61,F243)&gt;0,1,0)</f>
        <v>1</v>
      </c>
    </row>
    <row r="244" spans="1:7" ht="15" customHeight="1" x14ac:dyDescent="0.25">
      <c r="A244" t="s">
        <v>3</v>
      </c>
      <c r="B244" t="s">
        <v>582</v>
      </c>
      <c r="C244" t="s">
        <v>349</v>
      </c>
      <c r="D244" t="s">
        <v>757</v>
      </c>
      <c r="E244" t="str">
        <f t="shared" si="6"/>
        <v>FAX</v>
      </c>
      <c r="F244" t="str">
        <f t="shared" si="7"/>
        <v>FAX</v>
      </c>
      <c r="G244">
        <f>IF(COUNTIFS(Factory_Components!$A$2:$A$61,VLOOKUP(A244,Runs!$A$2:$B$9,2,FALSE()),Factory_Components!$B$2:$B$61,"a",Factory_Components!$D$2:$D$61,F244)&gt;0,1,0)</f>
        <v>1</v>
      </c>
    </row>
    <row r="245" spans="1:7" ht="15" customHeight="1" x14ac:dyDescent="0.25">
      <c r="A245" t="s">
        <v>3</v>
      </c>
      <c r="B245" t="s">
        <v>507</v>
      </c>
      <c r="C245" t="s">
        <v>354</v>
      </c>
      <c r="D245" t="s">
        <v>758</v>
      </c>
      <c r="E245" t="str">
        <f t="shared" si="6"/>
        <v>BOSP</v>
      </c>
      <c r="F245" t="str">
        <f t="shared" si="7"/>
        <v>BOSP</v>
      </c>
      <c r="G245">
        <f>IF(COUNTIFS(Factory_Components!$A$2:$A$61,VLOOKUP(A245,Runs!$A$2:$B$9,2,FALSE()),Factory_Components!$B$2:$B$61,"a",Factory_Components!$D$2:$D$61,F245)&gt;0,1,0)</f>
        <v>1</v>
      </c>
    </row>
    <row r="246" spans="1:7" ht="15" customHeight="1" x14ac:dyDescent="0.25">
      <c r="A246" t="s">
        <v>3</v>
      </c>
      <c r="B246" t="s">
        <v>509</v>
      </c>
      <c r="C246" t="s">
        <v>354</v>
      </c>
      <c r="D246" t="s">
        <v>759</v>
      </c>
      <c r="E246" t="str">
        <f t="shared" si="6"/>
        <v>BOSP</v>
      </c>
      <c r="F246" t="str">
        <f t="shared" si="7"/>
        <v>BOSP</v>
      </c>
      <c r="G246">
        <f>IF(COUNTIFS(Factory_Components!$A$2:$A$61,VLOOKUP(A246,Runs!$A$2:$B$9,2,FALSE()),Factory_Components!$B$2:$B$61,"a",Factory_Components!$D$2:$D$61,F246)&gt;0,1,0)</f>
        <v>1</v>
      </c>
    </row>
    <row r="247" spans="1:7" ht="15" customHeight="1" x14ac:dyDescent="0.25">
      <c r="A247" t="s">
        <v>3</v>
      </c>
      <c r="B247" t="s">
        <v>441</v>
      </c>
      <c r="C247" t="s">
        <v>355</v>
      </c>
      <c r="D247" t="s">
        <v>760</v>
      </c>
      <c r="E247" t="str">
        <f t="shared" si="6"/>
        <v>RT</v>
      </c>
      <c r="F247" t="str">
        <f t="shared" si="7"/>
        <v>RT</v>
      </c>
      <c r="G247">
        <f>IF(COUNTIFS(Factory_Components!$A$2:$A$61,VLOOKUP(A247,Runs!$A$2:$B$9,2,FALSE()),Factory_Components!$B$2:$B$61,"a",Factory_Components!$D$2:$D$61,F247)&gt;0,1,0)</f>
        <v>1</v>
      </c>
    </row>
    <row r="248" spans="1:7" ht="15" customHeight="1" x14ac:dyDescent="0.25">
      <c r="A248" t="s">
        <v>3</v>
      </c>
      <c r="B248" t="s">
        <v>415</v>
      </c>
      <c r="C248" t="s">
        <v>349</v>
      </c>
      <c r="D248" t="s">
        <v>761</v>
      </c>
      <c r="E248" t="str">
        <f t="shared" si="6"/>
        <v>BSA</v>
      </c>
      <c r="F248" t="str">
        <f t="shared" si="7"/>
        <v>BSA</v>
      </c>
      <c r="G248">
        <f>IF(COUNTIFS(Factory_Components!$A$2:$A$61,VLOOKUP(A248,Runs!$A$2:$B$9,2,FALSE()),Factory_Components!$B$2:$B$61,"a",Factory_Components!$D$2:$D$61,F248)&gt;0,1,0)</f>
        <v>1</v>
      </c>
    </row>
    <row r="249" spans="1:7" ht="15" customHeight="1" x14ac:dyDescent="0.25">
      <c r="A249" t="s">
        <v>3</v>
      </c>
      <c r="B249" t="s">
        <v>762</v>
      </c>
      <c r="C249" t="s">
        <v>354</v>
      </c>
      <c r="D249" t="s">
        <v>763</v>
      </c>
      <c r="E249" t="str">
        <f t="shared" si="6"/>
        <v>BAT</v>
      </c>
      <c r="F249" t="str">
        <f t="shared" si="7"/>
        <v>BAT</v>
      </c>
      <c r="G249">
        <f>IF(COUNTIFS(Factory_Components!$A$2:$A$61,VLOOKUP(A249,Runs!$A$2:$B$9,2,FALSE()),Factory_Components!$B$2:$B$61,"a",Factory_Components!$D$2:$D$61,F249)&gt;0,1,0)</f>
        <v>1</v>
      </c>
    </row>
    <row r="250" spans="1:7" ht="15" customHeight="1" x14ac:dyDescent="0.25">
      <c r="A250" t="s">
        <v>3</v>
      </c>
      <c r="B250" t="s">
        <v>443</v>
      </c>
      <c r="C250" t="s">
        <v>355</v>
      </c>
      <c r="D250" t="s">
        <v>764</v>
      </c>
      <c r="E250" t="str">
        <f t="shared" si="6"/>
        <v>RT</v>
      </c>
      <c r="F250" t="str">
        <f t="shared" si="7"/>
        <v>RT</v>
      </c>
      <c r="G250">
        <f>IF(COUNTIFS(Factory_Components!$A$2:$A$61,VLOOKUP(A250,Runs!$A$2:$B$9,2,FALSE()),Factory_Components!$B$2:$B$61,"a",Factory_Components!$D$2:$D$61,F250)&gt;0,1,0)</f>
        <v>1</v>
      </c>
    </row>
    <row r="251" spans="1:7" ht="15" customHeight="1" x14ac:dyDescent="0.25">
      <c r="A251" t="s">
        <v>3</v>
      </c>
      <c r="B251" t="s">
        <v>599</v>
      </c>
      <c r="C251" t="s">
        <v>357</v>
      </c>
      <c r="D251" t="s">
        <v>765</v>
      </c>
      <c r="E251" t="str">
        <f t="shared" si="6"/>
        <v>CHS</v>
      </c>
      <c r="F251" t="str">
        <f t="shared" si="7"/>
        <v>CHS</v>
      </c>
      <c r="G251">
        <f>IF(COUNTIFS(Factory_Components!$A$2:$A$61,VLOOKUP(A251,Runs!$A$2:$B$9,2,FALSE()),Factory_Components!$B$2:$B$61,"a",Factory_Components!$D$2:$D$61,F251)&gt;0,1,0)</f>
        <v>1</v>
      </c>
    </row>
    <row r="252" spans="1:7" ht="15" customHeight="1" x14ac:dyDescent="0.25">
      <c r="A252" t="s">
        <v>3</v>
      </c>
      <c r="B252" t="s">
        <v>419</v>
      </c>
      <c r="C252" t="s">
        <v>349</v>
      </c>
      <c r="D252" t="s">
        <v>766</v>
      </c>
      <c r="E252" t="str">
        <f t="shared" si="6"/>
        <v>BSA</v>
      </c>
      <c r="F252" t="str">
        <f t="shared" si="7"/>
        <v>BSA</v>
      </c>
      <c r="G252">
        <f>IF(COUNTIFS(Factory_Components!$A$2:$A$61,VLOOKUP(A252,Runs!$A$2:$B$9,2,FALSE()),Factory_Components!$B$2:$B$61,"a",Factory_Components!$D$2:$D$61,F252)&gt;0,1,0)</f>
        <v>1</v>
      </c>
    </row>
    <row r="253" spans="1:7" ht="15" customHeight="1" x14ac:dyDescent="0.25">
      <c r="A253" t="s">
        <v>3</v>
      </c>
      <c r="B253" t="s">
        <v>611</v>
      </c>
      <c r="C253" t="s">
        <v>349</v>
      </c>
      <c r="D253" t="s">
        <v>767</v>
      </c>
      <c r="E253" t="str">
        <f t="shared" si="6"/>
        <v>RAX_HD</v>
      </c>
      <c r="F253" t="str">
        <f t="shared" si="7"/>
        <v>RAX_HD</v>
      </c>
      <c r="G253">
        <f>IF(COUNTIFS(Factory_Components!$A$2:$A$61,VLOOKUP(A253,Runs!$A$2:$B$9,2,FALSE()),Factory_Components!$B$2:$B$61,"a",Factory_Components!$D$2:$D$61,F253)&gt;0,1,0)</f>
        <v>0</v>
      </c>
    </row>
    <row r="254" spans="1:7" ht="15" customHeight="1" x14ac:dyDescent="0.25">
      <c r="A254" t="s">
        <v>3</v>
      </c>
      <c r="B254" t="s">
        <v>700</v>
      </c>
      <c r="C254" t="s">
        <v>354</v>
      </c>
      <c r="D254" t="s">
        <v>768</v>
      </c>
      <c r="E254" t="str">
        <f t="shared" si="6"/>
        <v>BOSP</v>
      </c>
      <c r="F254" t="str">
        <f t="shared" si="7"/>
        <v>BOSP</v>
      </c>
      <c r="G254">
        <f>IF(COUNTIFS(Factory_Components!$A$2:$A$61,VLOOKUP(A254,Runs!$A$2:$B$9,2,FALSE()),Factory_Components!$B$2:$B$61,"a",Factory_Components!$D$2:$D$61,F254)&gt;0,1,0)</f>
        <v>1</v>
      </c>
    </row>
    <row r="255" spans="1:7" ht="15" customHeight="1" x14ac:dyDescent="0.25">
      <c r="A255" t="s">
        <v>3</v>
      </c>
      <c r="B255" t="s">
        <v>445</v>
      </c>
      <c r="C255" t="s">
        <v>355</v>
      </c>
      <c r="D255" t="s">
        <v>769</v>
      </c>
      <c r="E255" t="str">
        <f t="shared" si="6"/>
        <v>FT</v>
      </c>
      <c r="F255" t="str">
        <f t="shared" si="7"/>
        <v>FT</v>
      </c>
      <c r="G255">
        <f>IF(COUNTIFS(Factory_Components!$A$2:$A$61,VLOOKUP(A255,Runs!$A$2:$B$9,2,FALSE()),Factory_Components!$B$2:$B$61,"a",Factory_Components!$D$2:$D$61,F255)&gt;0,1,0)</f>
        <v>1</v>
      </c>
    </row>
    <row r="256" spans="1:7" ht="15" customHeight="1" x14ac:dyDescent="0.25">
      <c r="A256" t="s">
        <v>3</v>
      </c>
      <c r="B256" t="s">
        <v>705</v>
      </c>
      <c r="C256" t="s">
        <v>354</v>
      </c>
      <c r="D256" t="s">
        <v>770</v>
      </c>
      <c r="E256" t="str">
        <f t="shared" si="6"/>
        <v>BOSP</v>
      </c>
      <c r="F256" t="str">
        <f t="shared" si="7"/>
        <v>BOSP</v>
      </c>
      <c r="G256">
        <f>IF(COUNTIFS(Factory_Components!$A$2:$A$61,VLOOKUP(A256,Runs!$A$2:$B$9,2,FALSE()),Factory_Components!$B$2:$B$61,"a",Factory_Components!$D$2:$D$61,F256)&gt;0,1,0)</f>
        <v>1</v>
      </c>
    </row>
    <row r="257" spans="1:7" ht="15" customHeight="1" x14ac:dyDescent="0.25">
      <c r="A257" t="s">
        <v>3</v>
      </c>
      <c r="B257" t="s">
        <v>447</v>
      </c>
      <c r="C257" t="s">
        <v>355</v>
      </c>
      <c r="D257" t="s">
        <v>771</v>
      </c>
      <c r="E257" t="str">
        <f t="shared" si="6"/>
        <v>FT</v>
      </c>
      <c r="F257" t="str">
        <f t="shared" si="7"/>
        <v>FT</v>
      </c>
      <c r="G257">
        <f>IF(COUNTIFS(Factory_Components!$A$2:$A$61,VLOOKUP(A257,Runs!$A$2:$B$9,2,FALSE()),Factory_Components!$B$2:$B$61,"a",Factory_Components!$D$2:$D$61,F257)&gt;0,1,0)</f>
        <v>1</v>
      </c>
    </row>
    <row r="258" spans="1:7" ht="15" customHeight="1" x14ac:dyDescent="0.25">
      <c r="A258" t="s">
        <v>3</v>
      </c>
      <c r="B258" t="s">
        <v>578</v>
      </c>
      <c r="C258" t="s">
        <v>349</v>
      </c>
      <c r="D258" t="s">
        <v>772</v>
      </c>
      <c r="E258" t="str">
        <f t="shared" ref="E258:E321" si="8">IF(ISNUMBER(--RIGHT(B258,1)),MID(B258,10,LEN(B258)-11),MID(B258,10,100))</f>
        <v>SSA</v>
      </c>
      <c r="F258" t="str">
        <f t="shared" ref="F258:F321" si="9">IF(E258="CORE","CHS",E258)</f>
        <v>SSA</v>
      </c>
      <c r="G258">
        <f>IF(COUNTIFS(Factory_Components!$A$2:$A$61,VLOOKUP(A258,Runs!$A$2:$B$9,2,FALSE()),Factory_Components!$B$2:$B$61,"a",Factory_Components!$D$2:$D$61,F258)&gt;0,1,0)</f>
        <v>1</v>
      </c>
    </row>
    <row r="259" spans="1:7" ht="15" customHeight="1" x14ac:dyDescent="0.25">
      <c r="A259" t="s">
        <v>3</v>
      </c>
      <c r="B259" t="s">
        <v>773</v>
      </c>
      <c r="C259" t="s">
        <v>354</v>
      </c>
      <c r="D259" t="s">
        <v>774</v>
      </c>
      <c r="E259" t="str">
        <f t="shared" si="8"/>
        <v>BAT</v>
      </c>
      <c r="F259" t="str">
        <f t="shared" si="9"/>
        <v>BAT</v>
      </c>
      <c r="G259">
        <f>IF(COUNTIFS(Factory_Components!$A$2:$A$61,VLOOKUP(A259,Runs!$A$2:$B$9,2,FALSE()),Factory_Components!$B$2:$B$61,"a",Factory_Components!$D$2:$D$61,F259)&gt;0,1,0)</f>
        <v>1</v>
      </c>
    </row>
    <row r="260" spans="1:7" ht="15" customHeight="1" x14ac:dyDescent="0.25">
      <c r="A260" t="s">
        <v>3</v>
      </c>
      <c r="B260" t="s">
        <v>455</v>
      </c>
      <c r="C260" t="s">
        <v>355</v>
      </c>
      <c r="D260" t="s">
        <v>775</v>
      </c>
      <c r="E260" t="str">
        <f t="shared" si="8"/>
        <v>RT</v>
      </c>
      <c r="F260" t="str">
        <f t="shared" si="9"/>
        <v>RT</v>
      </c>
      <c r="G260">
        <f>IF(COUNTIFS(Factory_Components!$A$2:$A$61,VLOOKUP(A260,Runs!$A$2:$B$9,2,FALSE()),Factory_Components!$B$2:$B$61,"a",Factory_Components!$D$2:$D$61,F260)&gt;0,1,0)</f>
        <v>1</v>
      </c>
    </row>
    <row r="261" spans="1:7" ht="15" customHeight="1" x14ac:dyDescent="0.25">
      <c r="A261" t="s">
        <v>3</v>
      </c>
      <c r="B261" t="s">
        <v>586</v>
      </c>
      <c r="C261" t="s">
        <v>349</v>
      </c>
      <c r="D261" t="s">
        <v>776</v>
      </c>
      <c r="E261" t="str">
        <f t="shared" si="8"/>
        <v>SSA</v>
      </c>
      <c r="F261" t="str">
        <f t="shared" si="9"/>
        <v>SSA</v>
      </c>
      <c r="G261">
        <f>IF(COUNTIFS(Factory_Components!$A$2:$A$61,VLOOKUP(A261,Runs!$A$2:$B$9,2,FALSE()),Factory_Components!$B$2:$B$61,"a",Factory_Components!$D$2:$D$61,F261)&gt;0,1,0)</f>
        <v>1</v>
      </c>
    </row>
    <row r="262" spans="1:7" ht="15" customHeight="1" x14ac:dyDescent="0.25">
      <c r="A262" t="s">
        <v>3</v>
      </c>
      <c r="B262" t="s">
        <v>588</v>
      </c>
      <c r="C262" t="s">
        <v>349</v>
      </c>
      <c r="D262" t="s">
        <v>777</v>
      </c>
      <c r="E262" t="str">
        <f t="shared" si="8"/>
        <v>FAX</v>
      </c>
      <c r="F262" t="str">
        <f t="shared" si="9"/>
        <v>FAX</v>
      </c>
      <c r="G262">
        <f>IF(COUNTIFS(Factory_Components!$A$2:$A$61,VLOOKUP(A262,Runs!$A$2:$B$9,2,FALSE()),Factory_Components!$B$2:$B$61,"a",Factory_Components!$D$2:$D$61,F262)&gt;0,1,0)</f>
        <v>1</v>
      </c>
    </row>
    <row r="263" spans="1:7" ht="15" customHeight="1" x14ac:dyDescent="0.25">
      <c r="A263" t="s">
        <v>3</v>
      </c>
      <c r="B263" t="s">
        <v>459</v>
      </c>
      <c r="C263" t="s">
        <v>355</v>
      </c>
      <c r="D263" t="s">
        <v>778</v>
      </c>
      <c r="E263" t="str">
        <f t="shared" si="8"/>
        <v>RT</v>
      </c>
      <c r="F263" t="str">
        <f t="shared" si="9"/>
        <v>RT</v>
      </c>
      <c r="G263">
        <f>IF(COUNTIFS(Factory_Components!$A$2:$A$61,VLOOKUP(A263,Runs!$A$2:$B$9,2,FALSE()),Factory_Components!$B$2:$B$61,"a",Factory_Components!$D$2:$D$61,F263)&gt;0,1,0)</f>
        <v>1</v>
      </c>
    </row>
    <row r="264" spans="1:7" ht="15" customHeight="1" x14ac:dyDescent="0.25">
      <c r="A264" t="s">
        <v>3</v>
      </c>
      <c r="B264" t="s">
        <v>425</v>
      </c>
      <c r="C264" t="s">
        <v>349</v>
      </c>
      <c r="D264" t="s">
        <v>779</v>
      </c>
      <c r="E264" t="str">
        <f t="shared" si="8"/>
        <v>BSA</v>
      </c>
      <c r="F264" t="str">
        <f t="shared" si="9"/>
        <v>BSA</v>
      </c>
      <c r="G264">
        <f>IF(COUNTIFS(Factory_Components!$A$2:$A$61,VLOOKUP(A264,Runs!$A$2:$B$9,2,FALSE()),Factory_Components!$B$2:$B$61,"a",Factory_Components!$D$2:$D$61,F264)&gt;0,1,0)</f>
        <v>1</v>
      </c>
    </row>
    <row r="265" spans="1:7" ht="15" customHeight="1" x14ac:dyDescent="0.25">
      <c r="A265" t="s">
        <v>3</v>
      </c>
      <c r="B265" t="s">
        <v>605</v>
      </c>
      <c r="C265" t="s">
        <v>357</v>
      </c>
      <c r="D265" t="s">
        <v>780</v>
      </c>
      <c r="E265" t="str">
        <f t="shared" si="8"/>
        <v>CHS</v>
      </c>
      <c r="F265" t="str">
        <f t="shared" si="9"/>
        <v>CHS</v>
      </c>
      <c r="G265">
        <f>IF(COUNTIFS(Factory_Components!$A$2:$A$61,VLOOKUP(A265,Runs!$A$2:$B$9,2,FALSE()),Factory_Components!$B$2:$B$61,"a",Factory_Components!$D$2:$D$61,F265)&gt;0,1,0)</f>
        <v>1</v>
      </c>
    </row>
    <row r="266" spans="1:7" ht="15" customHeight="1" x14ac:dyDescent="0.25">
      <c r="A266" t="s">
        <v>3</v>
      </c>
      <c r="B266" t="s">
        <v>644</v>
      </c>
      <c r="C266" t="s">
        <v>355</v>
      </c>
      <c r="D266" t="s">
        <v>781</v>
      </c>
      <c r="E266" t="str">
        <f t="shared" si="8"/>
        <v>FT</v>
      </c>
      <c r="F266" t="str">
        <f t="shared" si="9"/>
        <v>FT</v>
      </c>
      <c r="G266">
        <f>IF(COUNTIFS(Factory_Components!$A$2:$A$61,VLOOKUP(A266,Runs!$A$2:$B$9,2,FALSE()),Factory_Components!$B$2:$B$61,"a",Factory_Components!$D$2:$D$61,F266)&gt;0,1,0)</f>
        <v>1</v>
      </c>
    </row>
    <row r="267" spans="1:7" ht="15" customHeight="1" x14ac:dyDescent="0.25">
      <c r="A267" t="s">
        <v>3</v>
      </c>
      <c r="B267" t="s">
        <v>431</v>
      </c>
      <c r="C267" t="s">
        <v>349</v>
      </c>
      <c r="D267" t="s">
        <v>782</v>
      </c>
      <c r="E267" t="str">
        <f t="shared" si="8"/>
        <v>BSA</v>
      </c>
      <c r="F267" t="str">
        <f t="shared" si="9"/>
        <v>BSA</v>
      </c>
      <c r="G267">
        <f>IF(COUNTIFS(Factory_Components!$A$2:$A$61,VLOOKUP(A267,Runs!$A$2:$B$9,2,FALSE()),Factory_Components!$B$2:$B$61,"a",Factory_Components!$D$2:$D$61,F267)&gt;0,1,0)</f>
        <v>1</v>
      </c>
    </row>
    <row r="268" spans="1:7" ht="15" customHeight="1" x14ac:dyDescent="0.25">
      <c r="A268" t="s">
        <v>3</v>
      </c>
      <c r="B268" t="s">
        <v>619</v>
      </c>
      <c r="C268" t="s">
        <v>349</v>
      </c>
      <c r="D268" t="s">
        <v>783</v>
      </c>
      <c r="E268" t="str">
        <f t="shared" si="8"/>
        <v>RAX_HD</v>
      </c>
      <c r="F268" t="str">
        <f t="shared" si="9"/>
        <v>RAX_HD</v>
      </c>
      <c r="G268">
        <f>IF(COUNTIFS(Factory_Components!$A$2:$A$61,VLOOKUP(A268,Runs!$A$2:$B$9,2,FALSE()),Factory_Components!$B$2:$B$61,"a",Factory_Components!$D$2:$D$61,F268)&gt;0,1,0)</f>
        <v>0</v>
      </c>
    </row>
    <row r="269" spans="1:7" ht="15" customHeight="1" x14ac:dyDescent="0.25">
      <c r="A269" t="s">
        <v>3</v>
      </c>
      <c r="B269" t="s">
        <v>648</v>
      </c>
      <c r="C269" t="s">
        <v>355</v>
      </c>
      <c r="D269" t="s">
        <v>784</v>
      </c>
      <c r="E269" t="str">
        <f t="shared" si="8"/>
        <v>FT</v>
      </c>
      <c r="F269" t="str">
        <f t="shared" si="9"/>
        <v>FT</v>
      </c>
      <c r="G269">
        <f>IF(COUNTIFS(Factory_Components!$A$2:$A$61,VLOOKUP(A269,Runs!$A$2:$B$9,2,FALSE()),Factory_Components!$B$2:$B$61,"a",Factory_Components!$D$2:$D$61,F269)&gt;0,1,0)</f>
        <v>1</v>
      </c>
    </row>
    <row r="270" spans="1:7" ht="15" customHeight="1" x14ac:dyDescent="0.25">
      <c r="A270" t="s">
        <v>3</v>
      </c>
      <c r="B270" t="s">
        <v>584</v>
      </c>
      <c r="C270" t="s">
        <v>349</v>
      </c>
      <c r="D270" t="s">
        <v>785</v>
      </c>
      <c r="E270" t="str">
        <f t="shared" si="8"/>
        <v>SSA</v>
      </c>
      <c r="F270" t="str">
        <f t="shared" si="9"/>
        <v>SSA</v>
      </c>
      <c r="G270">
        <f>IF(COUNTIFS(Factory_Components!$A$2:$A$61,VLOOKUP(A270,Runs!$A$2:$B$9,2,FALSE()),Factory_Components!$B$2:$B$61,"a",Factory_Components!$D$2:$D$61,F270)&gt;0,1,0)</f>
        <v>1</v>
      </c>
    </row>
    <row r="271" spans="1:7" ht="15" customHeight="1" x14ac:dyDescent="0.25">
      <c r="A271" t="s">
        <v>3</v>
      </c>
      <c r="B271" t="s">
        <v>471</v>
      </c>
      <c r="C271" t="s">
        <v>355</v>
      </c>
      <c r="D271" t="s">
        <v>786</v>
      </c>
      <c r="E271" t="str">
        <f t="shared" si="8"/>
        <v>RT</v>
      </c>
      <c r="F271" t="str">
        <f t="shared" si="9"/>
        <v>RT</v>
      </c>
      <c r="G271">
        <f>IF(COUNTIFS(Factory_Components!$A$2:$A$61,VLOOKUP(A271,Runs!$A$2:$B$9,2,FALSE()),Factory_Components!$B$2:$B$61,"a",Factory_Components!$D$2:$D$61,F271)&gt;0,1,0)</f>
        <v>1</v>
      </c>
    </row>
    <row r="272" spans="1:7" ht="15" customHeight="1" x14ac:dyDescent="0.25">
      <c r="A272" t="s">
        <v>3</v>
      </c>
      <c r="B272" t="s">
        <v>592</v>
      </c>
      <c r="C272" t="s">
        <v>349</v>
      </c>
      <c r="D272" t="s">
        <v>787</v>
      </c>
      <c r="E272" t="str">
        <f t="shared" si="8"/>
        <v>SSA</v>
      </c>
      <c r="F272" t="str">
        <f t="shared" si="9"/>
        <v>SSA</v>
      </c>
      <c r="G272">
        <f>IF(COUNTIFS(Factory_Components!$A$2:$A$61,VLOOKUP(A272,Runs!$A$2:$B$9,2,FALSE()),Factory_Components!$B$2:$B$61,"a",Factory_Components!$D$2:$D$61,F272)&gt;0,1,0)</f>
        <v>1</v>
      </c>
    </row>
    <row r="273" spans="1:7" ht="15" customHeight="1" x14ac:dyDescent="0.25">
      <c r="A273" t="s">
        <v>3</v>
      </c>
      <c r="B273" t="s">
        <v>594</v>
      </c>
      <c r="C273" t="s">
        <v>349</v>
      </c>
      <c r="D273" t="s">
        <v>788</v>
      </c>
      <c r="E273" t="str">
        <f t="shared" si="8"/>
        <v>FAX</v>
      </c>
      <c r="F273" t="str">
        <f t="shared" si="9"/>
        <v>FAX</v>
      </c>
      <c r="G273">
        <f>IF(COUNTIFS(Factory_Components!$A$2:$A$61,VLOOKUP(A273,Runs!$A$2:$B$9,2,FALSE()),Factory_Components!$B$2:$B$61,"a",Factory_Components!$D$2:$D$61,F273)&gt;0,1,0)</f>
        <v>1</v>
      </c>
    </row>
    <row r="274" spans="1:7" ht="15" customHeight="1" x14ac:dyDescent="0.25">
      <c r="A274" t="s">
        <v>3</v>
      </c>
      <c r="B274" t="s">
        <v>475</v>
      </c>
      <c r="C274" t="s">
        <v>355</v>
      </c>
      <c r="D274" t="s">
        <v>789</v>
      </c>
      <c r="E274" t="str">
        <f t="shared" si="8"/>
        <v>RT</v>
      </c>
      <c r="F274" t="str">
        <f t="shared" si="9"/>
        <v>RT</v>
      </c>
      <c r="G274">
        <f>IF(COUNTIFS(Factory_Components!$A$2:$A$61,VLOOKUP(A274,Runs!$A$2:$B$9,2,FALSE()),Factory_Components!$B$2:$B$61,"a",Factory_Components!$D$2:$D$61,F274)&gt;0,1,0)</f>
        <v>1</v>
      </c>
    </row>
    <row r="275" spans="1:7" ht="15" customHeight="1" x14ac:dyDescent="0.25">
      <c r="A275" t="s">
        <v>3</v>
      </c>
      <c r="B275" t="s">
        <v>675</v>
      </c>
      <c r="C275" t="s">
        <v>357</v>
      </c>
      <c r="D275" t="s">
        <v>790</v>
      </c>
      <c r="E275" t="str">
        <f t="shared" si="8"/>
        <v>CHS</v>
      </c>
      <c r="F275" t="str">
        <f t="shared" si="9"/>
        <v>CHS</v>
      </c>
      <c r="G275">
        <f>IF(COUNTIFS(Factory_Components!$A$2:$A$61,VLOOKUP(A275,Runs!$A$2:$B$9,2,FALSE()),Factory_Components!$B$2:$B$61,"a",Factory_Components!$D$2:$D$61,F275)&gt;0,1,0)</f>
        <v>1</v>
      </c>
    </row>
    <row r="276" spans="1:7" ht="15" customHeight="1" x14ac:dyDescent="0.25">
      <c r="A276" t="s">
        <v>3</v>
      </c>
      <c r="B276" t="s">
        <v>650</v>
      </c>
      <c r="C276" t="s">
        <v>355</v>
      </c>
      <c r="D276" t="s">
        <v>791</v>
      </c>
      <c r="E276" t="str">
        <f t="shared" si="8"/>
        <v>FT</v>
      </c>
      <c r="F276" t="str">
        <f t="shared" si="9"/>
        <v>FT</v>
      </c>
      <c r="G276">
        <f>IF(COUNTIFS(Factory_Components!$A$2:$A$61,VLOOKUP(A276,Runs!$A$2:$B$9,2,FALSE()),Factory_Components!$B$2:$B$61,"a",Factory_Components!$D$2:$D$61,F276)&gt;0,1,0)</f>
        <v>1</v>
      </c>
    </row>
    <row r="277" spans="1:7" ht="15" customHeight="1" x14ac:dyDescent="0.25">
      <c r="A277" t="s">
        <v>3</v>
      </c>
      <c r="B277" t="s">
        <v>615</v>
      </c>
      <c r="C277" t="s">
        <v>349</v>
      </c>
      <c r="D277" t="s">
        <v>792</v>
      </c>
      <c r="E277" t="str">
        <f t="shared" si="8"/>
        <v>BSA</v>
      </c>
      <c r="F277" t="str">
        <f t="shared" si="9"/>
        <v>BSA</v>
      </c>
      <c r="G277">
        <f>IF(COUNTIFS(Factory_Components!$A$2:$A$61,VLOOKUP(A277,Runs!$A$2:$B$9,2,FALSE()),Factory_Components!$B$2:$B$61,"a",Factory_Components!$D$2:$D$61,F277)&gt;0,1,0)</f>
        <v>1</v>
      </c>
    </row>
    <row r="278" spans="1:7" ht="15" customHeight="1" x14ac:dyDescent="0.25">
      <c r="A278" t="s">
        <v>3</v>
      </c>
      <c r="B278" t="s">
        <v>653</v>
      </c>
      <c r="C278" t="s">
        <v>355</v>
      </c>
      <c r="D278" t="s">
        <v>793</v>
      </c>
      <c r="E278" t="str">
        <f t="shared" si="8"/>
        <v>FT</v>
      </c>
      <c r="F278" t="str">
        <f t="shared" si="9"/>
        <v>FT</v>
      </c>
      <c r="G278">
        <f>IF(COUNTIFS(Factory_Components!$A$2:$A$61,VLOOKUP(A278,Runs!$A$2:$B$9,2,FALSE()),Factory_Components!$B$2:$B$61,"a",Factory_Components!$D$2:$D$61,F278)&gt;0,1,0)</f>
        <v>1</v>
      </c>
    </row>
    <row r="279" spans="1:7" ht="15" customHeight="1" x14ac:dyDescent="0.25">
      <c r="A279" t="s">
        <v>3</v>
      </c>
      <c r="B279" t="s">
        <v>623</v>
      </c>
      <c r="C279" t="s">
        <v>349</v>
      </c>
      <c r="D279" t="s">
        <v>794</v>
      </c>
      <c r="E279" t="str">
        <f t="shared" si="8"/>
        <v>BSA</v>
      </c>
      <c r="F279" t="str">
        <f t="shared" si="9"/>
        <v>BSA</v>
      </c>
      <c r="G279">
        <f>IF(COUNTIFS(Factory_Components!$A$2:$A$61,VLOOKUP(A279,Runs!$A$2:$B$9,2,FALSE()),Factory_Components!$B$2:$B$61,"a",Factory_Components!$D$2:$D$61,F279)&gt;0,1,0)</f>
        <v>1</v>
      </c>
    </row>
    <row r="280" spans="1:7" ht="15" customHeight="1" x14ac:dyDescent="0.25">
      <c r="A280" t="s">
        <v>3</v>
      </c>
      <c r="B280" t="s">
        <v>625</v>
      </c>
      <c r="C280" t="s">
        <v>349</v>
      </c>
      <c r="D280" t="s">
        <v>795</v>
      </c>
      <c r="E280" t="str">
        <f t="shared" si="8"/>
        <v>RAX_HD</v>
      </c>
      <c r="F280" t="str">
        <f t="shared" si="9"/>
        <v>RAX_HD</v>
      </c>
      <c r="G280">
        <f>IF(COUNTIFS(Factory_Components!$A$2:$A$61,VLOOKUP(A280,Runs!$A$2:$B$9,2,FALSE()),Factory_Components!$B$2:$B$61,"a",Factory_Components!$D$2:$D$61,F280)&gt;0,1,0)</f>
        <v>0</v>
      </c>
    </row>
    <row r="281" spans="1:7" ht="15" customHeight="1" x14ac:dyDescent="0.25">
      <c r="A281" t="s">
        <v>3</v>
      </c>
      <c r="B281" t="s">
        <v>493</v>
      </c>
      <c r="C281" t="s">
        <v>355</v>
      </c>
      <c r="D281" t="s">
        <v>796</v>
      </c>
      <c r="E281" t="str">
        <f t="shared" si="8"/>
        <v>RT</v>
      </c>
      <c r="F281" t="str">
        <f t="shared" si="9"/>
        <v>RT</v>
      </c>
      <c r="G281">
        <f>IF(COUNTIFS(Factory_Components!$A$2:$A$61,VLOOKUP(A281,Runs!$A$2:$B$9,2,FALSE()),Factory_Components!$B$2:$B$61,"a",Factory_Components!$D$2:$D$61,F281)&gt;0,1,0)</f>
        <v>1</v>
      </c>
    </row>
    <row r="282" spans="1:7" ht="15" customHeight="1" x14ac:dyDescent="0.25">
      <c r="A282" t="s">
        <v>3</v>
      </c>
      <c r="B282" t="s">
        <v>453</v>
      </c>
      <c r="C282" t="s">
        <v>349</v>
      </c>
      <c r="D282" t="s">
        <v>797</v>
      </c>
      <c r="E282" t="str">
        <f t="shared" si="8"/>
        <v>SSA</v>
      </c>
      <c r="F282" t="str">
        <f t="shared" si="9"/>
        <v>SSA</v>
      </c>
      <c r="G282">
        <f>IF(COUNTIFS(Factory_Components!$A$2:$A$61,VLOOKUP(A282,Runs!$A$2:$B$9,2,FALSE()),Factory_Components!$B$2:$B$61,"a",Factory_Components!$D$2:$D$61,F282)&gt;0,1,0)</f>
        <v>1</v>
      </c>
    </row>
    <row r="283" spans="1:7" ht="15" customHeight="1" x14ac:dyDescent="0.25">
      <c r="A283" t="s">
        <v>3</v>
      </c>
      <c r="B283" t="s">
        <v>495</v>
      </c>
      <c r="C283" t="s">
        <v>355</v>
      </c>
      <c r="D283" t="s">
        <v>798</v>
      </c>
      <c r="E283" t="str">
        <f t="shared" si="8"/>
        <v>RT</v>
      </c>
      <c r="F283" t="str">
        <f t="shared" si="9"/>
        <v>RT</v>
      </c>
      <c r="G283">
        <f>IF(COUNTIFS(Factory_Components!$A$2:$A$61,VLOOKUP(A283,Runs!$A$2:$B$9,2,FALSE()),Factory_Components!$B$2:$B$61,"a",Factory_Components!$D$2:$D$61,F283)&gt;0,1,0)</f>
        <v>1</v>
      </c>
    </row>
    <row r="284" spans="1:7" ht="15" customHeight="1" x14ac:dyDescent="0.25">
      <c r="A284" t="s">
        <v>3</v>
      </c>
      <c r="B284" t="s">
        <v>681</v>
      </c>
      <c r="C284" t="s">
        <v>357</v>
      </c>
      <c r="D284" t="s">
        <v>799</v>
      </c>
      <c r="E284" t="str">
        <f t="shared" si="8"/>
        <v>CHS</v>
      </c>
      <c r="F284" t="str">
        <f t="shared" si="9"/>
        <v>CHS</v>
      </c>
      <c r="G284">
        <f>IF(COUNTIFS(Factory_Components!$A$2:$A$61,VLOOKUP(A284,Runs!$A$2:$B$9,2,FALSE()),Factory_Components!$B$2:$B$61,"a",Factory_Components!$D$2:$D$61,F284)&gt;0,1,0)</f>
        <v>1</v>
      </c>
    </row>
    <row r="285" spans="1:7" ht="15" customHeight="1" x14ac:dyDescent="0.25">
      <c r="A285" t="s">
        <v>3</v>
      </c>
      <c r="B285" t="s">
        <v>501</v>
      </c>
      <c r="C285" t="s">
        <v>355</v>
      </c>
      <c r="D285" t="s">
        <v>800</v>
      </c>
      <c r="E285" t="str">
        <f t="shared" si="8"/>
        <v>FT</v>
      </c>
      <c r="F285" t="str">
        <f t="shared" si="9"/>
        <v>FT</v>
      </c>
      <c r="G285">
        <f>IF(COUNTIFS(Factory_Components!$A$2:$A$61,VLOOKUP(A285,Runs!$A$2:$B$9,2,FALSE()),Factory_Components!$B$2:$B$61,"a",Factory_Components!$D$2:$D$61,F285)&gt;0,1,0)</f>
        <v>1</v>
      </c>
    </row>
    <row r="286" spans="1:7" ht="15" customHeight="1" x14ac:dyDescent="0.25">
      <c r="A286" t="s">
        <v>3</v>
      </c>
      <c r="B286" t="s">
        <v>457</v>
      </c>
      <c r="C286" t="s">
        <v>349</v>
      </c>
      <c r="D286" t="s">
        <v>801</v>
      </c>
      <c r="E286" t="str">
        <f t="shared" si="8"/>
        <v>SSA</v>
      </c>
      <c r="F286" t="str">
        <f t="shared" si="9"/>
        <v>SSA</v>
      </c>
      <c r="G286">
        <f>IF(COUNTIFS(Factory_Components!$A$2:$A$61,VLOOKUP(A286,Runs!$A$2:$B$9,2,FALSE()),Factory_Components!$B$2:$B$61,"a",Factory_Components!$D$2:$D$61,F286)&gt;0,1,0)</f>
        <v>1</v>
      </c>
    </row>
    <row r="287" spans="1:7" ht="15" customHeight="1" x14ac:dyDescent="0.25">
      <c r="A287" t="s">
        <v>3</v>
      </c>
      <c r="B287" t="s">
        <v>661</v>
      </c>
      <c r="C287" t="s">
        <v>349</v>
      </c>
      <c r="D287" t="s">
        <v>802</v>
      </c>
      <c r="E287" t="str">
        <f t="shared" si="8"/>
        <v>FAX</v>
      </c>
      <c r="F287" t="str">
        <f t="shared" si="9"/>
        <v>FAX</v>
      </c>
      <c r="G287">
        <f>IF(COUNTIFS(Factory_Components!$A$2:$A$61,VLOOKUP(A287,Runs!$A$2:$B$9,2,FALSE()),Factory_Components!$B$2:$B$61,"a",Factory_Components!$D$2:$D$61,F287)&gt;0,1,0)</f>
        <v>1</v>
      </c>
    </row>
    <row r="288" spans="1:7" ht="15" customHeight="1" x14ac:dyDescent="0.25">
      <c r="A288" t="s">
        <v>3</v>
      </c>
      <c r="B288" t="s">
        <v>503</v>
      </c>
      <c r="C288" t="s">
        <v>355</v>
      </c>
      <c r="D288" t="s">
        <v>803</v>
      </c>
      <c r="E288" t="str">
        <f t="shared" si="8"/>
        <v>FT</v>
      </c>
      <c r="F288" t="str">
        <f t="shared" si="9"/>
        <v>FT</v>
      </c>
      <c r="G288">
        <f>IF(COUNTIFS(Factory_Components!$A$2:$A$61,VLOOKUP(A288,Runs!$A$2:$B$9,2,FALSE()),Factory_Components!$B$2:$B$61,"a",Factory_Components!$D$2:$D$61,F288)&gt;0,1,0)</f>
        <v>1</v>
      </c>
    </row>
    <row r="289" spans="1:7" ht="15" customHeight="1" x14ac:dyDescent="0.25">
      <c r="A289" t="s">
        <v>3</v>
      </c>
      <c r="B289" t="s">
        <v>463</v>
      </c>
      <c r="C289" t="s">
        <v>349</v>
      </c>
      <c r="D289" t="s">
        <v>804</v>
      </c>
      <c r="E289" t="str">
        <f t="shared" si="8"/>
        <v>BSA</v>
      </c>
      <c r="F289" t="str">
        <f t="shared" si="9"/>
        <v>BSA</v>
      </c>
      <c r="G289">
        <f>IF(COUNTIFS(Factory_Components!$A$2:$A$61,VLOOKUP(A289,Runs!$A$2:$B$9,2,FALSE()),Factory_Components!$B$2:$B$61,"a",Factory_Components!$D$2:$D$61,F289)&gt;0,1,0)</f>
        <v>1</v>
      </c>
    </row>
    <row r="290" spans="1:7" ht="15" customHeight="1" x14ac:dyDescent="0.25">
      <c r="A290" t="s">
        <v>3</v>
      </c>
      <c r="B290" t="s">
        <v>511</v>
      </c>
      <c r="C290" t="s">
        <v>355</v>
      </c>
      <c r="D290" t="s">
        <v>805</v>
      </c>
      <c r="E290" t="str">
        <f t="shared" si="8"/>
        <v>RT</v>
      </c>
      <c r="F290" t="str">
        <f t="shared" si="9"/>
        <v>RT</v>
      </c>
      <c r="G290">
        <f>IF(COUNTIFS(Factory_Components!$A$2:$A$61,VLOOKUP(A290,Runs!$A$2:$B$9,2,FALSE()),Factory_Components!$B$2:$B$61,"a",Factory_Components!$D$2:$D$61,F290)&gt;0,1,0)</f>
        <v>1</v>
      </c>
    </row>
    <row r="291" spans="1:7" ht="15" customHeight="1" x14ac:dyDescent="0.25">
      <c r="A291" t="s">
        <v>3</v>
      </c>
      <c r="B291" t="s">
        <v>467</v>
      </c>
      <c r="C291" t="s">
        <v>349</v>
      </c>
      <c r="D291" t="s">
        <v>806</v>
      </c>
      <c r="E291" t="str">
        <f t="shared" si="8"/>
        <v>BSA</v>
      </c>
      <c r="F291" t="str">
        <f t="shared" si="9"/>
        <v>BSA</v>
      </c>
      <c r="G291">
        <f>IF(COUNTIFS(Factory_Components!$A$2:$A$61,VLOOKUP(A291,Runs!$A$2:$B$9,2,FALSE()),Factory_Components!$B$2:$B$61,"a",Factory_Components!$D$2:$D$61,F291)&gt;0,1,0)</f>
        <v>1</v>
      </c>
    </row>
    <row r="292" spans="1:7" ht="15" customHeight="1" x14ac:dyDescent="0.25">
      <c r="A292" t="s">
        <v>3</v>
      </c>
      <c r="B292" t="s">
        <v>688</v>
      </c>
      <c r="C292" t="s">
        <v>349</v>
      </c>
      <c r="D292" t="s">
        <v>807</v>
      </c>
      <c r="E292" t="str">
        <f t="shared" si="8"/>
        <v>RAX_HD</v>
      </c>
      <c r="F292" t="str">
        <f t="shared" si="9"/>
        <v>RAX_HD</v>
      </c>
      <c r="G292">
        <f>IF(COUNTIFS(Factory_Components!$A$2:$A$61,VLOOKUP(A292,Runs!$A$2:$B$9,2,FALSE()),Factory_Components!$B$2:$B$61,"a",Factory_Components!$D$2:$D$61,F292)&gt;0,1,0)</f>
        <v>0</v>
      </c>
    </row>
    <row r="293" spans="1:7" ht="15" customHeight="1" x14ac:dyDescent="0.25">
      <c r="A293" t="s">
        <v>3</v>
      </c>
      <c r="B293" t="s">
        <v>513</v>
      </c>
      <c r="C293" t="s">
        <v>355</v>
      </c>
      <c r="D293" t="s">
        <v>808</v>
      </c>
      <c r="E293" t="str">
        <f t="shared" si="8"/>
        <v>RT</v>
      </c>
      <c r="F293" t="str">
        <f t="shared" si="9"/>
        <v>RT</v>
      </c>
      <c r="G293">
        <f>IF(COUNTIFS(Factory_Components!$A$2:$A$61,VLOOKUP(A293,Runs!$A$2:$B$9,2,FALSE()),Factory_Components!$B$2:$B$61,"a",Factory_Components!$D$2:$D$61,F293)&gt;0,1,0)</f>
        <v>1</v>
      </c>
    </row>
    <row r="294" spans="1:7" ht="15" customHeight="1" x14ac:dyDescent="0.25">
      <c r="A294" t="s">
        <v>3</v>
      </c>
      <c r="B294" t="s">
        <v>658</v>
      </c>
      <c r="C294" t="s">
        <v>349</v>
      </c>
      <c r="D294" t="s">
        <v>809</v>
      </c>
      <c r="E294" t="str">
        <f t="shared" si="8"/>
        <v>SSA</v>
      </c>
      <c r="F294" t="str">
        <f t="shared" si="9"/>
        <v>SSA</v>
      </c>
      <c r="G294">
        <f>IF(COUNTIFS(Factory_Components!$A$2:$A$61,VLOOKUP(A294,Runs!$A$2:$B$9,2,FALSE()),Factory_Components!$B$2:$B$61,"a",Factory_Components!$D$2:$D$61,F294)&gt;0,1,0)</f>
        <v>1</v>
      </c>
    </row>
    <row r="295" spans="1:7" ht="15" customHeight="1" x14ac:dyDescent="0.25">
      <c r="A295" t="s">
        <v>3</v>
      </c>
      <c r="B295" t="s">
        <v>684</v>
      </c>
      <c r="C295" t="s">
        <v>357</v>
      </c>
      <c r="D295" t="s">
        <v>810</v>
      </c>
      <c r="E295" t="str">
        <f t="shared" si="8"/>
        <v>CHS</v>
      </c>
      <c r="F295" t="str">
        <f t="shared" si="9"/>
        <v>CHS</v>
      </c>
      <c r="G295">
        <f>IF(COUNTIFS(Factory_Components!$A$2:$A$61,VLOOKUP(A295,Runs!$A$2:$B$9,2,FALSE()),Factory_Components!$B$2:$B$61,"a",Factory_Components!$D$2:$D$61,F295)&gt;0,1,0)</f>
        <v>1</v>
      </c>
    </row>
    <row r="296" spans="1:7" ht="15" customHeight="1" x14ac:dyDescent="0.25">
      <c r="A296" t="s">
        <v>3</v>
      </c>
      <c r="B296" t="s">
        <v>811</v>
      </c>
      <c r="C296" t="s">
        <v>355</v>
      </c>
      <c r="D296" t="s">
        <v>812</v>
      </c>
      <c r="E296" t="str">
        <f t="shared" si="8"/>
        <v>FT</v>
      </c>
      <c r="F296" t="str">
        <f t="shared" si="9"/>
        <v>FT</v>
      </c>
      <c r="G296">
        <f>IF(COUNTIFS(Factory_Components!$A$2:$A$61,VLOOKUP(A296,Runs!$A$2:$B$9,2,FALSE()),Factory_Components!$B$2:$B$61,"a",Factory_Components!$D$2:$D$61,F296)&gt;0,1,0)</f>
        <v>1</v>
      </c>
    </row>
    <row r="297" spans="1:7" ht="15" customHeight="1" x14ac:dyDescent="0.25">
      <c r="A297" t="s">
        <v>3</v>
      </c>
      <c r="B297" t="s">
        <v>813</v>
      </c>
      <c r="C297" t="s">
        <v>355</v>
      </c>
      <c r="D297" t="s">
        <v>814</v>
      </c>
      <c r="E297" t="str">
        <f t="shared" si="8"/>
        <v>FT</v>
      </c>
      <c r="F297" t="str">
        <f t="shared" si="9"/>
        <v>FT</v>
      </c>
      <c r="G297">
        <f>IF(COUNTIFS(Factory_Components!$A$2:$A$61,VLOOKUP(A297,Runs!$A$2:$B$9,2,FALSE()),Factory_Components!$B$2:$B$61,"a",Factory_Components!$D$2:$D$61,F297)&gt;0,1,0)</f>
        <v>1</v>
      </c>
    </row>
    <row r="298" spans="1:7" ht="15" customHeight="1" x14ac:dyDescent="0.25">
      <c r="A298" t="s">
        <v>3</v>
      </c>
      <c r="B298" t="s">
        <v>665</v>
      </c>
      <c r="C298" t="s">
        <v>349</v>
      </c>
      <c r="D298" t="s">
        <v>815</v>
      </c>
      <c r="E298" t="str">
        <f t="shared" si="8"/>
        <v>SSA</v>
      </c>
      <c r="F298" t="str">
        <f t="shared" si="9"/>
        <v>SSA</v>
      </c>
      <c r="G298">
        <f>IF(COUNTIFS(Factory_Components!$A$2:$A$61,VLOOKUP(A298,Runs!$A$2:$B$9,2,FALSE()),Factory_Components!$B$2:$B$61,"a",Factory_Components!$D$2:$D$61,F298)&gt;0,1,0)</f>
        <v>1</v>
      </c>
    </row>
    <row r="299" spans="1:7" ht="15" customHeight="1" x14ac:dyDescent="0.25">
      <c r="A299" t="s">
        <v>3</v>
      </c>
      <c r="B299" t="s">
        <v>667</v>
      </c>
      <c r="C299" t="s">
        <v>349</v>
      </c>
      <c r="D299" t="s">
        <v>816</v>
      </c>
      <c r="E299" t="str">
        <f t="shared" si="8"/>
        <v>FAX</v>
      </c>
      <c r="F299" t="str">
        <f t="shared" si="9"/>
        <v>FAX</v>
      </c>
      <c r="G299">
        <f>IF(COUNTIFS(Factory_Components!$A$2:$A$61,VLOOKUP(A299,Runs!$A$2:$B$9,2,FALSE()),Factory_Components!$B$2:$B$61,"a",Factory_Components!$D$2:$D$61,F299)&gt;0,1,0)</f>
        <v>1</v>
      </c>
    </row>
    <row r="300" spans="1:7" ht="15" customHeight="1" x14ac:dyDescent="0.25">
      <c r="A300" t="s">
        <v>3</v>
      </c>
      <c r="B300" t="s">
        <v>515</v>
      </c>
      <c r="C300" t="s">
        <v>355</v>
      </c>
      <c r="D300" t="s">
        <v>817</v>
      </c>
      <c r="E300" t="str">
        <f t="shared" si="8"/>
        <v>RT</v>
      </c>
      <c r="F300" t="str">
        <f t="shared" si="9"/>
        <v>RT</v>
      </c>
      <c r="G300">
        <f>IF(COUNTIFS(Factory_Components!$A$2:$A$61,VLOOKUP(A300,Runs!$A$2:$B$9,2,FALSE()),Factory_Components!$B$2:$B$61,"a",Factory_Components!$D$2:$D$61,F300)&gt;0,1,0)</f>
        <v>1</v>
      </c>
    </row>
    <row r="301" spans="1:7" ht="15" customHeight="1" x14ac:dyDescent="0.25">
      <c r="A301" t="s">
        <v>3</v>
      </c>
      <c r="B301" t="s">
        <v>479</v>
      </c>
      <c r="C301" t="s">
        <v>349</v>
      </c>
      <c r="D301" t="s">
        <v>818</v>
      </c>
      <c r="E301" t="str">
        <f t="shared" si="8"/>
        <v>BSA</v>
      </c>
      <c r="F301" t="str">
        <f t="shared" si="9"/>
        <v>BSA</v>
      </c>
      <c r="G301">
        <f>IF(COUNTIFS(Factory_Components!$A$2:$A$61,VLOOKUP(A301,Runs!$A$2:$B$9,2,FALSE()),Factory_Components!$B$2:$B$61,"a",Factory_Components!$D$2:$D$61,F301)&gt;0,1,0)</f>
        <v>1</v>
      </c>
    </row>
    <row r="302" spans="1:7" ht="15" customHeight="1" x14ac:dyDescent="0.25">
      <c r="A302" t="s">
        <v>3</v>
      </c>
      <c r="B302" t="s">
        <v>517</v>
      </c>
      <c r="C302" t="s">
        <v>355</v>
      </c>
      <c r="D302" t="s">
        <v>819</v>
      </c>
      <c r="E302" t="str">
        <f t="shared" si="8"/>
        <v>RT</v>
      </c>
      <c r="F302" t="str">
        <f t="shared" si="9"/>
        <v>RT</v>
      </c>
      <c r="G302">
        <f>IF(COUNTIFS(Factory_Components!$A$2:$A$61,VLOOKUP(A302,Runs!$A$2:$B$9,2,FALSE()),Factory_Components!$B$2:$B$61,"a",Factory_Components!$D$2:$D$61,F302)&gt;0,1,0)</f>
        <v>1</v>
      </c>
    </row>
    <row r="303" spans="1:7" ht="15" customHeight="1" x14ac:dyDescent="0.25">
      <c r="A303" t="s">
        <v>3</v>
      </c>
      <c r="B303" t="s">
        <v>483</v>
      </c>
      <c r="C303" t="s">
        <v>349</v>
      </c>
      <c r="D303" t="s">
        <v>820</v>
      </c>
      <c r="E303" t="str">
        <f t="shared" si="8"/>
        <v>BSA</v>
      </c>
      <c r="F303" t="str">
        <f t="shared" si="9"/>
        <v>BSA</v>
      </c>
      <c r="G303">
        <f>IF(COUNTIFS(Factory_Components!$A$2:$A$61,VLOOKUP(A303,Runs!$A$2:$B$9,2,FALSE()),Factory_Components!$B$2:$B$61,"a",Factory_Components!$D$2:$D$61,F303)&gt;0,1,0)</f>
        <v>1</v>
      </c>
    </row>
    <row r="304" spans="1:7" ht="15" customHeight="1" x14ac:dyDescent="0.25">
      <c r="A304" t="s">
        <v>3</v>
      </c>
      <c r="B304" t="s">
        <v>695</v>
      </c>
      <c r="C304" t="s">
        <v>349</v>
      </c>
      <c r="D304" t="s">
        <v>821</v>
      </c>
      <c r="E304" t="str">
        <f t="shared" si="8"/>
        <v>RAX_HD</v>
      </c>
      <c r="F304" t="str">
        <f t="shared" si="9"/>
        <v>RAX_HD</v>
      </c>
      <c r="G304">
        <f>IF(COUNTIFS(Factory_Components!$A$2:$A$61,VLOOKUP(A304,Runs!$A$2:$B$9,2,FALSE()),Factory_Components!$B$2:$B$61,"a",Factory_Components!$D$2:$D$61,F304)&gt;0,1,0)</f>
        <v>0</v>
      </c>
    </row>
    <row r="305" spans="1:7" ht="15" customHeight="1" x14ac:dyDescent="0.25">
      <c r="A305" t="s">
        <v>3</v>
      </c>
      <c r="B305" t="s">
        <v>690</v>
      </c>
      <c r="C305" t="s">
        <v>357</v>
      </c>
      <c r="D305" t="s">
        <v>822</v>
      </c>
      <c r="E305" t="str">
        <f t="shared" si="8"/>
        <v>CHS</v>
      </c>
      <c r="F305" t="str">
        <f t="shared" si="9"/>
        <v>CHS</v>
      </c>
      <c r="G305">
        <f>IF(COUNTIFS(Factory_Components!$A$2:$A$61,VLOOKUP(A305,Runs!$A$2:$B$9,2,FALSE()),Factory_Components!$B$2:$B$61,"a",Factory_Components!$D$2:$D$61,F305)&gt;0,1,0)</f>
        <v>1</v>
      </c>
    </row>
    <row r="306" spans="1:7" ht="15" customHeight="1" x14ac:dyDescent="0.25">
      <c r="A306" t="s">
        <v>3</v>
      </c>
      <c r="B306" t="s">
        <v>519</v>
      </c>
      <c r="C306" t="s">
        <v>355</v>
      </c>
      <c r="D306" t="s">
        <v>823</v>
      </c>
      <c r="E306" t="str">
        <f t="shared" si="8"/>
        <v>FT</v>
      </c>
      <c r="F306" t="str">
        <f t="shared" si="9"/>
        <v>FT</v>
      </c>
      <c r="G306">
        <f>IF(COUNTIFS(Factory_Components!$A$2:$A$61,VLOOKUP(A306,Runs!$A$2:$B$9,2,FALSE()),Factory_Components!$B$2:$B$61,"a",Factory_Components!$D$2:$D$61,F306)&gt;0,1,0)</f>
        <v>1</v>
      </c>
    </row>
    <row r="307" spans="1:7" ht="15" customHeight="1" x14ac:dyDescent="0.25">
      <c r="A307" t="s">
        <v>3</v>
      </c>
      <c r="B307" t="s">
        <v>523</v>
      </c>
      <c r="C307" t="s">
        <v>355</v>
      </c>
      <c r="D307" t="s">
        <v>824</v>
      </c>
      <c r="E307" t="str">
        <f t="shared" si="8"/>
        <v>FT</v>
      </c>
      <c r="F307" t="str">
        <f t="shared" si="9"/>
        <v>FT</v>
      </c>
      <c r="G307">
        <f>IF(COUNTIFS(Factory_Components!$A$2:$A$61,VLOOKUP(A307,Runs!$A$2:$B$9,2,FALSE()),Factory_Components!$B$2:$B$61,"a",Factory_Components!$D$2:$D$61,F307)&gt;0,1,0)</f>
        <v>1</v>
      </c>
    </row>
    <row r="308" spans="1:7" ht="15" customHeight="1" x14ac:dyDescent="0.25">
      <c r="A308" t="s">
        <v>3</v>
      </c>
      <c r="B308" t="s">
        <v>663</v>
      </c>
      <c r="C308" t="s">
        <v>349</v>
      </c>
      <c r="D308" t="s">
        <v>825</v>
      </c>
      <c r="E308" t="str">
        <f t="shared" si="8"/>
        <v>SSA</v>
      </c>
      <c r="F308" t="str">
        <f t="shared" si="9"/>
        <v>SSA</v>
      </c>
      <c r="G308">
        <f>IF(COUNTIFS(Factory_Components!$A$2:$A$61,VLOOKUP(A308,Runs!$A$2:$B$9,2,FALSE()),Factory_Components!$B$2:$B$61,"a",Factory_Components!$D$2:$D$61,F308)&gt;0,1,0)</f>
        <v>1</v>
      </c>
    </row>
    <row r="309" spans="1:7" ht="15" customHeight="1" x14ac:dyDescent="0.25">
      <c r="A309" t="s">
        <v>3</v>
      </c>
      <c r="B309" t="s">
        <v>671</v>
      </c>
      <c r="C309" t="s">
        <v>349</v>
      </c>
      <c r="D309" t="s">
        <v>826</v>
      </c>
      <c r="E309" t="str">
        <f t="shared" si="8"/>
        <v>SSA</v>
      </c>
      <c r="F309" t="str">
        <f t="shared" si="9"/>
        <v>SSA</v>
      </c>
      <c r="G309">
        <f>IF(COUNTIFS(Factory_Components!$A$2:$A$61,VLOOKUP(A309,Runs!$A$2:$B$9,2,FALSE()),Factory_Components!$B$2:$B$61,"a",Factory_Components!$D$2:$D$61,F309)&gt;0,1,0)</f>
        <v>1</v>
      </c>
    </row>
    <row r="310" spans="1:7" ht="15" customHeight="1" x14ac:dyDescent="0.25">
      <c r="A310" t="s">
        <v>3</v>
      </c>
      <c r="B310" t="s">
        <v>673</v>
      </c>
      <c r="C310" t="s">
        <v>349</v>
      </c>
      <c r="D310" t="s">
        <v>827</v>
      </c>
      <c r="E310" t="str">
        <f t="shared" si="8"/>
        <v>FAX</v>
      </c>
      <c r="F310" t="str">
        <f t="shared" si="9"/>
        <v>FAX</v>
      </c>
      <c r="G310">
        <f>IF(COUNTIFS(Factory_Components!$A$2:$A$61,VLOOKUP(A310,Runs!$A$2:$B$9,2,FALSE()),Factory_Components!$B$2:$B$61,"a",Factory_Components!$D$2:$D$61,F310)&gt;0,1,0)</f>
        <v>1</v>
      </c>
    </row>
    <row r="311" spans="1:7" ht="15" customHeight="1" x14ac:dyDescent="0.25">
      <c r="A311" t="s">
        <v>3</v>
      </c>
      <c r="B311" t="s">
        <v>491</v>
      </c>
      <c r="C311" t="s">
        <v>349</v>
      </c>
      <c r="D311" t="s">
        <v>828</v>
      </c>
      <c r="E311" t="str">
        <f t="shared" si="8"/>
        <v>BSA</v>
      </c>
      <c r="F311" t="str">
        <f t="shared" si="9"/>
        <v>BSA</v>
      </c>
      <c r="G311">
        <f>IF(COUNTIFS(Factory_Components!$A$2:$A$61,VLOOKUP(A311,Runs!$A$2:$B$9,2,FALSE()),Factory_Components!$B$2:$B$61,"a",Factory_Components!$D$2:$D$61,F311)&gt;0,1,0)</f>
        <v>1</v>
      </c>
    </row>
    <row r="312" spans="1:7" ht="15" customHeight="1" x14ac:dyDescent="0.25">
      <c r="A312" t="s">
        <v>3</v>
      </c>
      <c r="B312" t="s">
        <v>829</v>
      </c>
      <c r="C312" t="s">
        <v>357</v>
      </c>
      <c r="D312" t="s">
        <v>830</v>
      </c>
      <c r="E312" t="str">
        <f t="shared" si="8"/>
        <v>CHS</v>
      </c>
      <c r="F312" t="str">
        <f t="shared" si="9"/>
        <v>CHS</v>
      </c>
      <c r="G312">
        <f>IF(COUNTIFS(Factory_Components!$A$2:$A$61,VLOOKUP(A312,Runs!$A$2:$B$9,2,FALSE()),Factory_Components!$B$2:$B$61,"a",Factory_Components!$D$2:$D$61,F312)&gt;0,1,0)</f>
        <v>1</v>
      </c>
    </row>
    <row r="313" spans="1:7" ht="15" customHeight="1" x14ac:dyDescent="0.25">
      <c r="A313" t="s">
        <v>3</v>
      </c>
      <c r="B313" t="s">
        <v>497</v>
      </c>
      <c r="C313" t="s">
        <v>349</v>
      </c>
      <c r="D313" t="s">
        <v>831</v>
      </c>
      <c r="E313" t="str">
        <f t="shared" si="8"/>
        <v>BSA</v>
      </c>
      <c r="F313" t="str">
        <f t="shared" si="9"/>
        <v>BSA</v>
      </c>
      <c r="G313">
        <f>IF(COUNTIFS(Factory_Components!$A$2:$A$61,VLOOKUP(A313,Runs!$A$2:$B$9,2,FALSE()),Factory_Components!$B$2:$B$61,"a",Factory_Components!$D$2:$D$61,F313)&gt;0,1,0)</f>
        <v>1</v>
      </c>
    </row>
    <row r="314" spans="1:7" ht="15" customHeight="1" x14ac:dyDescent="0.25">
      <c r="A314" t="s">
        <v>3</v>
      </c>
      <c r="B314" t="s">
        <v>703</v>
      </c>
      <c r="C314" t="s">
        <v>349</v>
      </c>
      <c r="D314" t="s">
        <v>832</v>
      </c>
      <c r="E314" t="str">
        <f t="shared" si="8"/>
        <v>RAX_HD</v>
      </c>
      <c r="F314" t="str">
        <f t="shared" si="9"/>
        <v>RAX_HD</v>
      </c>
      <c r="G314">
        <f>IF(COUNTIFS(Factory_Components!$A$2:$A$61,VLOOKUP(A314,Runs!$A$2:$B$9,2,FALSE()),Factory_Components!$B$2:$B$61,"a",Factory_Components!$D$2:$D$61,F314)&gt;0,1,0)</f>
        <v>0</v>
      </c>
    </row>
    <row r="315" spans="1:7" ht="15" customHeight="1" x14ac:dyDescent="0.25">
      <c r="A315" t="s">
        <v>3</v>
      </c>
      <c r="B315" t="s">
        <v>669</v>
      </c>
      <c r="C315" t="s">
        <v>349</v>
      </c>
      <c r="D315" t="s">
        <v>833</v>
      </c>
      <c r="E315" t="str">
        <f t="shared" si="8"/>
        <v>SSA</v>
      </c>
      <c r="F315" t="str">
        <f t="shared" si="9"/>
        <v>SSA</v>
      </c>
      <c r="G315">
        <f>IF(COUNTIFS(Factory_Components!$A$2:$A$61,VLOOKUP(A315,Runs!$A$2:$B$9,2,FALSE()),Factory_Components!$B$2:$B$61,"a",Factory_Components!$D$2:$D$61,F315)&gt;0,1,0)</f>
        <v>1</v>
      </c>
    </row>
    <row r="316" spans="1:7" ht="15" customHeight="1" x14ac:dyDescent="0.25">
      <c r="A316" t="s">
        <v>3</v>
      </c>
      <c r="B316" t="s">
        <v>677</v>
      </c>
      <c r="C316" t="s">
        <v>349</v>
      </c>
      <c r="D316" t="s">
        <v>834</v>
      </c>
      <c r="E316" t="str">
        <f t="shared" si="8"/>
        <v>SSA</v>
      </c>
      <c r="F316" t="str">
        <f t="shared" si="9"/>
        <v>SSA</v>
      </c>
      <c r="G316">
        <f>IF(COUNTIFS(Factory_Components!$A$2:$A$61,VLOOKUP(A316,Runs!$A$2:$B$9,2,FALSE()),Factory_Components!$B$2:$B$61,"a",Factory_Components!$D$2:$D$61,F316)&gt;0,1,0)</f>
        <v>1</v>
      </c>
    </row>
    <row r="317" spans="1:7" ht="15" customHeight="1" x14ac:dyDescent="0.25">
      <c r="A317" t="s">
        <v>3</v>
      </c>
      <c r="B317" t="s">
        <v>679</v>
      </c>
      <c r="C317" t="s">
        <v>349</v>
      </c>
      <c r="D317" t="s">
        <v>835</v>
      </c>
      <c r="E317" t="str">
        <f t="shared" si="8"/>
        <v>FAX</v>
      </c>
      <c r="F317" t="str">
        <f t="shared" si="9"/>
        <v>FAX</v>
      </c>
      <c r="G317">
        <f>IF(COUNTIFS(Factory_Components!$A$2:$A$61,VLOOKUP(A317,Runs!$A$2:$B$9,2,FALSE()),Factory_Components!$B$2:$B$61,"a",Factory_Components!$D$2:$D$61,F317)&gt;0,1,0)</f>
        <v>1</v>
      </c>
    </row>
    <row r="318" spans="1:7" ht="15" customHeight="1" x14ac:dyDescent="0.25">
      <c r="A318" t="s">
        <v>3</v>
      </c>
      <c r="B318" t="s">
        <v>836</v>
      </c>
      <c r="C318" t="s">
        <v>357</v>
      </c>
      <c r="D318" t="s">
        <v>837</v>
      </c>
      <c r="E318" t="str">
        <f t="shared" si="8"/>
        <v>CHS</v>
      </c>
      <c r="F318" t="str">
        <f t="shared" si="9"/>
        <v>CHS</v>
      </c>
      <c r="G318">
        <f>IF(COUNTIFS(Factory_Components!$A$2:$A$61,VLOOKUP(A318,Runs!$A$2:$B$9,2,FALSE()),Factory_Components!$B$2:$B$61,"a",Factory_Components!$D$2:$D$61,F318)&gt;0,1,0)</f>
        <v>1</v>
      </c>
    </row>
    <row r="319" spans="1:7" ht="15" customHeight="1" x14ac:dyDescent="0.25">
      <c r="A319" t="s">
        <v>3</v>
      </c>
      <c r="B319" t="s">
        <v>698</v>
      </c>
      <c r="C319" t="s">
        <v>349</v>
      </c>
      <c r="D319" t="s">
        <v>838</v>
      </c>
      <c r="E319" t="str">
        <f t="shared" si="8"/>
        <v>BSA</v>
      </c>
      <c r="F319" t="str">
        <f t="shared" si="9"/>
        <v>BSA</v>
      </c>
      <c r="G319">
        <f>IF(COUNTIFS(Factory_Components!$A$2:$A$61,VLOOKUP(A319,Runs!$A$2:$B$9,2,FALSE()),Factory_Components!$B$2:$B$61,"a",Factory_Components!$D$2:$D$61,F319)&gt;0,1,0)</f>
        <v>1</v>
      </c>
    </row>
    <row r="320" spans="1:7" ht="15" customHeight="1" x14ac:dyDescent="0.25">
      <c r="A320" t="s">
        <v>4</v>
      </c>
      <c r="B320" t="s">
        <v>377</v>
      </c>
      <c r="C320" t="s">
        <v>354</v>
      </c>
      <c r="D320" t="s">
        <v>839</v>
      </c>
      <c r="E320" t="str">
        <f t="shared" si="8"/>
        <v>BOSP</v>
      </c>
      <c r="F320" t="str">
        <f t="shared" si="9"/>
        <v>BOSP</v>
      </c>
      <c r="G320">
        <f>IF(COUNTIFS(Factory_Components!$A$2:$A$61,VLOOKUP(A320,Runs!$A$2:$B$9,2,FALSE()),Factory_Components!$B$2:$B$61,"a",Factory_Components!$D$2:$D$61,F320)&gt;0,1,0)</f>
        <v>1</v>
      </c>
    </row>
    <row r="321" spans="1:7" ht="15" customHeight="1" x14ac:dyDescent="0.25">
      <c r="A321" t="s">
        <v>4</v>
      </c>
      <c r="B321" t="s">
        <v>379</v>
      </c>
      <c r="C321" t="s">
        <v>354</v>
      </c>
      <c r="D321" t="s">
        <v>840</v>
      </c>
      <c r="E321" t="str">
        <f t="shared" si="8"/>
        <v>BOSP</v>
      </c>
      <c r="F321" t="str">
        <f t="shared" si="9"/>
        <v>BOSP</v>
      </c>
      <c r="G321">
        <f>IF(COUNTIFS(Factory_Components!$A$2:$A$61,VLOOKUP(A321,Runs!$A$2:$B$9,2,FALSE()),Factory_Components!$B$2:$B$61,"a",Factory_Components!$D$2:$D$61,F321)&gt;0,1,0)</f>
        <v>1</v>
      </c>
    </row>
    <row r="322" spans="1:7" ht="15" customHeight="1" x14ac:dyDescent="0.25">
      <c r="A322" t="s">
        <v>4</v>
      </c>
      <c r="B322" t="s">
        <v>538</v>
      </c>
      <c r="C322" t="s">
        <v>354</v>
      </c>
      <c r="D322" t="s">
        <v>841</v>
      </c>
      <c r="E322" t="str">
        <f t="shared" ref="E322:E385" si="10">IF(ISNUMBER(--RIGHT(B322,1)),MID(B322,10,LEN(B322)-11),MID(B322,10,100))</f>
        <v>BAT</v>
      </c>
      <c r="F322" t="str">
        <f t="shared" ref="F322:F385" si="11">IF(E322="CORE","CHS",E322)</f>
        <v>BAT</v>
      </c>
      <c r="G322">
        <f>IF(COUNTIFS(Factory_Components!$A$2:$A$61,VLOOKUP(A322,Runs!$A$2:$B$9,2,FALSE()),Factory_Components!$B$2:$B$61,"a",Factory_Components!$D$2:$D$61,F322)&gt;0,1,0)</f>
        <v>1</v>
      </c>
    </row>
    <row r="323" spans="1:7" ht="15" customHeight="1" x14ac:dyDescent="0.25">
      <c r="A323" t="s">
        <v>4</v>
      </c>
      <c r="B323" t="s">
        <v>385</v>
      </c>
      <c r="C323" t="s">
        <v>354</v>
      </c>
      <c r="D323" t="s">
        <v>842</v>
      </c>
      <c r="E323" t="str">
        <f t="shared" si="10"/>
        <v>BOSP</v>
      </c>
      <c r="F323" t="str">
        <f t="shared" si="11"/>
        <v>BOSP</v>
      </c>
      <c r="G323">
        <f>IF(COUNTIFS(Factory_Components!$A$2:$A$61,VLOOKUP(A323,Runs!$A$2:$B$9,2,FALSE()),Factory_Components!$B$2:$B$61,"a",Factory_Components!$D$2:$D$61,F323)&gt;0,1,0)</f>
        <v>1</v>
      </c>
    </row>
    <row r="324" spans="1:7" ht="15" customHeight="1" x14ac:dyDescent="0.25">
      <c r="A324" t="s">
        <v>4</v>
      </c>
      <c r="B324" t="s">
        <v>387</v>
      </c>
      <c r="C324" t="s">
        <v>354</v>
      </c>
      <c r="D324" t="s">
        <v>843</v>
      </c>
      <c r="E324" t="str">
        <f t="shared" si="10"/>
        <v>BOSP</v>
      </c>
      <c r="F324" t="str">
        <f t="shared" si="11"/>
        <v>BOSP</v>
      </c>
      <c r="G324">
        <f>IF(COUNTIFS(Factory_Components!$A$2:$A$61,VLOOKUP(A324,Runs!$A$2:$B$9,2,FALSE()),Factory_Components!$B$2:$B$61,"a",Factory_Components!$D$2:$D$61,F324)&gt;0,1,0)</f>
        <v>1</v>
      </c>
    </row>
    <row r="325" spans="1:7" ht="15" customHeight="1" x14ac:dyDescent="0.25">
      <c r="A325" t="s">
        <v>4</v>
      </c>
      <c r="B325" t="s">
        <v>381</v>
      </c>
      <c r="C325" t="s">
        <v>355</v>
      </c>
      <c r="D325" t="s">
        <v>844</v>
      </c>
      <c r="E325" t="str">
        <f t="shared" si="10"/>
        <v>RT</v>
      </c>
      <c r="F325" t="str">
        <f t="shared" si="11"/>
        <v>RT</v>
      </c>
      <c r="G325">
        <f>IF(COUNTIFS(Factory_Components!$A$2:$A$61,VLOOKUP(A325,Runs!$A$2:$B$9,2,FALSE()),Factory_Components!$B$2:$B$61,"a",Factory_Components!$D$2:$D$61,F325)&gt;0,1,0)</f>
        <v>1</v>
      </c>
    </row>
    <row r="326" spans="1:7" ht="15" customHeight="1" x14ac:dyDescent="0.25">
      <c r="A326" t="s">
        <v>4</v>
      </c>
      <c r="B326" t="s">
        <v>543</v>
      </c>
      <c r="C326" t="s">
        <v>354</v>
      </c>
      <c r="D326" t="s">
        <v>845</v>
      </c>
      <c r="E326" t="str">
        <f t="shared" si="10"/>
        <v>BAT</v>
      </c>
      <c r="F326" t="str">
        <f t="shared" si="11"/>
        <v>BAT</v>
      </c>
      <c r="G326">
        <f>IF(COUNTIFS(Factory_Components!$A$2:$A$61,VLOOKUP(A326,Runs!$A$2:$B$9,2,FALSE()),Factory_Components!$B$2:$B$61,"a",Factory_Components!$D$2:$D$61,F326)&gt;0,1,0)</f>
        <v>1</v>
      </c>
    </row>
    <row r="327" spans="1:7" ht="15" customHeight="1" x14ac:dyDescent="0.25">
      <c r="A327" t="s">
        <v>4</v>
      </c>
      <c r="B327" t="s">
        <v>395</v>
      </c>
      <c r="C327" t="s">
        <v>354</v>
      </c>
      <c r="D327" t="s">
        <v>846</v>
      </c>
      <c r="E327" t="str">
        <f t="shared" si="10"/>
        <v>BOSP</v>
      </c>
      <c r="F327" t="str">
        <f t="shared" si="11"/>
        <v>BOSP</v>
      </c>
      <c r="G327">
        <f>IF(COUNTIFS(Factory_Components!$A$2:$A$61,VLOOKUP(A327,Runs!$A$2:$B$9,2,FALSE()),Factory_Components!$B$2:$B$61,"a",Factory_Components!$D$2:$D$61,F327)&gt;0,1,0)</f>
        <v>1</v>
      </c>
    </row>
    <row r="328" spans="1:7" ht="15" customHeight="1" x14ac:dyDescent="0.25">
      <c r="A328" t="s">
        <v>4</v>
      </c>
      <c r="B328" t="s">
        <v>383</v>
      </c>
      <c r="C328" t="s">
        <v>355</v>
      </c>
      <c r="D328" t="s">
        <v>847</v>
      </c>
      <c r="E328" t="str">
        <f t="shared" si="10"/>
        <v>RT</v>
      </c>
      <c r="F328" t="str">
        <f t="shared" si="11"/>
        <v>RT</v>
      </c>
      <c r="G328">
        <f>IF(COUNTIFS(Factory_Components!$A$2:$A$61,VLOOKUP(A328,Runs!$A$2:$B$9,2,FALSE()),Factory_Components!$B$2:$B$61,"a",Factory_Components!$D$2:$D$61,F328)&gt;0,1,0)</f>
        <v>1</v>
      </c>
    </row>
    <row r="329" spans="1:7" ht="15" customHeight="1" x14ac:dyDescent="0.25">
      <c r="A329" t="s">
        <v>4</v>
      </c>
      <c r="B329" t="s">
        <v>399</v>
      </c>
      <c r="C329" t="s">
        <v>354</v>
      </c>
      <c r="D329" t="s">
        <v>848</v>
      </c>
      <c r="E329" t="str">
        <f t="shared" si="10"/>
        <v>BOSP</v>
      </c>
      <c r="F329" t="str">
        <f t="shared" si="11"/>
        <v>BOSP</v>
      </c>
      <c r="G329">
        <f>IF(COUNTIFS(Factory_Components!$A$2:$A$61,VLOOKUP(A329,Runs!$A$2:$B$9,2,FALSE()),Factory_Components!$B$2:$B$61,"a",Factory_Components!$D$2:$D$61,F329)&gt;0,1,0)</f>
        <v>1</v>
      </c>
    </row>
    <row r="330" spans="1:7" ht="15" customHeight="1" x14ac:dyDescent="0.25">
      <c r="A330" t="s">
        <v>4</v>
      </c>
      <c r="B330" t="s">
        <v>550</v>
      </c>
      <c r="C330" t="s">
        <v>355</v>
      </c>
      <c r="D330" t="s">
        <v>849</v>
      </c>
      <c r="E330" t="str">
        <f t="shared" si="10"/>
        <v>FT</v>
      </c>
      <c r="F330" t="str">
        <f t="shared" si="11"/>
        <v>FT</v>
      </c>
      <c r="G330">
        <f>IF(COUNTIFS(Factory_Components!$A$2:$A$61,VLOOKUP(A330,Runs!$A$2:$B$9,2,FALSE()),Factory_Components!$B$2:$B$61,"a",Factory_Components!$D$2:$D$61,F330)&gt;0,1,0)</f>
        <v>1</v>
      </c>
    </row>
    <row r="331" spans="1:7" ht="15" customHeight="1" x14ac:dyDescent="0.25">
      <c r="A331" t="s">
        <v>4</v>
      </c>
      <c r="B331" t="s">
        <v>548</v>
      </c>
      <c r="C331" t="s">
        <v>354</v>
      </c>
      <c r="D331" t="s">
        <v>850</v>
      </c>
      <c r="E331" t="str">
        <f t="shared" si="10"/>
        <v>BAT</v>
      </c>
      <c r="F331" t="str">
        <f t="shared" si="11"/>
        <v>BAT</v>
      </c>
      <c r="G331">
        <f>IF(COUNTIFS(Factory_Components!$A$2:$A$61,VLOOKUP(A331,Runs!$A$2:$B$9,2,FALSE()),Factory_Components!$B$2:$B$61,"a",Factory_Components!$D$2:$D$61,F331)&gt;0,1,0)</f>
        <v>1</v>
      </c>
    </row>
    <row r="332" spans="1:7" ht="15" customHeight="1" x14ac:dyDescent="0.25">
      <c r="A332" t="s">
        <v>4</v>
      </c>
      <c r="B332" t="s">
        <v>411</v>
      </c>
      <c r="C332" t="s">
        <v>354</v>
      </c>
      <c r="D332" t="s">
        <v>851</v>
      </c>
      <c r="E332" t="str">
        <f t="shared" si="10"/>
        <v>BOSP</v>
      </c>
      <c r="F332" t="str">
        <f t="shared" si="11"/>
        <v>BOSP</v>
      </c>
      <c r="G332">
        <f>IF(COUNTIFS(Factory_Components!$A$2:$A$61,VLOOKUP(A332,Runs!$A$2:$B$9,2,FALSE()),Factory_Components!$B$2:$B$61,"a",Factory_Components!$D$2:$D$61,F332)&gt;0,1,0)</f>
        <v>1</v>
      </c>
    </row>
    <row r="333" spans="1:7" ht="15" customHeight="1" x14ac:dyDescent="0.25">
      <c r="A333" t="s">
        <v>4</v>
      </c>
      <c r="B333" t="s">
        <v>555</v>
      </c>
      <c r="C333" t="s">
        <v>355</v>
      </c>
      <c r="D333" t="s">
        <v>852</v>
      </c>
      <c r="E333" t="str">
        <f t="shared" si="10"/>
        <v>FT</v>
      </c>
      <c r="F333" t="str">
        <f t="shared" si="11"/>
        <v>FT</v>
      </c>
      <c r="G333">
        <f>IF(COUNTIFS(Factory_Components!$A$2:$A$61,VLOOKUP(A333,Runs!$A$2:$B$9,2,FALSE()),Factory_Components!$B$2:$B$61,"a",Factory_Components!$D$2:$D$61,F333)&gt;0,1,0)</f>
        <v>1</v>
      </c>
    </row>
    <row r="334" spans="1:7" ht="15" customHeight="1" x14ac:dyDescent="0.25">
      <c r="A334" t="s">
        <v>4</v>
      </c>
      <c r="B334" t="s">
        <v>413</v>
      </c>
      <c r="C334" t="s">
        <v>354</v>
      </c>
      <c r="D334" t="s">
        <v>853</v>
      </c>
      <c r="E334" t="str">
        <f t="shared" si="10"/>
        <v>BOSP</v>
      </c>
      <c r="F334" t="str">
        <f t="shared" si="11"/>
        <v>BOSP</v>
      </c>
      <c r="G334">
        <f>IF(COUNTIFS(Factory_Components!$A$2:$A$61,VLOOKUP(A334,Runs!$A$2:$B$9,2,FALSE()),Factory_Components!$B$2:$B$61,"a",Factory_Components!$D$2:$D$61,F334)&gt;0,1,0)</f>
        <v>1</v>
      </c>
    </row>
    <row r="335" spans="1:7" ht="15" customHeight="1" x14ac:dyDescent="0.25">
      <c r="A335" t="s">
        <v>4</v>
      </c>
      <c r="B335" t="s">
        <v>389</v>
      </c>
      <c r="C335" t="s">
        <v>355</v>
      </c>
      <c r="D335" t="s">
        <v>854</v>
      </c>
      <c r="E335" t="str">
        <f t="shared" si="10"/>
        <v>RT</v>
      </c>
      <c r="F335" t="str">
        <f t="shared" si="11"/>
        <v>RT</v>
      </c>
      <c r="G335">
        <f>IF(COUNTIFS(Factory_Components!$A$2:$A$61,VLOOKUP(A335,Runs!$A$2:$B$9,2,FALSE()),Factory_Components!$B$2:$B$61,"a",Factory_Components!$D$2:$D$61,F335)&gt;0,1,0)</f>
        <v>1</v>
      </c>
    </row>
    <row r="336" spans="1:7" ht="15" customHeight="1" x14ac:dyDescent="0.25">
      <c r="A336" t="s">
        <v>4</v>
      </c>
      <c r="B336" t="s">
        <v>423</v>
      </c>
      <c r="C336" t="s">
        <v>354</v>
      </c>
      <c r="D336" t="s">
        <v>855</v>
      </c>
      <c r="E336" t="str">
        <f t="shared" si="10"/>
        <v>BAT</v>
      </c>
      <c r="F336" t="str">
        <f t="shared" si="11"/>
        <v>BAT</v>
      </c>
      <c r="G336">
        <f>IF(COUNTIFS(Factory_Components!$A$2:$A$61,VLOOKUP(A336,Runs!$A$2:$B$9,2,FALSE()),Factory_Components!$B$2:$B$61,"a",Factory_Components!$D$2:$D$61,F336)&gt;0,1,0)</f>
        <v>1</v>
      </c>
    </row>
    <row r="337" spans="1:7" ht="15" customHeight="1" x14ac:dyDescent="0.25">
      <c r="A337" t="s">
        <v>4</v>
      </c>
      <c r="B337" t="s">
        <v>608</v>
      </c>
      <c r="C337" t="s">
        <v>354</v>
      </c>
      <c r="D337" t="s">
        <v>856</v>
      </c>
      <c r="E337" t="str">
        <f t="shared" si="10"/>
        <v>BOSP</v>
      </c>
      <c r="F337" t="str">
        <f t="shared" si="11"/>
        <v>BOSP</v>
      </c>
      <c r="G337">
        <f>IF(COUNTIFS(Factory_Components!$A$2:$A$61,VLOOKUP(A337,Runs!$A$2:$B$9,2,FALSE()),Factory_Components!$B$2:$B$61,"a",Factory_Components!$D$2:$D$61,F337)&gt;0,1,0)</f>
        <v>1</v>
      </c>
    </row>
    <row r="338" spans="1:7" ht="15" customHeight="1" x14ac:dyDescent="0.25">
      <c r="A338" t="s">
        <v>4</v>
      </c>
      <c r="B338" t="s">
        <v>613</v>
      </c>
      <c r="C338" t="s">
        <v>354</v>
      </c>
      <c r="D338" t="s">
        <v>857</v>
      </c>
      <c r="E338" t="str">
        <f t="shared" si="10"/>
        <v>BOSP</v>
      </c>
      <c r="F338" t="str">
        <f t="shared" si="11"/>
        <v>BOSP</v>
      </c>
      <c r="G338">
        <f>IF(COUNTIFS(Factory_Components!$A$2:$A$61,VLOOKUP(A338,Runs!$A$2:$B$9,2,FALSE()),Factory_Components!$B$2:$B$61,"a",Factory_Components!$D$2:$D$61,F338)&gt;0,1,0)</f>
        <v>1</v>
      </c>
    </row>
    <row r="339" spans="1:7" ht="15" customHeight="1" x14ac:dyDescent="0.25">
      <c r="A339" t="s">
        <v>4</v>
      </c>
      <c r="B339" t="s">
        <v>393</v>
      </c>
      <c r="C339" t="s">
        <v>355</v>
      </c>
      <c r="D339" t="s">
        <v>858</v>
      </c>
      <c r="E339" t="str">
        <f t="shared" si="10"/>
        <v>RT</v>
      </c>
      <c r="F339" t="str">
        <f t="shared" si="11"/>
        <v>RT</v>
      </c>
      <c r="G339">
        <f>IF(COUNTIFS(Factory_Components!$A$2:$A$61,VLOOKUP(A339,Runs!$A$2:$B$9,2,FALSE()),Factory_Components!$B$2:$B$61,"a",Factory_Components!$D$2:$D$61,F339)&gt;0,1,0)</f>
        <v>1</v>
      </c>
    </row>
    <row r="340" spans="1:7" ht="15" customHeight="1" x14ac:dyDescent="0.25">
      <c r="A340" t="s">
        <v>4</v>
      </c>
      <c r="B340" t="s">
        <v>627</v>
      </c>
      <c r="C340" t="s">
        <v>354</v>
      </c>
      <c r="D340" t="s">
        <v>859</v>
      </c>
      <c r="E340" t="str">
        <f t="shared" si="10"/>
        <v>BAT</v>
      </c>
      <c r="F340" t="str">
        <f t="shared" si="11"/>
        <v>BAT</v>
      </c>
      <c r="G340">
        <f>IF(COUNTIFS(Factory_Components!$A$2:$A$61,VLOOKUP(A340,Runs!$A$2:$B$9,2,FALSE()),Factory_Components!$B$2:$B$61,"a",Factory_Components!$D$2:$D$61,F340)&gt;0,1,0)</f>
        <v>1</v>
      </c>
    </row>
    <row r="341" spans="1:7" ht="15" customHeight="1" x14ac:dyDescent="0.25">
      <c r="A341" t="s">
        <v>4</v>
      </c>
      <c r="B341" t="s">
        <v>557</v>
      </c>
      <c r="C341" t="s">
        <v>355</v>
      </c>
      <c r="D341" t="s">
        <v>860</v>
      </c>
      <c r="E341" t="str">
        <f t="shared" si="10"/>
        <v>FT</v>
      </c>
      <c r="F341" t="str">
        <f t="shared" si="11"/>
        <v>FT</v>
      </c>
      <c r="G341">
        <f>IF(COUNTIFS(Factory_Components!$A$2:$A$61,VLOOKUP(A341,Runs!$A$2:$B$9,2,FALSE()),Factory_Components!$B$2:$B$61,"a",Factory_Components!$D$2:$D$61,F341)&gt;0,1,0)</f>
        <v>1</v>
      </c>
    </row>
    <row r="342" spans="1:7" ht="15" customHeight="1" x14ac:dyDescent="0.25">
      <c r="A342" t="s">
        <v>4</v>
      </c>
      <c r="B342" t="s">
        <v>449</v>
      </c>
      <c r="C342" t="s">
        <v>354</v>
      </c>
      <c r="D342" t="s">
        <v>861</v>
      </c>
      <c r="E342" t="str">
        <f t="shared" si="10"/>
        <v>BOSP</v>
      </c>
      <c r="F342" t="str">
        <f t="shared" si="11"/>
        <v>BOSP</v>
      </c>
      <c r="G342">
        <f>IF(COUNTIFS(Factory_Components!$A$2:$A$61,VLOOKUP(A342,Runs!$A$2:$B$9,2,FALSE()),Factory_Components!$B$2:$B$61,"a",Factory_Components!$D$2:$D$61,F342)&gt;0,1,0)</f>
        <v>1</v>
      </c>
    </row>
    <row r="343" spans="1:7" ht="15" customHeight="1" x14ac:dyDescent="0.25">
      <c r="A343" t="s">
        <v>4</v>
      </c>
      <c r="B343" t="s">
        <v>561</v>
      </c>
      <c r="C343" t="s">
        <v>355</v>
      </c>
      <c r="D343" t="s">
        <v>862</v>
      </c>
      <c r="E343" t="str">
        <f t="shared" si="10"/>
        <v>FT</v>
      </c>
      <c r="F343" t="str">
        <f t="shared" si="11"/>
        <v>FT</v>
      </c>
      <c r="G343">
        <f>IF(COUNTIFS(Factory_Components!$A$2:$A$61,VLOOKUP(A343,Runs!$A$2:$B$9,2,FALSE()),Factory_Components!$B$2:$B$61,"a",Factory_Components!$D$2:$D$61,F343)&gt;0,1,0)</f>
        <v>1</v>
      </c>
    </row>
    <row r="344" spans="1:7" ht="15" customHeight="1" x14ac:dyDescent="0.25">
      <c r="A344" t="s">
        <v>4</v>
      </c>
      <c r="B344" t="s">
        <v>451</v>
      </c>
      <c r="C344" t="s">
        <v>354</v>
      </c>
      <c r="D344" t="s">
        <v>863</v>
      </c>
      <c r="E344" t="str">
        <f t="shared" si="10"/>
        <v>BOSP</v>
      </c>
      <c r="F344" t="str">
        <f t="shared" si="11"/>
        <v>BOSP</v>
      </c>
      <c r="G344">
        <f>IF(COUNTIFS(Factory_Components!$A$2:$A$61,VLOOKUP(A344,Runs!$A$2:$B$9,2,FALSE()),Factory_Components!$B$2:$B$61,"a",Factory_Components!$D$2:$D$61,F344)&gt;0,1,0)</f>
        <v>1</v>
      </c>
    </row>
    <row r="345" spans="1:7" ht="15" customHeight="1" x14ac:dyDescent="0.25">
      <c r="A345" t="s">
        <v>4</v>
      </c>
      <c r="B345" t="s">
        <v>632</v>
      </c>
      <c r="C345" t="s">
        <v>354</v>
      </c>
      <c r="D345" t="s">
        <v>864</v>
      </c>
      <c r="E345" t="str">
        <f t="shared" si="10"/>
        <v>BAT</v>
      </c>
      <c r="F345" t="str">
        <f t="shared" si="11"/>
        <v>BAT</v>
      </c>
      <c r="G345">
        <f>IF(COUNTIFS(Factory_Components!$A$2:$A$61,VLOOKUP(A345,Runs!$A$2:$B$9,2,FALSE()),Factory_Components!$B$2:$B$61,"a",Factory_Components!$D$2:$D$61,F345)&gt;0,1,0)</f>
        <v>1</v>
      </c>
    </row>
    <row r="346" spans="1:7" ht="15" customHeight="1" x14ac:dyDescent="0.25">
      <c r="A346" t="s">
        <v>4</v>
      </c>
      <c r="B346" t="s">
        <v>401</v>
      </c>
      <c r="C346" t="s">
        <v>355</v>
      </c>
      <c r="D346" t="s">
        <v>865</v>
      </c>
      <c r="E346" t="str">
        <f t="shared" si="10"/>
        <v>RT</v>
      </c>
      <c r="F346" t="str">
        <f t="shared" si="11"/>
        <v>RT</v>
      </c>
      <c r="G346">
        <f>IF(COUNTIFS(Factory_Components!$A$2:$A$61,VLOOKUP(A346,Runs!$A$2:$B$9,2,FALSE()),Factory_Components!$B$2:$B$61,"a",Factory_Components!$D$2:$D$61,F346)&gt;0,1,0)</f>
        <v>1</v>
      </c>
    </row>
    <row r="347" spans="1:7" ht="15" customHeight="1" x14ac:dyDescent="0.25">
      <c r="A347" t="s">
        <v>4</v>
      </c>
      <c r="B347" t="s">
        <v>461</v>
      </c>
      <c r="C347" t="s">
        <v>354</v>
      </c>
      <c r="D347" t="s">
        <v>866</v>
      </c>
      <c r="E347" t="str">
        <f t="shared" si="10"/>
        <v>BOSP</v>
      </c>
      <c r="F347" t="str">
        <f t="shared" si="11"/>
        <v>BOSP</v>
      </c>
      <c r="G347">
        <f>IF(COUNTIFS(Factory_Components!$A$2:$A$61,VLOOKUP(A347,Runs!$A$2:$B$9,2,FALSE()),Factory_Components!$B$2:$B$61,"a",Factory_Components!$D$2:$D$61,F347)&gt;0,1,0)</f>
        <v>1</v>
      </c>
    </row>
    <row r="348" spans="1:7" ht="15" customHeight="1" x14ac:dyDescent="0.25">
      <c r="A348" t="s">
        <v>4</v>
      </c>
      <c r="B348" t="s">
        <v>465</v>
      </c>
      <c r="C348" t="s">
        <v>354</v>
      </c>
      <c r="D348" t="s">
        <v>867</v>
      </c>
      <c r="E348" t="str">
        <f t="shared" si="10"/>
        <v>BOSP</v>
      </c>
      <c r="F348" t="str">
        <f t="shared" si="11"/>
        <v>BOSP</v>
      </c>
      <c r="G348">
        <f>IF(COUNTIFS(Factory_Components!$A$2:$A$61,VLOOKUP(A348,Runs!$A$2:$B$9,2,FALSE()),Factory_Components!$B$2:$B$61,"a",Factory_Components!$D$2:$D$61,F348)&gt;0,1,0)</f>
        <v>1</v>
      </c>
    </row>
    <row r="349" spans="1:7" ht="15" customHeight="1" x14ac:dyDescent="0.25">
      <c r="A349" t="s">
        <v>4</v>
      </c>
      <c r="B349" t="s">
        <v>409</v>
      </c>
      <c r="C349" t="s">
        <v>355</v>
      </c>
      <c r="D349" t="s">
        <v>868</v>
      </c>
      <c r="E349" t="str">
        <f t="shared" si="10"/>
        <v>RT</v>
      </c>
      <c r="F349" t="str">
        <f t="shared" si="11"/>
        <v>RT</v>
      </c>
      <c r="G349">
        <f>IF(COUNTIFS(Factory_Components!$A$2:$A$61,VLOOKUP(A349,Runs!$A$2:$B$9,2,FALSE()),Factory_Components!$B$2:$B$61,"a",Factory_Components!$D$2:$D$61,F349)&gt;0,1,0)</f>
        <v>1</v>
      </c>
    </row>
    <row r="350" spans="1:7" ht="15" customHeight="1" x14ac:dyDescent="0.25">
      <c r="A350" t="s">
        <v>4</v>
      </c>
      <c r="B350" t="s">
        <v>637</v>
      </c>
      <c r="C350" t="s">
        <v>354</v>
      </c>
      <c r="D350" t="s">
        <v>869</v>
      </c>
      <c r="E350" t="str">
        <f t="shared" si="10"/>
        <v>BAT</v>
      </c>
      <c r="F350" t="str">
        <f t="shared" si="11"/>
        <v>BAT</v>
      </c>
      <c r="G350">
        <f>IF(COUNTIFS(Factory_Components!$A$2:$A$61,VLOOKUP(A350,Runs!$A$2:$B$9,2,FALSE()),Factory_Components!$B$2:$B$61,"a",Factory_Components!$D$2:$D$61,F350)&gt;0,1,0)</f>
        <v>1</v>
      </c>
    </row>
    <row r="351" spans="1:7" ht="15" customHeight="1" x14ac:dyDescent="0.25">
      <c r="A351" t="s">
        <v>4</v>
      </c>
      <c r="B351" t="s">
        <v>570</v>
      </c>
      <c r="C351" t="s">
        <v>349</v>
      </c>
      <c r="D351" t="s">
        <v>870</v>
      </c>
      <c r="E351" t="str">
        <f t="shared" si="10"/>
        <v>SSA</v>
      </c>
      <c r="F351" t="str">
        <f t="shared" si="11"/>
        <v>SSA</v>
      </c>
      <c r="G351">
        <f>IF(COUNTIFS(Factory_Components!$A$2:$A$61,VLOOKUP(A351,Runs!$A$2:$B$9,2,FALSE()),Factory_Components!$B$2:$B$61,"a",Factory_Components!$D$2:$D$61,F351)&gt;0,1,0)</f>
        <v>1</v>
      </c>
    </row>
    <row r="352" spans="1:7" ht="15" customHeight="1" x14ac:dyDescent="0.25">
      <c r="A352" t="s">
        <v>4</v>
      </c>
      <c r="B352" t="s">
        <v>563</v>
      </c>
      <c r="C352" t="s">
        <v>355</v>
      </c>
      <c r="D352" t="s">
        <v>871</v>
      </c>
      <c r="E352" t="str">
        <f t="shared" si="10"/>
        <v>FT</v>
      </c>
      <c r="F352" t="str">
        <f t="shared" si="11"/>
        <v>FT</v>
      </c>
      <c r="G352">
        <f>IF(COUNTIFS(Factory_Components!$A$2:$A$61,VLOOKUP(A352,Runs!$A$2:$B$9,2,FALSE()),Factory_Components!$B$2:$B$61,"a",Factory_Components!$D$2:$D$61,F352)&gt;0,1,0)</f>
        <v>1</v>
      </c>
    </row>
    <row r="353" spans="1:7" ht="15" customHeight="1" x14ac:dyDescent="0.25">
      <c r="A353" t="s">
        <v>4</v>
      </c>
      <c r="B353" t="s">
        <v>477</v>
      </c>
      <c r="C353" t="s">
        <v>354</v>
      </c>
      <c r="D353" t="s">
        <v>872</v>
      </c>
      <c r="E353" t="str">
        <f t="shared" si="10"/>
        <v>BOSP</v>
      </c>
      <c r="F353" t="str">
        <f t="shared" si="11"/>
        <v>BOSP</v>
      </c>
      <c r="G353">
        <f>IF(COUNTIFS(Factory_Components!$A$2:$A$61,VLOOKUP(A353,Runs!$A$2:$B$9,2,FALSE()),Factory_Components!$B$2:$B$61,"a",Factory_Components!$D$2:$D$61,F353)&gt;0,1,0)</f>
        <v>1</v>
      </c>
    </row>
    <row r="354" spans="1:7" ht="15" customHeight="1" x14ac:dyDescent="0.25">
      <c r="A354" t="s">
        <v>4</v>
      </c>
      <c r="B354" t="s">
        <v>481</v>
      </c>
      <c r="C354" t="s">
        <v>354</v>
      </c>
      <c r="D354" t="s">
        <v>873</v>
      </c>
      <c r="E354" t="str">
        <f t="shared" si="10"/>
        <v>BOSP</v>
      </c>
      <c r="F354" t="str">
        <f t="shared" si="11"/>
        <v>BOSP</v>
      </c>
      <c r="G354">
        <f>IF(COUNTIFS(Factory_Components!$A$2:$A$61,VLOOKUP(A354,Runs!$A$2:$B$9,2,FALSE()),Factory_Components!$B$2:$B$61,"a",Factory_Components!$D$2:$D$61,F354)&gt;0,1,0)</f>
        <v>1</v>
      </c>
    </row>
    <row r="355" spans="1:7" ht="15" customHeight="1" x14ac:dyDescent="0.25">
      <c r="A355" t="s">
        <v>4</v>
      </c>
      <c r="B355" t="s">
        <v>590</v>
      </c>
      <c r="C355" t="s">
        <v>357</v>
      </c>
      <c r="D355" t="s">
        <v>874</v>
      </c>
      <c r="E355" t="str">
        <f t="shared" si="10"/>
        <v>CHS</v>
      </c>
      <c r="F355" t="str">
        <f t="shared" si="11"/>
        <v>CHS</v>
      </c>
      <c r="G355">
        <f>IF(COUNTIFS(Factory_Components!$A$2:$A$61,VLOOKUP(A355,Runs!$A$2:$B$9,2,FALSE()),Factory_Components!$B$2:$B$61,"a",Factory_Components!$D$2:$D$61,F355)&gt;0,1,0)</f>
        <v>1</v>
      </c>
    </row>
    <row r="356" spans="1:7" ht="15" customHeight="1" x14ac:dyDescent="0.25">
      <c r="A356" t="s">
        <v>4</v>
      </c>
      <c r="B356" t="s">
        <v>574</v>
      </c>
      <c r="C356" t="s">
        <v>349</v>
      </c>
      <c r="D356" t="s">
        <v>875</v>
      </c>
      <c r="E356" t="str">
        <f t="shared" si="10"/>
        <v>SSA</v>
      </c>
      <c r="F356" t="str">
        <f t="shared" si="11"/>
        <v>SSA</v>
      </c>
      <c r="G356">
        <f>IF(COUNTIFS(Factory_Components!$A$2:$A$61,VLOOKUP(A356,Runs!$A$2:$B$9,2,FALSE()),Factory_Components!$B$2:$B$61,"a",Factory_Components!$D$2:$D$61,F356)&gt;0,1,0)</f>
        <v>1</v>
      </c>
    </row>
    <row r="357" spans="1:7" ht="15" customHeight="1" x14ac:dyDescent="0.25">
      <c r="A357" t="s">
        <v>4</v>
      </c>
      <c r="B357" t="s">
        <v>576</v>
      </c>
      <c r="C357" t="s">
        <v>349</v>
      </c>
      <c r="D357" t="s">
        <v>876</v>
      </c>
      <c r="E357" t="str">
        <f t="shared" si="10"/>
        <v>FAX</v>
      </c>
      <c r="F357" t="str">
        <f t="shared" si="11"/>
        <v>FAX</v>
      </c>
      <c r="G357">
        <f>IF(COUNTIFS(Factory_Components!$A$2:$A$61,VLOOKUP(A357,Runs!$A$2:$B$9,2,FALSE()),Factory_Components!$B$2:$B$61,"a",Factory_Components!$D$2:$D$61,F357)&gt;0,1,0)</f>
        <v>1</v>
      </c>
    </row>
    <row r="358" spans="1:7" ht="15" customHeight="1" x14ac:dyDescent="0.25">
      <c r="A358" t="s">
        <v>4</v>
      </c>
      <c r="B358" t="s">
        <v>566</v>
      </c>
      <c r="C358" t="s">
        <v>355</v>
      </c>
      <c r="D358" t="s">
        <v>877</v>
      </c>
      <c r="E358" t="str">
        <f t="shared" si="10"/>
        <v>FT</v>
      </c>
      <c r="F358" t="str">
        <f t="shared" si="11"/>
        <v>FT</v>
      </c>
      <c r="G358">
        <f>IF(COUNTIFS(Factory_Components!$A$2:$A$61,VLOOKUP(A358,Runs!$A$2:$B$9,2,FALSE()),Factory_Components!$B$2:$B$61,"a",Factory_Components!$D$2:$D$61,F358)&gt;0,1,0)</f>
        <v>1</v>
      </c>
    </row>
    <row r="359" spans="1:7" ht="15" customHeight="1" x14ac:dyDescent="0.25">
      <c r="A359" t="s">
        <v>4</v>
      </c>
      <c r="B359" t="s">
        <v>489</v>
      </c>
      <c r="C359" t="s">
        <v>354</v>
      </c>
      <c r="D359" t="s">
        <v>878</v>
      </c>
      <c r="E359" t="str">
        <f t="shared" si="10"/>
        <v>BAT</v>
      </c>
      <c r="F359" t="str">
        <f t="shared" si="11"/>
        <v>BAT</v>
      </c>
      <c r="G359">
        <f>IF(COUNTIFS(Factory_Components!$A$2:$A$61,VLOOKUP(A359,Runs!$A$2:$B$9,2,FALSE()),Factory_Components!$B$2:$B$61,"a",Factory_Components!$D$2:$D$61,F359)&gt;0,1,0)</f>
        <v>1</v>
      </c>
    </row>
    <row r="360" spans="1:7" ht="15" customHeight="1" x14ac:dyDescent="0.25">
      <c r="A360" t="s">
        <v>4</v>
      </c>
      <c r="B360" t="s">
        <v>507</v>
      </c>
      <c r="C360" t="s">
        <v>354</v>
      </c>
      <c r="D360" t="s">
        <v>879</v>
      </c>
      <c r="E360" t="str">
        <f t="shared" si="10"/>
        <v>BOSP</v>
      </c>
      <c r="F360" t="str">
        <f t="shared" si="11"/>
        <v>BOSP</v>
      </c>
      <c r="G360">
        <f>IF(COUNTIFS(Factory_Components!$A$2:$A$61,VLOOKUP(A360,Runs!$A$2:$B$9,2,FALSE()),Factory_Components!$B$2:$B$61,"a",Factory_Components!$D$2:$D$61,F360)&gt;0,1,0)</f>
        <v>1</v>
      </c>
    </row>
    <row r="361" spans="1:7" ht="15" customHeight="1" x14ac:dyDescent="0.25">
      <c r="A361" t="s">
        <v>4</v>
      </c>
      <c r="B361" t="s">
        <v>427</v>
      </c>
      <c r="C361" t="s">
        <v>355</v>
      </c>
      <c r="D361" t="s">
        <v>880</v>
      </c>
      <c r="E361" t="str">
        <f t="shared" si="10"/>
        <v>RT</v>
      </c>
      <c r="F361" t="str">
        <f t="shared" si="11"/>
        <v>RT</v>
      </c>
      <c r="G361">
        <f>IF(COUNTIFS(Factory_Components!$A$2:$A$61,VLOOKUP(A361,Runs!$A$2:$B$9,2,FALSE()),Factory_Components!$B$2:$B$61,"a",Factory_Components!$D$2:$D$61,F361)&gt;0,1,0)</f>
        <v>1</v>
      </c>
    </row>
    <row r="362" spans="1:7" ht="15" customHeight="1" x14ac:dyDescent="0.25">
      <c r="A362" t="s">
        <v>4</v>
      </c>
      <c r="B362" t="s">
        <v>397</v>
      </c>
      <c r="C362" t="s">
        <v>349</v>
      </c>
      <c r="D362" t="s">
        <v>881</v>
      </c>
      <c r="E362" t="str">
        <f t="shared" si="10"/>
        <v>BSA</v>
      </c>
      <c r="F362" t="str">
        <f t="shared" si="11"/>
        <v>BSA</v>
      </c>
      <c r="G362">
        <f>IF(COUNTIFS(Factory_Components!$A$2:$A$61,VLOOKUP(A362,Runs!$A$2:$B$9,2,FALSE()),Factory_Components!$B$2:$B$61,"a",Factory_Components!$D$2:$D$61,F362)&gt;0,1,0)</f>
        <v>1</v>
      </c>
    </row>
    <row r="363" spans="1:7" ht="15" customHeight="1" x14ac:dyDescent="0.25">
      <c r="A363" t="s">
        <v>4</v>
      </c>
      <c r="B363" t="s">
        <v>509</v>
      </c>
      <c r="C363" t="s">
        <v>354</v>
      </c>
      <c r="D363" t="s">
        <v>882</v>
      </c>
      <c r="E363" t="str">
        <f t="shared" si="10"/>
        <v>BOSP</v>
      </c>
      <c r="F363" t="str">
        <f t="shared" si="11"/>
        <v>BOSP</v>
      </c>
      <c r="G363">
        <f>IF(COUNTIFS(Factory_Components!$A$2:$A$61,VLOOKUP(A363,Runs!$A$2:$B$9,2,FALSE()),Factory_Components!$B$2:$B$61,"a",Factory_Components!$D$2:$D$61,F363)&gt;0,1,0)</f>
        <v>1</v>
      </c>
    </row>
    <row r="364" spans="1:7" ht="15" customHeight="1" x14ac:dyDescent="0.25">
      <c r="A364" t="s">
        <v>4</v>
      </c>
      <c r="B364" t="s">
        <v>403</v>
      </c>
      <c r="C364" t="s">
        <v>349</v>
      </c>
      <c r="D364" t="s">
        <v>883</v>
      </c>
      <c r="E364" t="str">
        <f t="shared" si="10"/>
        <v>BSA</v>
      </c>
      <c r="F364" t="str">
        <f t="shared" si="11"/>
        <v>BSA</v>
      </c>
      <c r="G364">
        <f>IF(COUNTIFS(Factory_Components!$A$2:$A$61,VLOOKUP(A364,Runs!$A$2:$B$9,2,FALSE()),Factory_Components!$B$2:$B$61,"a",Factory_Components!$D$2:$D$61,F364)&gt;0,1,0)</f>
        <v>1</v>
      </c>
    </row>
    <row r="365" spans="1:7" ht="15" customHeight="1" x14ac:dyDescent="0.25">
      <c r="A365" t="s">
        <v>4</v>
      </c>
      <c r="B365" t="s">
        <v>603</v>
      </c>
      <c r="C365" t="s">
        <v>349</v>
      </c>
      <c r="D365" t="s">
        <v>884</v>
      </c>
      <c r="E365" t="str">
        <f t="shared" si="10"/>
        <v>RAX_HD</v>
      </c>
      <c r="F365" t="str">
        <f t="shared" si="11"/>
        <v>RAX_HD</v>
      </c>
      <c r="G365">
        <f>IF(COUNTIFS(Factory_Components!$A$2:$A$61,VLOOKUP(A365,Runs!$A$2:$B$9,2,FALSE()),Factory_Components!$B$2:$B$61,"a",Factory_Components!$D$2:$D$61,F365)&gt;0,1,0)</f>
        <v>0</v>
      </c>
    </row>
    <row r="366" spans="1:7" ht="15" customHeight="1" x14ac:dyDescent="0.25">
      <c r="A366" t="s">
        <v>4</v>
      </c>
      <c r="B366" t="s">
        <v>762</v>
      </c>
      <c r="C366" t="s">
        <v>354</v>
      </c>
      <c r="D366" t="s">
        <v>885</v>
      </c>
      <c r="E366" t="str">
        <f t="shared" si="10"/>
        <v>BAT</v>
      </c>
      <c r="F366" t="str">
        <f t="shared" si="11"/>
        <v>BAT</v>
      </c>
      <c r="G366">
        <f>IF(COUNTIFS(Factory_Components!$A$2:$A$61,VLOOKUP(A366,Runs!$A$2:$B$9,2,FALSE()),Factory_Components!$B$2:$B$61,"a",Factory_Components!$D$2:$D$61,F366)&gt;0,1,0)</f>
        <v>1</v>
      </c>
    </row>
    <row r="367" spans="1:7" ht="15" customHeight="1" x14ac:dyDescent="0.25">
      <c r="A367" t="s">
        <v>4</v>
      </c>
      <c r="B367" t="s">
        <v>429</v>
      </c>
      <c r="C367" t="s">
        <v>355</v>
      </c>
      <c r="D367" t="s">
        <v>886</v>
      </c>
      <c r="E367" t="str">
        <f t="shared" si="10"/>
        <v>RT</v>
      </c>
      <c r="F367" t="str">
        <f t="shared" si="11"/>
        <v>RT</v>
      </c>
      <c r="G367">
        <f>IF(COUNTIFS(Factory_Components!$A$2:$A$61,VLOOKUP(A367,Runs!$A$2:$B$9,2,FALSE()),Factory_Components!$B$2:$B$61,"a",Factory_Components!$D$2:$D$61,F367)&gt;0,1,0)</f>
        <v>1</v>
      </c>
    </row>
    <row r="368" spans="1:7" ht="15" customHeight="1" x14ac:dyDescent="0.25">
      <c r="A368" t="s">
        <v>4</v>
      </c>
      <c r="B368" t="s">
        <v>700</v>
      </c>
      <c r="C368" t="s">
        <v>354</v>
      </c>
      <c r="D368" t="s">
        <v>887</v>
      </c>
      <c r="E368" t="str">
        <f t="shared" si="10"/>
        <v>BOSP</v>
      </c>
      <c r="F368" t="str">
        <f t="shared" si="11"/>
        <v>BOSP</v>
      </c>
      <c r="G368">
        <f>IF(COUNTIFS(Factory_Components!$A$2:$A$61,VLOOKUP(A368,Runs!$A$2:$B$9,2,FALSE()),Factory_Components!$B$2:$B$61,"a",Factory_Components!$D$2:$D$61,F368)&gt;0,1,0)</f>
        <v>1</v>
      </c>
    </row>
    <row r="369" spans="1:7" ht="15" customHeight="1" x14ac:dyDescent="0.25">
      <c r="A369" t="s">
        <v>4</v>
      </c>
      <c r="B369" t="s">
        <v>435</v>
      </c>
      <c r="C369" t="s">
        <v>355</v>
      </c>
      <c r="D369" t="s">
        <v>888</v>
      </c>
      <c r="E369" t="str">
        <f t="shared" si="10"/>
        <v>FT</v>
      </c>
      <c r="F369" t="str">
        <f t="shared" si="11"/>
        <v>FT</v>
      </c>
      <c r="G369">
        <f>IF(COUNTIFS(Factory_Components!$A$2:$A$61,VLOOKUP(A369,Runs!$A$2:$B$9,2,FALSE()),Factory_Components!$B$2:$B$61,"a",Factory_Components!$D$2:$D$61,F369)&gt;0,1,0)</f>
        <v>1</v>
      </c>
    </row>
    <row r="370" spans="1:7" ht="15" customHeight="1" x14ac:dyDescent="0.25">
      <c r="A370" t="s">
        <v>4</v>
      </c>
      <c r="B370" t="s">
        <v>705</v>
      </c>
      <c r="C370" t="s">
        <v>354</v>
      </c>
      <c r="D370" t="s">
        <v>889</v>
      </c>
      <c r="E370" t="str">
        <f t="shared" si="10"/>
        <v>BOSP</v>
      </c>
      <c r="F370" t="str">
        <f t="shared" si="11"/>
        <v>BOSP</v>
      </c>
      <c r="G370">
        <f>IF(COUNTIFS(Factory_Components!$A$2:$A$61,VLOOKUP(A370,Runs!$A$2:$B$9,2,FALSE()),Factory_Components!$B$2:$B$61,"a",Factory_Components!$D$2:$D$61,F370)&gt;0,1,0)</f>
        <v>1</v>
      </c>
    </row>
    <row r="371" spans="1:7" ht="15" customHeight="1" x14ac:dyDescent="0.25">
      <c r="A371" t="s">
        <v>4</v>
      </c>
      <c r="B371" t="s">
        <v>572</v>
      </c>
      <c r="C371" t="s">
        <v>349</v>
      </c>
      <c r="D371" t="s">
        <v>890</v>
      </c>
      <c r="E371" t="str">
        <f t="shared" si="10"/>
        <v>SSA</v>
      </c>
      <c r="F371" t="str">
        <f t="shared" si="11"/>
        <v>SSA</v>
      </c>
      <c r="G371">
        <f>IF(COUNTIFS(Factory_Components!$A$2:$A$61,VLOOKUP(A371,Runs!$A$2:$B$9,2,FALSE()),Factory_Components!$B$2:$B$61,"a",Factory_Components!$D$2:$D$61,F371)&gt;0,1,0)</f>
        <v>1</v>
      </c>
    </row>
    <row r="372" spans="1:7" ht="15" customHeight="1" x14ac:dyDescent="0.25">
      <c r="A372" t="s">
        <v>4</v>
      </c>
      <c r="B372" t="s">
        <v>437</v>
      </c>
      <c r="C372" t="s">
        <v>355</v>
      </c>
      <c r="D372" t="s">
        <v>891</v>
      </c>
      <c r="E372" t="str">
        <f t="shared" si="10"/>
        <v>FT</v>
      </c>
      <c r="F372" t="str">
        <f t="shared" si="11"/>
        <v>FT</v>
      </c>
      <c r="G372">
        <f>IF(COUNTIFS(Factory_Components!$A$2:$A$61,VLOOKUP(A372,Runs!$A$2:$B$9,2,FALSE()),Factory_Components!$B$2:$B$61,"a",Factory_Components!$D$2:$D$61,F372)&gt;0,1,0)</f>
        <v>1</v>
      </c>
    </row>
    <row r="373" spans="1:7" ht="15" customHeight="1" x14ac:dyDescent="0.25">
      <c r="A373" t="s">
        <v>4</v>
      </c>
      <c r="B373" t="s">
        <v>773</v>
      </c>
      <c r="C373" t="s">
        <v>354</v>
      </c>
      <c r="D373" t="s">
        <v>892</v>
      </c>
      <c r="E373" t="str">
        <f t="shared" si="10"/>
        <v>BAT</v>
      </c>
      <c r="F373" t="str">
        <f t="shared" si="11"/>
        <v>BAT</v>
      </c>
      <c r="G373">
        <f>IF(COUNTIFS(Factory_Components!$A$2:$A$61,VLOOKUP(A373,Runs!$A$2:$B$9,2,FALSE()),Factory_Components!$B$2:$B$61,"a",Factory_Components!$D$2:$D$61,F373)&gt;0,1,0)</f>
        <v>1</v>
      </c>
    </row>
    <row r="374" spans="1:7" ht="15" customHeight="1" x14ac:dyDescent="0.25">
      <c r="A374" t="s">
        <v>4</v>
      </c>
      <c r="B374" t="s">
        <v>596</v>
      </c>
      <c r="C374" t="s">
        <v>357</v>
      </c>
      <c r="D374" t="s">
        <v>893</v>
      </c>
      <c r="E374" t="str">
        <f t="shared" si="10"/>
        <v>CHS</v>
      </c>
      <c r="F374" t="str">
        <f t="shared" si="11"/>
        <v>CHS</v>
      </c>
      <c r="G374">
        <f>IF(COUNTIFS(Factory_Components!$A$2:$A$61,VLOOKUP(A374,Runs!$A$2:$B$9,2,FALSE()),Factory_Components!$B$2:$B$61,"a",Factory_Components!$D$2:$D$61,F374)&gt;0,1,0)</f>
        <v>1</v>
      </c>
    </row>
    <row r="375" spans="1:7" ht="15" customHeight="1" x14ac:dyDescent="0.25">
      <c r="A375" t="s">
        <v>4</v>
      </c>
      <c r="B375" t="s">
        <v>580</v>
      </c>
      <c r="C375" t="s">
        <v>349</v>
      </c>
      <c r="D375" t="s">
        <v>894</v>
      </c>
      <c r="E375" t="str">
        <f t="shared" si="10"/>
        <v>SSA</v>
      </c>
      <c r="F375" t="str">
        <f t="shared" si="11"/>
        <v>SSA</v>
      </c>
      <c r="G375">
        <f>IF(COUNTIFS(Factory_Components!$A$2:$A$61,VLOOKUP(A375,Runs!$A$2:$B$9,2,FALSE()),Factory_Components!$B$2:$B$61,"a",Factory_Components!$D$2:$D$61,F375)&gt;0,1,0)</f>
        <v>1</v>
      </c>
    </row>
    <row r="376" spans="1:7" ht="15" customHeight="1" x14ac:dyDescent="0.25">
      <c r="A376" t="s">
        <v>4</v>
      </c>
      <c r="B376" t="s">
        <v>582</v>
      </c>
      <c r="C376" t="s">
        <v>349</v>
      </c>
      <c r="D376" t="s">
        <v>895</v>
      </c>
      <c r="E376" t="str">
        <f t="shared" si="10"/>
        <v>FAX</v>
      </c>
      <c r="F376" t="str">
        <f t="shared" si="11"/>
        <v>FAX</v>
      </c>
      <c r="G376">
        <f>IF(COUNTIFS(Factory_Components!$A$2:$A$61,VLOOKUP(A376,Runs!$A$2:$B$9,2,FALSE()),Factory_Components!$B$2:$B$61,"a",Factory_Components!$D$2:$D$61,F376)&gt;0,1,0)</f>
        <v>1</v>
      </c>
    </row>
    <row r="377" spans="1:7" ht="15" customHeight="1" x14ac:dyDescent="0.25">
      <c r="A377" t="s">
        <v>4</v>
      </c>
      <c r="B377" t="s">
        <v>441</v>
      </c>
      <c r="C377" t="s">
        <v>355</v>
      </c>
      <c r="D377" t="s">
        <v>896</v>
      </c>
      <c r="E377" t="str">
        <f t="shared" si="10"/>
        <v>RT</v>
      </c>
      <c r="F377" t="str">
        <f t="shared" si="11"/>
        <v>RT</v>
      </c>
      <c r="G377">
        <f>IF(COUNTIFS(Factory_Components!$A$2:$A$61,VLOOKUP(A377,Runs!$A$2:$B$9,2,FALSE()),Factory_Components!$B$2:$B$61,"a",Factory_Components!$D$2:$D$61,F377)&gt;0,1,0)</f>
        <v>1</v>
      </c>
    </row>
    <row r="378" spans="1:7" ht="15" customHeight="1" x14ac:dyDescent="0.25">
      <c r="A378" t="s">
        <v>4</v>
      </c>
      <c r="B378" t="s">
        <v>415</v>
      </c>
      <c r="C378" t="s">
        <v>349</v>
      </c>
      <c r="D378" t="s">
        <v>897</v>
      </c>
      <c r="E378" t="str">
        <f t="shared" si="10"/>
        <v>BSA</v>
      </c>
      <c r="F378" t="str">
        <f t="shared" si="11"/>
        <v>BSA</v>
      </c>
      <c r="G378">
        <f>IF(COUNTIFS(Factory_Components!$A$2:$A$61,VLOOKUP(A378,Runs!$A$2:$B$9,2,FALSE()),Factory_Components!$B$2:$B$61,"a",Factory_Components!$D$2:$D$61,F378)&gt;0,1,0)</f>
        <v>1</v>
      </c>
    </row>
    <row r="379" spans="1:7" ht="15" customHeight="1" x14ac:dyDescent="0.25">
      <c r="A379" t="s">
        <v>4</v>
      </c>
      <c r="B379" t="s">
        <v>443</v>
      </c>
      <c r="C379" t="s">
        <v>355</v>
      </c>
      <c r="D379" t="s">
        <v>898</v>
      </c>
      <c r="E379" t="str">
        <f t="shared" si="10"/>
        <v>RT</v>
      </c>
      <c r="F379" t="str">
        <f t="shared" si="11"/>
        <v>RT</v>
      </c>
      <c r="G379">
        <f>IF(COUNTIFS(Factory_Components!$A$2:$A$61,VLOOKUP(A379,Runs!$A$2:$B$9,2,FALSE()),Factory_Components!$B$2:$B$61,"a",Factory_Components!$D$2:$D$61,F379)&gt;0,1,0)</f>
        <v>1</v>
      </c>
    </row>
    <row r="380" spans="1:7" ht="15" customHeight="1" x14ac:dyDescent="0.25">
      <c r="A380" t="s">
        <v>4</v>
      </c>
      <c r="B380" t="s">
        <v>419</v>
      </c>
      <c r="C380" t="s">
        <v>349</v>
      </c>
      <c r="D380" t="s">
        <v>899</v>
      </c>
      <c r="E380" t="str">
        <f t="shared" si="10"/>
        <v>BSA</v>
      </c>
      <c r="F380" t="str">
        <f t="shared" si="11"/>
        <v>BSA</v>
      </c>
      <c r="G380">
        <f>IF(COUNTIFS(Factory_Components!$A$2:$A$61,VLOOKUP(A380,Runs!$A$2:$B$9,2,FALSE()),Factory_Components!$B$2:$B$61,"a",Factory_Components!$D$2:$D$61,F380)&gt;0,1,0)</f>
        <v>1</v>
      </c>
    </row>
    <row r="381" spans="1:7" ht="15" customHeight="1" x14ac:dyDescent="0.25">
      <c r="A381" t="s">
        <v>4</v>
      </c>
      <c r="B381" t="s">
        <v>611</v>
      </c>
      <c r="C381" t="s">
        <v>349</v>
      </c>
      <c r="D381" t="s">
        <v>900</v>
      </c>
      <c r="E381" t="str">
        <f t="shared" si="10"/>
        <v>RAX_HD</v>
      </c>
      <c r="F381" t="str">
        <f t="shared" si="11"/>
        <v>RAX_HD</v>
      </c>
      <c r="G381">
        <f>IF(COUNTIFS(Factory_Components!$A$2:$A$61,VLOOKUP(A381,Runs!$A$2:$B$9,2,FALSE()),Factory_Components!$B$2:$B$61,"a",Factory_Components!$D$2:$D$61,F381)&gt;0,1,0)</f>
        <v>0</v>
      </c>
    </row>
    <row r="382" spans="1:7" ht="15" customHeight="1" x14ac:dyDescent="0.25">
      <c r="A382" t="s">
        <v>4</v>
      </c>
      <c r="B382" t="s">
        <v>445</v>
      </c>
      <c r="C382" t="s">
        <v>355</v>
      </c>
      <c r="D382" t="s">
        <v>901</v>
      </c>
      <c r="E382" t="str">
        <f t="shared" si="10"/>
        <v>FT</v>
      </c>
      <c r="F382" t="str">
        <f t="shared" si="11"/>
        <v>FT</v>
      </c>
      <c r="G382">
        <f>IF(COUNTIFS(Factory_Components!$A$2:$A$61,VLOOKUP(A382,Runs!$A$2:$B$9,2,FALSE()),Factory_Components!$B$2:$B$61,"a",Factory_Components!$D$2:$D$61,F382)&gt;0,1,0)</f>
        <v>1</v>
      </c>
    </row>
    <row r="383" spans="1:7" ht="15" customHeight="1" x14ac:dyDescent="0.25">
      <c r="A383" t="s">
        <v>4</v>
      </c>
      <c r="B383" t="s">
        <v>447</v>
      </c>
      <c r="C383" t="s">
        <v>355</v>
      </c>
      <c r="D383" t="s">
        <v>902</v>
      </c>
      <c r="E383" t="str">
        <f t="shared" si="10"/>
        <v>FT</v>
      </c>
      <c r="F383" t="str">
        <f t="shared" si="11"/>
        <v>FT</v>
      </c>
      <c r="G383">
        <f>IF(COUNTIFS(Factory_Components!$A$2:$A$61,VLOOKUP(A383,Runs!$A$2:$B$9,2,FALSE()),Factory_Components!$B$2:$B$61,"a",Factory_Components!$D$2:$D$61,F383)&gt;0,1,0)</f>
        <v>1</v>
      </c>
    </row>
    <row r="384" spans="1:7" ht="15" customHeight="1" x14ac:dyDescent="0.25">
      <c r="A384" t="s">
        <v>4</v>
      </c>
      <c r="B384" t="s">
        <v>578</v>
      </c>
      <c r="C384" t="s">
        <v>349</v>
      </c>
      <c r="D384" t="s">
        <v>903</v>
      </c>
      <c r="E384" t="str">
        <f t="shared" si="10"/>
        <v>SSA</v>
      </c>
      <c r="F384" t="str">
        <f t="shared" si="11"/>
        <v>SSA</v>
      </c>
      <c r="G384">
        <f>IF(COUNTIFS(Factory_Components!$A$2:$A$61,VLOOKUP(A384,Runs!$A$2:$B$9,2,FALSE()),Factory_Components!$B$2:$B$61,"a",Factory_Components!$D$2:$D$61,F384)&gt;0,1,0)</f>
        <v>1</v>
      </c>
    </row>
    <row r="385" spans="1:7" ht="15" customHeight="1" x14ac:dyDescent="0.25">
      <c r="A385" t="s">
        <v>4</v>
      </c>
      <c r="B385" t="s">
        <v>455</v>
      </c>
      <c r="C385" t="s">
        <v>355</v>
      </c>
      <c r="D385" t="s">
        <v>904</v>
      </c>
      <c r="E385" t="str">
        <f t="shared" si="10"/>
        <v>RT</v>
      </c>
      <c r="F385" t="str">
        <f t="shared" si="11"/>
        <v>RT</v>
      </c>
      <c r="G385">
        <f>IF(COUNTIFS(Factory_Components!$A$2:$A$61,VLOOKUP(A385,Runs!$A$2:$B$9,2,FALSE()),Factory_Components!$B$2:$B$61,"a",Factory_Components!$D$2:$D$61,F385)&gt;0,1,0)</f>
        <v>1</v>
      </c>
    </row>
    <row r="386" spans="1:7" ht="15" customHeight="1" x14ac:dyDescent="0.25">
      <c r="A386" t="s">
        <v>4</v>
      </c>
      <c r="B386" t="s">
        <v>599</v>
      </c>
      <c r="C386" t="s">
        <v>357</v>
      </c>
      <c r="D386" t="s">
        <v>905</v>
      </c>
      <c r="E386" t="str">
        <f t="shared" ref="E386:E449" si="12">IF(ISNUMBER(--RIGHT(B386,1)),MID(B386,10,LEN(B386)-11),MID(B386,10,100))</f>
        <v>CHS</v>
      </c>
      <c r="F386" t="str">
        <f t="shared" ref="F386:F449" si="13">IF(E386="CORE","CHS",E386)</f>
        <v>CHS</v>
      </c>
      <c r="G386">
        <f>IF(COUNTIFS(Factory_Components!$A$2:$A$61,VLOOKUP(A386,Runs!$A$2:$B$9,2,FALSE()),Factory_Components!$B$2:$B$61,"a",Factory_Components!$D$2:$D$61,F386)&gt;0,1,0)</f>
        <v>1</v>
      </c>
    </row>
    <row r="387" spans="1:7" ht="15" customHeight="1" x14ac:dyDescent="0.25">
      <c r="A387" t="s">
        <v>4</v>
      </c>
      <c r="B387" t="s">
        <v>586</v>
      </c>
      <c r="C387" t="s">
        <v>349</v>
      </c>
      <c r="D387" t="s">
        <v>906</v>
      </c>
      <c r="E387" t="str">
        <f t="shared" si="12"/>
        <v>SSA</v>
      </c>
      <c r="F387" t="str">
        <f t="shared" si="13"/>
        <v>SSA</v>
      </c>
      <c r="G387">
        <f>IF(COUNTIFS(Factory_Components!$A$2:$A$61,VLOOKUP(A387,Runs!$A$2:$B$9,2,FALSE()),Factory_Components!$B$2:$B$61,"a",Factory_Components!$D$2:$D$61,F387)&gt;0,1,0)</f>
        <v>1</v>
      </c>
    </row>
    <row r="388" spans="1:7" ht="15" customHeight="1" x14ac:dyDescent="0.25">
      <c r="A388" t="s">
        <v>4</v>
      </c>
      <c r="B388" t="s">
        <v>588</v>
      </c>
      <c r="C388" t="s">
        <v>349</v>
      </c>
      <c r="D388" t="s">
        <v>907</v>
      </c>
      <c r="E388" t="str">
        <f t="shared" si="12"/>
        <v>FAX</v>
      </c>
      <c r="F388" t="str">
        <f t="shared" si="13"/>
        <v>FAX</v>
      </c>
      <c r="G388">
        <f>IF(COUNTIFS(Factory_Components!$A$2:$A$61,VLOOKUP(A388,Runs!$A$2:$B$9,2,FALSE()),Factory_Components!$B$2:$B$61,"a",Factory_Components!$D$2:$D$61,F388)&gt;0,1,0)</f>
        <v>1</v>
      </c>
    </row>
    <row r="389" spans="1:7" ht="15" customHeight="1" x14ac:dyDescent="0.25">
      <c r="A389" t="s">
        <v>4</v>
      </c>
      <c r="B389" t="s">
        <v>459</v>
      </c>
      <c r="C389" t="s">
        <v>355</v>
      </c>
      <c r="D389" t="s">
        <v>908</v>
      </c>
      <c r="E389" t="str">
        <f t="shared" si="12"/>
        <v>RT</v>
      </c>
      <c r="F389" t="str">
        <f t="shared" si="13"/>
        <v>RT</v>
      </c>
      <c r="G389">
        <f>IF(COUNTIFS(Factory_Components!$A$2:$A$61,VLOOKUP(A389,Runs!$A$2:$B$9,2,FALSE()),Factory_Components!$B$2:$B$61,"a",Factory_Components!$D$2:$D$61,F389)&gt;0,1,0)</f>
        <v>1</v>
      </c>
    </row>
    <row r="390" spans="1:7" ht="15" customHeight="1" x14ac:dyDescent="0.25">
      <c r="A390" t="s">
        <v>4</v>
      </c>
      <c r="B390" t="s">
        <v>425</v>
      </c>
      <c r="C390" t="s">
        <v>349</v>
      </c>
      <c r="D390" t="s">
        <v>909</v>
      </c>
      <c r="E390" t="str">
        <f t="shared" si="12"/>
        <v>BSA</v>
      </c>
      <c r="F390" t="str">
        <f t="shared" si="13"/>
        <v>BSA</v>
      </c>
      <c r="G390">
        <f>IF(COUNTIFS(Factory_Components!$A$2:$A$61,VLOOKUP(A390,Runs!$A$2:$B$9,2,FALSE()),Factory_Components!$B$2:$B$61,"a",Factory_Components!$D$2:$D$61,F390)&gt;0,1,0)</f>
        <v>1</v>
      </c>
    </row>
    <row r="391" spans="1:7" ht="15" customHeight="1" x14ac:dyDescent="0.25">
      <c r="A391" t="s">
        <v>4</v>
      </c>
      <c r="B391" t="s">
        <v>644</v>
      </c>
      <c r="C391" t="s">
        <v>355</v>
      </c>
      <c r="D391" t="s">
        <v>910</v>
      </c>
      <c r="E391" t="str">
        <f t="shared" si="12"/>
        <v>FT</v>
      </c>
      <c r="F391" t="str">
        <f t="shared" si="13"/>
        <v>FT</v>
      </c>
      <c r="G391">
        <f>IF(COUNTIFS(Factory_Components!$A$2:$A$61,VLOOKUP(A391,Runs!$A$2:$B$9,2,FALSE()),Factory_Components!$B$2:$B$61,"a",Factory_Components!$D$2:$D$61,F391)&gt;0,1,0)</f>
        <v>1</v>
      </c>
    </row>
    <row r="392" spans="1:7" ht="15" customHeight="1" x14ac:dyDescent="0.25">
      <c r="A392" t="s">
        <v>4</v>
      </c>
      <c r="B392" t="s">
        <v>431</v>
      </c>
      <c r="C392" t="s">
        <v>349</v>
      </c>
      <c r="D392" t="s">
        <v>911</v>
      </c>
      <c r="E392" t="str">
        <f t="shared" si="12"/>
        <v>BSA</v>
      </c>
      <c r="F392" t="str">
        <f t="shared" si="13"/>
        <v>BSA</v>
      </c>
      <c r="G392">
        <f>IF(COUNTIFS(Factory_Components!$A$2:$A$61,VLOOKUP(A392,Runs!$A$2:$B$9,2,FALSE()),Factory_Components!$B$2:$B$61,"a",Factory_Components!$D$2:$D$61,F392)&gt;0,1,0)</f>
        <v>1</v>
      </c>
    </row>
    <row r="393" spans="1:7" ht="15" customHeight="1" x14ac:dyDescent="0.25">
      <c r="A393" t="s">
        <v>4</v>
      </c>
      <c r="B393" t="s">
        <v>619</v>
      </c>
      <c r="C393" t="s">
        <v>349</v>
      </c>
      <c r="D393" t="s">
        <v>912</v>
      </c>
      <c r="E393" t="str">
        <f t="shared" si="12"/>
        <v>RAX_HD</v>
      </c>
      <c r="F393" t="str">
        <f t="shared" si="13"/>
        <v>RAX_HD</v>
      </c>
      <c r="G393">
        <f>IF(COUNTIFS(Factory_Components!$A$2:$A$61,VLOOKUP(A393,Runs!$A$2:$B$9,2,FALSE()),Factory_Components!$B$2:$B$61,"a",Factory_Components!$D$2:$D$61,F393)&gt;0,1,0)</f>
        <v>0</v>
      </c>
    </row>
    <row r="394" spans="1:7" ht="15" customHeight="1" x14ac:dyDescent="0.25">
      <c r="A394" t="s">
        <v>4</v>
      </c>
      <c r="B394" t="s">
        <v>648</v>
      </c>
      <c r="C394" t="s">
        <v>355</v>
      </c>
      <c r="D394" t="s">
        <v>913</v>
      </c>
      <c r="E394" t="str">
        <f t="shared" si="12"/>
        <v>FT</v>
      </c>
      <c r="F394" t="str">
        <f t="shared" si="13"/>
        <v>FT</v>
      </c>
      <c r="G394">
        <f>IF(COUNTIFS(Factory_Components!$A$2:$A$61,VLOOKUP(A394,Runs!$A$2:$B$9,2,FALSE()),Factory_Components!$B$2:$B$61,"a",Factory_Components!$D$2:$D$61,F394)&gt;0,1,0)</f>
        <v>1</v>
      </c>
    </row>
    <row r="395" spans="1:7" ht="15" customHeight="1" x14ac:dyDescent="0.25">
      <c r="A395" t="s">
        <v>4</v>
      </c>
      <c r="B395" t="s">
        <v>471</v>
      </c>
      <c r="C395" t="s">
        <v>355</v>
      </c>
      <c r="D395" t="s">
        <v>914</v>
      </c>
      <c r="E395" t="str">
        <f t="shared" si="12"/>
        <v>RT</v>
      </c>
      <c r="F395" t="str">
        <f t="shared" si="13"/>
        <v>RT</v>
      </c>
      <c r="G395">
        <f>IF(COUNTIFS(Factory_Components!$A$2:$A$61,VLOOKUP(A395,Runs!$A$2:$B$9,2,FALSE()),Factory_Components!$B$2:$B$61,"a",Factory_Components!$D$2:$D$61,F395)&gt;0,1,0)</f>
        <v>1</v>
      </c>
    </row>
    <row r="396" spans="1:7" ht="15" customHeight="1" x14ac:dyDescent="0.25">
      <c r="A396" t="s">
        <v>4</v>
      </c>
      <c r="B396" t="s">
        <v>584</v>
      </c>
      <c r="C396" t="s">
        <v>349</v>
      </c>
      <c r="D396" t="s">
        <v>915</v>
      </c>
      <c r="E396" t="str">
        <f t="shared" si="12"/>
        <v>SSA</v>
      </c>
      <c r="F396" t="str">
        <f t="shared" si="13"/>
        <v>SSA</v>
      </c>
      <c r="G396">
        <f>IF(COUNTIFS(Factory_Components!$A$2:$A$61,VLOOKUP(A396,Runs!$A$2:$B$9,2,FALSE()),Factory_Components!$B$2:$B$61,"a",Factory_Components!$D$2:$D$61,F396)&gt;0,1,0)</f>
        <v>1</v>
      </c>
    </row>
    <row r="397" spans="1:7" ht="15" customHeight="1" x14ac:dyDescent="0.25">
      <c r="A397" t="s">
        <v>4</v>
      </c>
      <c r="B397" t="s">
        <v>475</v>
      </c>
      <c r="C397" t="s">
        <v>355</v>
      </c>
      <c r="D397" t="s">
        <v>916</v>
      </c>
      <c r="E397" t="str">
        <f t="shared" si="12"/>
        <v>RT</v>
      </c>
      <c r="F397" t="str">
        <f t="shared" si="13"/>
        <v>RT</v>
      </c>
      <c r="G397">
        <f>IF(COUNTIFS(Factory_Components!$A$2:$A$61,VLOOKUP(A397,Runs!$A$2:$B$9,2,FALSE()),Factory_Components!$B$2:$B$61,"a",Factory_Components!$D$2:$D$61,F397)&gt;0,1,0)</f>
        <v>1</v>
      </c>
    </row>
    <row r="398" spans="1:7" ht="15" customHeight="1" x14ac:dyDescent="0.25">
      <c r="A398" t="s">
        <v>4</v>
      </c>
      <c r="B398" t="s">
        <v>605</v>
      </c>
      <c r="C398" t="s">
        <v>357</v>
      </c>
      <c r="D398" t="s">
        <v>917</v>
      </c>
      <c r="E398" t="str">
        <f t="shared" si="12"/>
        <v>CHS</v>
      </c>
      <c r="F398" t="str">
        <f t="shared" si="13"/>
        <v>CHS</v>
      </c>
      <c r="G398">
        <f>IF(COUNTIFS(Factory_Components!$A$2:$A$61,VLOOKUP(A398,Runs!$A$2:$B$9,2,FALSE()),Factory_Components!$B$2:$B$61,"a",Factory_Components!$D$2:$D$61,F398)&gt;0,1,0)</f>
        <v>1</v>
      </c>
    </row>
    <row r="399" spans="1:7" ht="15" customHeight="1" x14ac:dyDescent="0.25">
      <c r="A399" t="s">
        <v>4</v>
      </c>
      <c r="B399" t="s">
        <v>592</v>
      </c>
      <c r="C399" t="s">
        <v>349</v>
      </c>
      <c r="D399" t="s">
        <v>918</v>
      </c>
      <c r="E399" t="str">
        <f t="shared" si="12"/>
        <v>SSA</v>
      </c>
      <c r="F399" t="str">
        <f t="shared" si="13"/>
        <v>SSA</v>
      </c>
      <c r="G399">
        <f>IF(COUNTIFS(Factory_Components!$A$2:$A$61,VLOOKUP(A399,Runs!$A$2:$B$9,2,FALSE()),Factory_Components!$B$2:$B$61,"a",Factory_Components!$D$2:$D$61,F399)&gt;0,1,0)</f>
        <v>1</v>
      </c>
    </row>
    <row r="400" spans="1:7" ht="15" customHeight="1" x14ac:dyDescent="0.25">
      <c r="A400" t="s">
        <v>4</v>
      </c>
      <c r="B400" t="s">
        <v>594</v>
      </c>
      <c r="C400" t="s">
        <v>349</v>
      </c>
      <c r="D400" t="s">
        <v>919</v>
      </c>
      <c r="E400" t="str">
        <f t="shared" si="12"/>
        <v>FAX</v>
      </c>
      <c r="F400" t="str">
        <f t="shared" si="13"/>
        <v>FAX</v>
      </c>
      <c r="G400">
        <f>IF(COUNTIFS(Factory_Components!$A$2:$A$61,VLOOKUP(A400,Runs!$A$2:$B$9,2,FALSE()),Factory_Components!$B$2:$B$61,"a",Factory_Components!$D$2:$D$61,F400)&gt;0,1,0)</f>
        <v>1</v>
      </c>
    </row>
    <row r="401" spans="1:7" ht="15" customHeight="1" x14ac:dyDescent="0.25">
      <c r="A401" t="s">
        <v>4</v>
      </c>
      <c r="B401" t="s">
        <v>650</v>
      </c>
      <c r="C401" t="s">
        <v>355</v>
      </c>
      <c r="D401" t="s">
        <v>920</v>
      </c>
      <c r="E401" t="str">
        <f t="shared" si="12"/>
        <v>FT</v>
      </c>
      <c r="F401" t="str">
        <f t="shared" si="13"/>
        <v>FT</v>
      </c>
      <c r="G401">
        <f>IF(COUNTIFS(Factory_Components!$A$2:$A$61,VLOOKUP(A401,Runs!$A$2:$B$9,2,FALSE()),Factory_Components!$B$2:$B$61,"a",Factory_Components!$D$2:$D$61,F401)&gt;0,1,0)</f>
        <v>1</v>
      </c>
    </row>
    <row r="402" spans="1:7" ht="15" customHeight="1" x14ac:dyDescent="0.25">
      <c r="A402" t="s">
        <v>4</v>
      </c>
      <c r="B402" t="s">
        <v>615</v>
      </c>
      <c r="C402" t="s">
        <v>349</v>
      </c>
      <c r="D402" t="s">
        <v>921</v>
      </c>
      <c r="E402" t="str">
        <f t="shared" si="12"/>
        <v>BSA</v>
      </c>
      <c r="F402" t="str">
        <f t="shared" si="13"/>
        <v>BSA</v>
      </c>
      <c r="G402">
        <f>IF(COUNTIFS(Factory_Components!$A$2:$A$61,VLOOKUP(A402,Runs!$A$2:$B$9,2,FALSE()),Factory_Components!$B$2:$B$61,"a",Factory_Components!$D$2:$D$61,F402)&gt;0,1,0)</f>
        <v>1</v>
      </c>
    </row>
    <row r="403" spans="1:7" ht="15" customHeight="1" x14ac:dyDescent="0.25">
      <c r="A403" t="s">
        <v>4</v>
      </c>
      <c r="B403" t="s">
        <v>653</v>
      </c>
      <c r="C403" t="s">
        <v>355</v>
      </c>
      <c r="D403" t="s">
        <v>922</v>
      </c>
      <c r="E403" t="str">
        <f t="shared" si="12"/>
        <v>FT</v>
      </c>
      <c r="F403" t="str">
        <f t="shared" si="13"/>
        <v>FT</v>
      </c>
      <c r="G403">
        <f>IF(COUNTIFS(Factory_Components!$A$2:$A$61,VLOOKUP(A403,Runs!$A$2:$B$9,2,FALSE()),Factory_Components!$B$2:$B$61,"a",Factory_Components!$D$2:$D$61,F403)&gt;0,1,0)</f>
        <v>1</v>
      </c>
    </row>
    <row r="404" spans="1:7" ht="15" customHeight="1" x14ac:dyDescent="0.25">
      <c r="A404" t="s">
        <v>4</v>
      </c>
      <c r="B404" t="s">
        <v>623</v>
      </c>
      <c r="C404" t="s">
        <v>349</v>
      </c>
      <c r="D404" t="s">
        <v>923</v>
      </c>
      <c r="E404" t="str">
        <f t="shared" si="12"/>
        <v>BSA</v>
      </c>
      <c r="F404" t="str">
        <f t="shared" si="13"/>
        <v>BSA</v>
      </c>
      <c r="G404">
        <f>IF(COUNTIFS(Factory_Components!$A$2:$A$61,VLOOKUP(A404,Runs!$A$2:$B$9,2,FALSE()),Factory_Components!$B$2:$B$61,"a",Factory_Components!$D$2:$D$61,F404)&gt;0,1,0)</f>
        <v>1</v>
      </c>
    </row>
    <row r="405" spans="1:7" ht="15" customHeight="1" x14ac:dyDescent="0.25">
      <c r="A405" t="s">
        <v>4</v>
      </c>
      <c r="B405" t="s">
        <v>625</v>
      </c>
      <c r="C405" t="s">
        <v>349</v>
      </c>
      <c r="D405" t="s">
        <v>924</v>
      </c>
      <c r="E405" t="str">
        <f t="shared" si="12"/>
        <v>RAX_HD</v>
      </c>
      <c r="F405" t="str">
        <f t="shared" si="13"/>
        <v>RAX_HD</v>
      </c>
      <c r="G405">
        <f>IF(COUNTIFS(Factory_Components!$A$2:$A$61,VLOOKUP(A405,Runs!$A$2:$B$9,2,FALSE()),Factory_Components!$B$2:$B$61,"a",Factory_Components!$D$2:$D$61,F405)&gt;0,1,0)</f>
        <v>0</v>
      </c>
    </row>
    <row r="406" spans="1:7" ht="15" customHeight="1" x14ac:dyDescent="0.25">
      <c r="A406" t="s">
        <v>4</v>
      </c>
      <c r="B406" t="s">
        <v>493</v>
      </c>
      <c r="C406" t="s">
        <v>355</v>
      </c>
      <c r="D406" t="s">
        <v>925</v>
      </c>
      <c r="E406" t="str">
        <f t="shared" si="12"/>
        <v>RT</v>
      </c>
      <c r="F406" t="str">
        <f t="shared" si="13"/>
        <v>RT</v>
      </c>
      <c r="G406">
        <f>IF(COUNTIFS(Factory_Components!$A$2:$A$61,VLOOKUP(A406,Runs!$A$2:$B$9,2,FALSE()),Factory_Components!$B$2:$B$61,"a",Factory_Components!$D$2:$D$61,F406)&gt;0,1,0)</f>
        <v>1</v>
      </c>
    </row>
    <row r="407" spans="1:7" ht="15" customHeight="1" x14ac:dyDescent="0.25">
      <c r="A407" t="s">
        <v>4</v>
      </c>
      <c r="B407" t="s">
        <v>495</v>
      </c>
      <c r="C407" t="s">
        <v>355</v>
      </c>
      <c r="D407" t="s">
        <v>926</v>
      </c>
      <c r="E407" t="str">
        <f t="shared" si="12"/>
        <v>RT</v>
      </c>
      <c r="F407" t="str">
        <f t="shared" si="13"/>
        <v>RT</v>
      </c>
      <c r="G407">
        <f>IF(COUNTIFS(Factory_Components!$A$2:$A$61,VLOOKUP(A407,Runs!$A$2:$B$9,2,FALSE()),Factory_Components!$B$2:$B$61,"a",Factory_Components!$D$2:$D$61,F407)&gt;0,1,0)</f>
        <v>1</v>
      </c>
    </row>
    <row r="408" spans="1:7" ht="15" customHeight="1" x14ac:dyDescent="0.25">
      <c r="A408" t="s">
        <v>4</v>
      </c>
      <c r="B408" t="s">
        <v>453</v>
      </c>
      <c r="C408" t="s">
        <v>349</v>
      </c>
      <c r="D408" t="s">
        <v>927</v>
      </c>
      <c r="E408" t="str">
        <f t="shared" si="12"/>
        <v>SSA</v>
      </c>
      <c r="F408" t="str">
        <f t="shared" si="13"/>
        <v>SSA</v>
      </c>
      <c r="G408">
        <f>IF(COUNTIFS(Factory_Components!$A$2:$A$61,VLOOKUP(A408,Runs!$A$2:$B$9,2,FALSE()),Factory_Components!$B$2:$B$61,"a",Factory_Components!$D$2:$D$61,F408)&gt;0,1,0)</f>
        <v>1</v>
      </c>
    </row>
    <row r="409" spans="1:7" ht="15" customHeight="1" x14ac:dyDescent="0.25">
      <c r="A409" t="s">
        <v>4</v>
      </c>
      <c r="B409" t="s">
        <v>501</v>
      </c>
      <c r="C409" t="s">
        <v>355</v>
      </c>
      <c r="D409" t="s">
        <v>928</v>
      </c>
      <c r="E409" t="str">
        <f t="shared" si="12"/>
        <v>FT</v>
      </c>
      <c r="F409" t="str">
        <f t="shared" si="13"/>
        <v>FT</v>
      </c>
      <c r="G409">
        <f>IF(COUNTIFS(Factory_Components!$A$2:$A$61,VLOOKUP(A409,Runs!$A$2:$B$9,2,FALSE()),Factory_Components!$B$2:$B$61,"a",Factory_Components!$D$2:$D$61,F409)&gt;0,1,0)</f>
        <v>1</v>
      </c>
    </row>
    <row r="410" spans="1:7" ht="15" customHeight="1" x14ac:dyDescent="0.25">
      <c r="A410" t="s">
        <v>4</v>
      </c>
      <c r="B410" t="s">
        <v>675</v>
      </c>
      <c r="C410" t="s">
        <v>357</v>
      </c>
      <c r="D410" t="s">
        <v>929</v>
      </c>
      <c r="E410" t="str">
        <f t="shared" si="12"/>
        <v>CHS</v>
      </c>
      <c r="F410" t="str">
        <f t="shared" si="13"/>
        <v>CHS</v>
      </c>
      <c r="G410">
        <f>IF(COUNTIFS(Factory_Components!$A$2:$A$61,VLOOKUP(A410,Runs!$A$2:$B$9,2,FALSE()),Factory_Components!$B$2:$B$61,"a",Factory_Components!$D$2:$D$61,F410)&gt;0,1,0)</f>
        <v>1</v>
      </c>
    </row>
    <row r="411" spans="1:7" ht="15" customHeight="1" x14ac:dyDescent="0.25">
      <c r="A411" t="s">
        <v>4</v>
      </c>
      <c r="B411" t="s">
        <v>457</v>
      </c>
      <c r="C411" t="s">
        <v>349</v>
      </c>
      <c r="D411" t="s">
        <v>930</v>
      </c>
      <c r="E411" t="str">
        <f t="shared" si="12"/>
        <v>SSA</v>
      </c>
      <c r="F411" t="str">
        <f t="shared" si="13"/>
        <v>SSA</v>
      </c>
      <c r="G411">
        <f>IF(COUNTIFS(Factory_Components!$A$2:$A$61,VLOOKUP(A411,Runs!$A$2:$B$9,2,FALSE()),Factory_Components!$B$2:$B$61,"a",Factory_Components!$D$2:$D$61,F411)&gt;0,1,0)</f>
        <v>1</v>
      </c>
    </row>
    <row r="412" spans="1:7" ht="15" customHeight="1" x14ac:dyDescent="0.25">
      <c r="A412" t="s">
        <v>4</v>
      </c>
      <c r="B412" t="s">
        <v>661</v>
      </c>
      <c r="C412" t="s">
        <v>349</v>
      </c>
      <c r="D412" t="s">
        <v>931</v>
      </c>
      <c r="E412" t="str">
        <f t="shared" si="12"/>
        <v>FAX</v>
      </c>
      <c r="F412" t="str">
        <f t="shared" si="13"/>
        <v>FAX</v>
      </c>
      <c r="G412">
        <f>IF(COUNTIFS(Factory_Components!$A$2:$A$61,VLOOKUP(A412,Runs!$A$2:$B$9,2,FALSE()),Factory_Components!$B$2:$B$61,"a",Factory_Components!$D$2:$D$61,F412)&gt;0,1,0)</f>
        <v>1</v>
      </c>
    </row>
    <row r="413" spans="1:7" ht="15" customHeight="1" x14ac:dyDescent="0.25">
      <c r="A413" t="s">
        <v>4</v>
      </c>
      <c r="B413" t="s">
        <v>503</v>
      </c>
      <c r="C413" t="s">
        <v>355</v>
      </c>
      <c r="D413" t="s">
        <v>932</v>
      </c>
      <c r="E413" t="str">
        <f t="shared" si="12"/>
        <v>FT</v>
      </c>
      <c r="F413" t="str">
        <f t="shared" si="13"/>
        <v>FT</v>
      </c>
      <c r="G413">
        <f>IF(COUNTIFS(Factory_Components!$A$2:$A$61,VLOOKUP(A413,Runs!$A$2:$B$9,2,FALSE()),Factory_Components!$B$2:$B$61,"a",Factory_Components!$D$2:$D$61,F413)&gt;0,1,0)</f>
        <v>1</v>
      </c>
    </row>
    <row r="414" spans="1:7" ht="15" customHeight="1" x14ac:dyDescent="0.25">
      <c r="A414" t="s">
        <v>4</v>
      </c>
      <c r="B414" t="s">
        <v>463</v>
      </c>
      <c r="C414" t="s">
        <v>349</v>
      </c>
      <c r="D414" t="s">
        <v>933</v>
      </c>
      <c r="E414" t="str">
        <f t="shared" si="12"/>
        <v>BSA</v>
      </c>
      <c r="F414" t="str">
        <f t="shared" si="13"/>
        <v>BSA</v>
      </c>
      <c r="G414">
        <f>IF(COUNTIFS(Factory_Components!$A$2:$A$61,VLOOKUP(A414,Runs!$A$2:$B$9,2,FALSE()),Factory_Components!$B$2:$B$61,"a",Factory_Components!$D$2:$D$61,F414)&gt;0,1,0)</f>
        <v>1</v>
      </c>
    </row>
    <row r="415" spans="1:7" ht="15" customHeight="1" x14ac:dyDescent="0.25">
      <c r="A415" t="s">
        <v>4</v>
      </c>
      <c r="B415" t="s">
        <v>511</v>
      </c>
      <c r="C415" t="s">
        <v>355</v>
      </c>
      <c r="D415" t="s">
        <v>934</v>
      </c>
      <c r="E415" t="str">
        <f t="shared" si="12"/>
        <v>RT</v>
      </c>
      <c r="F415" t="str">
        <f t="shared" si="13"/>
        <v>RT</v>
      </c>
      <c r="G415">
        <f>IF(COUNTIFS(Factory_Components!$A$2:$A$61,VLOOKUP(A415,Runs!$A$2:$B$9,2,FALSE()),Factory_Components!$B$2:$B$61,"a",Factory_Components!$D$2:$D$61,F415)&gt;0,1,0)</f>
        <v>1</v>
      </c>
    </row>
    <row r="416" spans="1:7" ht="15" customHeight="1" x14ac:dyDescent="0.25">
      <c r="A416" t="s">
        <v>4</v>
      </c>
      <c r="B416" t="s">
        <v>467</v>
      </c>
      <c r="C416" t="s">
        <v>349</v>
      </c>
      <c r="D416" t="s">
        <v>935</v>
      </c>
      <c r="E416" t="str">
        <f t="shared" si="12"/>
        <v>BSA</v>
      </c>
      <c r="F416" t="str">
        <f t="shared" si="13"/>
        <v>BSA</v>
      </c>
      <c r="G416">
        <f>IF(COUNTIFS(Factory_Components!$A$2:$A$61,VLOOKUP(A416,Runs!$A$2:$B$9,2,FALSE()),Factory_Components!$B$2:$B$61,"a",Factory_Components!$D$2:$D$61,F416)&gt;0,1,0)</f>
        <v>1</v>
      </c>
    </row>
    <row r="417" spans="1:7" ht="15" customHeight="1" x14ac:dyDescent="0.25">
      <c r="A417" t="s">
        <v>4</v>
      </c>
      <c r="B417" t="s">
        <v>688</v>
      </c>
      <c r="C417" t="s">
        <v>349</v>
      </c>
      <c r="D417" t="s">
        <v>936</v>
      </c>
      <c r="E417" t="str">
        <f t="shared" si="12"/>
        <v>RAX_HD</v>
      </c>
      <c r="F417" t="str">
        <f t="shared" si="13"/>
        <v>RAX_HD</v>
      </c>
      <c r="G417">
        <f>IF(COUNTIFS(Factory_Components!$A$2:$A$61,VLOOKUP(A417,Runs!$A$2:$B$9,2,FALSE()),Factory_Components!$B$2:$B$61,"a",Factory_Components!$D$2:$D$61,F417)&gt;0,1,0)</f>
        <v>0</v>
      </c>
    </row>
    <row r="418" spans="1:7" ht="15" customHeight="1" x14ac:dyDescent="0.25">
      <c r="A418" t="s">
        <v>4</v>
      </c>
      <c r="B418" t="s">
        <v>513</v>
      </c>
      <c r="C418" t="s">
        <v>355</v>
      </c>
      <c r="D418" t="s">
        <v>937</v>
      </c>
      <c r="E418" t="str">
        <f t="shared" si="12"/>
        <v>RT</v>
      </c>
      <c r="F418" t="str">
        <f t="shared" si="13"/>
        <v>RT</v>
      </c>
      <c r="G418">
        <f>IF(COUNTIFS(Factory_Components!$A$2:$A$61,VLOOKUP(A418,Runs!$A$2:$B$9,2,FALSE()),Factory_Components!$B$2:$B$61,"a",Factory_Components!$D$2:$D$61,F418)&gt;0,1,0)</f>
        <v>1</v>
      </c>
    </row>
    <row r="419" spans="1:7" ht="15" customHeight="1" x14ac:dyDescent="0.25">
      <c r="A419" t="s">
        <v>4</v>
      </c>
      <c r="B419" t="s">
        <v>811</v>
      </c>
      <c r="C419" t="s">
        <v>355</v>
      </c>
      <c r="D419" t="s">
        <v>938</v>
      </c>
      <c r="E419" t="str">
        <f t="shared" si="12"/>
        <v>FT</v>
      </c>
      <c r="F419" t="str">
        <f t="shared" si="13"/>
        <v>FT</v>
      </c>
      <c r="G419">
        <f>IF(COUNTIFS(Factory_Components!$A$2:$A$61,VLOOKUP(A419,Runs!$A$2:$B$9,2,FALSE()),Factory_Components!$B$2:$B$61,"a",Factory_Components!$D$2:$D$61,F419)&gt;0,1,0)</f>
        <v>1</v>
      </c>
    </row>
    <row r="420" spans="1:7" ht="15" customHeight="1" x14ac:dyDescent="0.25">
      <c r="A420" t="s">
        <v>4</v>
      </c>
      <c r="B420" t="s">
        <v>658</v>
      </c>
      <c r="C420" t="s">
        <v>349</v>
      </c>
      <c r="D420" t="s">
        <v>939</v>
      </c>
      <c r="E420" t="str">
        <f t="shared" si="12"/>
        <v>SSA</v>
      </c>
      <c r="F420" t="str">
        <f t="shared" si="13"/>
        <v>SSA</v>
      </c>
      <c r="G420">
        <f>IF(COUNTIFS(Factory_Components!$A$2:$A$61,VLOOKUP(A420,Runs!$A$2:$B$9,2,FALSE()),Factory_Components!$B$2:$B$61,"a",Factory_Components!$D$2:$D$61,F420)&gt;0,1,0)</f>
        <v>1</v>
      </c>
    </row>
    <row r="421" spans="1:7" ht="15" customHeight="1" x14ac:dyDescent="0.25">
      <c r="A421" t="s">
        <v>4</v>
      </c>
      <c r="B421" t="s">
        <v>813</v>
      </c>
      <c r="C421" t="s">
        <v>355</v>
      </c>
      <c r="D421" t="s">
        <v>940</v>
      </c>
      <c r="E421" t="str">
        <f t="shared" si="12"/>
        <v>FT</v>
      </c>
      <c r="F421" t="str">
        <f t="shared" si="13"/>
        <v>FT</v>
      </c>
      <c r="G421">
        <f>IF(COUNTIFS(Factory_Components!$A$2:$A$61,VLOOKUP(A421,Runs!$A$2:$B$9,2,FALSE()),Factory_Components!$B$2:$B$61,"a",Factory_Components!$D$2:$D$61,F421)&gt;0,1,0)</f>
        <v>1</v>
      </c>
    </row>
    <row r="422" spans="1:7" ht="15" customHeight="1" x14ac:dyDescent="0.25">
      <c r="A422" t="s">
        <v>4</v>
      </c>
      <c r="B422" t="s">
        <v>681</v>
      </c>
      <c r="C422" t="s">
        <v>357</v>
      </c>
      <c r="D422" t="s">
        <v>941</v>
      </c>
      <c r="E422" t="str">
        <f t="shared" si="12"/>
        <v>CHS</v>
      </c>
      <c r="F422" t="str">
        <f t="shared" si="13"/>
        <v>CHS</v>
      </c>
      <c r="G422">
        <f>IF(COUNTIFS(Factory_Components!$A$2:$A$61,VLOOKUP(A422,Runs!$A$2:$B$9,2,FALSE()),Factory_Components!$B$2:$B$61,"a",Factory_Components!$D$2:$D$61,F422)&gt;0,1,0)</f>
        <v>1</v>
      </c>
    </row>
    <row r="423" spans="1:7" ht="15" customHeight="1" x14ac:dyDescent="0.25">
      <c r="A423" t="s">
        <v>4</v>
      </c>
      <c r="B423" t="s">
        <v>665</v>
      </c>
      <c r="C423" t="s">
        <v>349</v>
      </c>
      <c r="D423" t="s">
        <v>942</v>
      </c>
      <c r="E423" t="str">
        <f t="shared" si="12"/>
        <v>SSA</v>
      </c>
      <c r="F423" t="str">
        <f t="shared" si="13"/>
        <v>SSA</v>
      </c>
      <c r="G423">
        <f>IF(COUNTIFS(Factory_Components!$A$2:$A$61,VLOOKUP(A423,Runs!$A$2:$B$9,2,FALSE()),Factory_Components!$B$2:$B$61,"a",Factory_Components!$D$2:$D$61,F423)&gt;0,1,0)</f>
        <v>1</v>
      </c>
    </row>
    <row r="424" spans="1:7" ht="15" customHeight="1" x14ac:dyDescent="0.25">
      <c r="A424" t="s">
        <v>4</v>
      </c>
      <c r="B424" t="s">
        <v>667</v>
      </c>
      <c r="C424" t="s">
        <v>349</v>
      </c>
      <c r="D424" t="s">
        <v>943</v>
      </c>
      <c r="E424" t="str">
        <f t="shared" si="12"/>
        <v>FAX</v>
      </c>
      <c r="F424" t="str">
        <f t="shared" si="13"/>
        <v>FAX</v>
      </c>
      <c r="G424">
        <f>IF(COUNTIFS(Factory_Components!$A$2:$A$61,VLOOKUP(A424,Runs!$A$2:$B$9,2,FALSE()),Factory_Components!$B$2:$B$61,"a",Factory_Components!$D$2:$D$61,F424)&gt;0,1,0)</f>
        <v>1</v>
      </c>
    </row>
    <row r="425" spans="1:7" ht="15" customHeight="1" x14ac:dyDescent="0.25">
      <c r="A425" t="s">
        <v>5</v>
      </c>
      <c r="B425" t="s">
        <v>377</v>
      </c>
      <c r="C425" t="s">
        <v>359</v>
      </c>
      <c r="D425" t="s">
        <v>944</v>
      </c>
      <c r="E425" t="str">
        <f t="shared" si="12"/>
        <v>BOSP</v>
      </c>
      <c r="F425" t="str">
        <f t="shared" si="13"/>
        <v>BOSP</v>
      </c>
      <c r="G425">
        <f>IF(COUNTIFS(Factory_Components!$A$2:$A$61,VLOOKUP(A425,Runs!$A$2:$B$9,2,FALSE()),Factory_Components!$B$2:$B$61,"a",Factory_Components!$D$2:$D$61,F425)&gt;0,1,0)</f>
        <v>1</v>
      </c>
    </row>
    <row r="426" spans="1:7" ht="15" customHeight="1" x14ac:dyDescent="0.25">
      <c r="A426" t="s">
        <v>5</v>
      </c>
      <c r="B426" t="s">
        <v>379</v>
      </c>
      <c r="C426" t="s">
        <v>359</v>
      </c>
      <c r="D426" t="s">
        <v>945</v>
      </c>
      <c r="E426" t="str">
        <f t="shared" si="12"/>
        <v>BOSP</v>
      </c>
      <c r="F426" t="str">
        <f t="shared" si="13"/>
        <v>BOSP</v>
      </c>
      <c r="G426">
        <f>IF(COUNTIFS(Factory_Components!$A$2:$A$61,VLOOKUP(A426,Runs!$A$2:$B$9,2,FALSE()),Factory_Components!$B$2:$B$61,"a",Factory_Components!$D$2:$D$61,F426)&gt;0,1,0)</f>
        <v>1</v>
      </c>
    </row>
    <row r="427" spans="1:7" ht="15" customHeight="1" x14ac:dyDescent="0.25">
      <c r="A427" t="s">
        <v>5</v>
      </c>
      <c r="B427" t="s">
        <v>385</v>
      </c>
      <c r="C427" t="s">
        <v>360</v>
      </c>
      <c r="D427" t="s">
        <v>946</v>
      </c>
      <c r="E427" t="str">
        <f t="shared" si="12"/>
        <v>BOSP</v>
      </c>
      <c r="F427" t="str">
        <f t="shared" si="13"/>
        <v>BOSP</v>
      </c>
      <c r="G427">
        <f>IF(COUNTIFS(Factory_Components!$A$2:$A$61,VLOOKUP(A427,Runs!$A$2:$B$9,2,FALSE()),Factory_Components!$B$2:$B$61,"a",Factory_Components!$D$2:$D$61,F427)&gt;0,1,0)</f>
        <v>1</v>
      </c>
    </row>
    <row r="428" spans="1:7" ht="15" customHeight="1" x14ac:dyDescent="0.25">
      <c r="A428" t="s">
        <v>5</v>
      </c>
      <c r="B428" t="s">
        <v>538</v>
      </c>
      <c r="C428" t="s">
        <v>359</v>
      </c>
      <c r="D428" t="s">
        <v>947</v>
      </c>
      <c r="E428" t="str">
        <f t="shared" si="12"/>
        <v>BAT</v>
      </c>
      <c r="F428" t="str">
        <f t="shared" si="13"/>
        <v>BAT</v>
      </c>
      <c r="G428">
        <f>IF(COUNTIFS(Factory_Components!$A$2:$A$61,VLOOKUP(A428,Runs!$A$2:$B$9,2,FALSE()),Factory_Components!$B$2:$B$61,"a",Factory_Components!$D$2:$D$61,F428)&gt;0,1,0)</f>
        <v>1</v>
      </c>
    </row>
    <row r="429" spans="1:7" ht="15" customHeight="1" x14ac:dyDescent="0.25">
      <c r="A429" t="s">
        <v>5</v>
      </c>
      <c r="B429" t="s">
        <v>387</v>
      </c>
      <c r="C429" t="s">
        <v>360</v>
      </c>
      <c r="D429" t="s">
        <v>948</v>
      </c>
      <c r="E429" t="str">
        <f t="shared" si="12"/>
        <v>BOSP</v>
      </c>
      <c r="F429" t="str">
        <f t="shared" si="13"/>
        <v>BOSP</v>
      </c>
      <c r="G429">
        <f>IF(COUNTIFS(Factory_Components!$A$2:$A$61,VLOOKUP(A429,Runs!$A$2:$B$9,2,FALSE()),Factory_Components!$B$2:$B$61,"a",Factory_Components!$D$2:$D$61,F429)&gt;0,1,0)</f>
        <v>1</v>
      </c>
    </row>
    <row r="430" spans="1:7" ht="15" customHeight="1" x14ac:dyDescent="0.25">
      <c r="A430" t="s">
        <v>5</v>
      </c>
      <c r="B430" t="s">
        <v>381</v>
      </c>
      <c r="C430" t="s">
        <v>359</v>
      </c>
      <c r="D430" t="s">
        <v>949</v>
      </c>
      <c r="E430" t="str">
        <f t="shared" si="12"/>
        <v>RT</v>
      </c>
      <c r="F430" t="str">
        <f t="shared" si="13"/>
        <v>RT</v>
      </c>
      <c r="G430">
        <f>IF(COUNTIFS(Factory_Components!$A$2:$A$61,VLOOKUP(A430,Runs!$A$2:$B$9,2,FALSE()),Factory_Components!$B$2:$B$61,"a",Factory_Components!$D$2:$D$61,F430)&gt;0,1,0)</f>
        <v>1</v>
      </c>
    </row>
    <row r="431" spans="1:7" ht="15" customHeight="1" x14ac:dyDescent="0.25">
      <c r="A431" t="s">
        <v>5</v>
      </c>
      <c r="B431" t="s">
        <v>543</v>
      </c>
      <c r="C431" t="s">
        <v>360</v>
      </c>
      <c r="D431" t="s">
        <v>950</v>
      </c>
      <c r="E431" t="str">
        <f t="shared" si="12"/>
        <v>BAT</v>
      </c>
      <c r="F431" t="str">
        <f t="shared" si="13"/>
        <v>BAT</v>
      </c>
      <c r="G431">
        <f>IF(COUNTIFS(Factory_Components!$A$2:$A$61,VLOOKUP(A431,Runs!$A$2:$B$9,2,FALSE()),Factory_Components!$B$2:$B$61,"a",Factory_Components!$D$2:$D$61,F431)&gt;0,1,0)</f>
        <v>1</v>
      </c>
    </row>
    <row r="432" spans="1:7" ht="15" customHeight="1" x14ac:dyDescent="0.25">
      <c r="A432" t="s">
        <v>5</v>
      </c>
      <c r="B432" t="s">
        <v>383</v>
      </c>
      <c r="C432" t="s">
        <v>359</v>
      </c>
      <c r="D432" t="s">
        <v>951</v>
      </c>
      <c r="E432" t="str">
        <f t="shared" si="12"/>
        <v>RT</v>
      </c>
      <c r="F432" t="str">
        <f t="shared" si="13"/>
        <v>RT</v>
      </c>
      <c r="G432">
        <f>IF(COUNTIFS(Factory_Components!$A$2:$A$61,VLOOKUP(A432,Runs!$A$2:$B$9,2,FALSE()),Factory_Components!$B$2:$B$61,"a",Factory_Components!$D$2:$D$61,F432)&gt;0,1,0)</f>
        <v>1</v>
      </c>
    </row>
    <row r="433" spans="1:7" ht="15" customHeight="1" x14ac:dyDescent="0.25">
      <c r="A433" t="s">
        <v>5</v>
      </c>
      <c r="B433" t="s">
        <v>389</v>
      </c>
      <c r="C433" t="s">
        <v>360</v>
      </c>
      <c r="D433" t="s">
        <v>952</v>
      </c>
      <c r="E433" t="str">
        <f t="shared" si="12"/>
        <v>RT</v>
      </c>
      <c r="F433" t="str">
        <f t="shared" si="13"/>
        <v>RT</v>
      </c>
      <c r="G433">
        <f>IF(COUNTIFS(Factory_Components!$A$2:$A$61,VLOOKUP(A433,Runs!$A$2:$B$9,2,FALSE()),Factory_Components!$B$2:$B$61,"a",Factory_Components!$D$2:$D$61,F433)&gt;0,1,0)</f>
        <v>1</v>
      </c>
    </row>
    <row r="434" spans="1:7" ht="15" customHeight="1" x14ac:dyDescent="0.25">
      <c r="A434" t="s">
        <v>5</v>
      </c>
      <c r="B434" t="s">
        <v>550</v>
      </c>
      <c r="C434" t="s">
        <v>359</v>
      </c>
      <c r="D434" t="s">
        <v>953</v>
      </c>
      <c r="E434" t="str">
        <f t="shared" si="12"/>
        <v>FT</v>
      </c>
      <c r="F434" t="str">
        <f t="shared" si="13"/>
        <v>FT</v>
      </c>
      <c r="G434">
        <f>IF(COUNTIFS(Factory_Components!$A$2:$A$61,VLOOKUP(A434,Runs!$A$2:$B$9,2,FALSE()),Factory_Components!$B$2:$B$61,"a",Factory_Components!$D$2:$D$61,F434)&gt;0,1,0)</f>
        <v>1</v>
      </c>
    </row>
    <row r="435" spans="1:7" ht="15" customHeight="1" x14ac:dyDescent="0.25">
      <c r="A435" t="s">
        <v>5</v>
      </c>
      <c r="B435" t="s">
        <v>393</v>
      </c>
      <c r="C435" t="s">
        <v>360</v>
      </c>
      <c r="D435" t="s">
        <v>954</v>
      </c>
      <c r="E435" t="str">
        <f t="shared" si="12"/>
        <v>RT</v>
      </c>
      <c r="F435" t="str">
        <f t="shared" si="13"/>
        <v>RT</v>
      </c>
      <c r="G435">
        <f>IF(COUNTIFS(Factory_Components!$A$2:$A$61,VLOOKUP(A435,Runs!$A$2:$B$9,2,FALSE()),Factory_Components!$B$2:$B$61,"a",Factory_Components!$D$2:$D$61,F435)&gt;0,1,0)</f>
        <v>1</v>
      </c>
    </row>
    <row r="436" spans="1:7" ht="15" customHeight="1" x14ac:dyDescent="0.25">
      <c r="A436" t="s">
        <v>5</v>
      </c>
      <c r="B436" t="s">
        <v>555</v>
      </c>
      <c r="C436" t="s">
        <v>359</v>
      </c>
      <c r="D436" t="s">
        <v>955</v>
      </c>
      <c r="E436" t="str">
        <f t="shared" si="12"/>
        <v>FT</v>
      </c>
      <c r="F436" t="str">
        <f t="shared" si="13"/>
        <v>FT</v>
      </c>
      <c r="G436">
        <f>IF(COUNTIFS(Factory_Components!$A$2:$A$61,VLOOKUP(A436,Runs!$A$2:$B$9,2,FALSE()),Factory_Components!$B$2:$B$61,"a",Factory_Components!$D$2:$D$61,F436)&gt;0,1,0)</f>
        <v>1</v>
      </c>
    </row>
    <row r="437" spans="1:7" ht="15" customHeight="1" x14ac:dyDescent="0.25">
      <c r="A437" t="s">
        <v>5</v>
      </c>
      <c r="B437" t="s">
        <v>557</v>
      </c>
      <c r="C437" t="s">
        <v>360</v>
      </c>
      <c r="D437" t="s">
        <v>956</v>
      </c>
      <c r="E437" t="str">
        <f t="shared" si="12"/>
        <v>FT</v>
      </c>
      <c r="F437" t="str">
        <f t="shared" si="13"/>
        <v>FT</v>
      </c>
      <c r="G437">
        <f>IF(COUNTIFS(Factory_Components!$A$2:$A$61,VLOOKUP(A437,Runs!$A$2:$B$9,2,FALSE()),Factory_Components!$B$2:$B$61,"a",Factory_Components!$D$2:$D$61,F437)&gt;0,1,0)</f>
        <v>1</v>
      </c>
    </row>
    <row r="438" spans="1:7" ht="15" customHeight="1" x14ac:dyDescent="0.25">
      <c r="A438" t="s">
        <v>5</v>
      </c>
      <c r="B438" t="s">
        <v>395</v>
      </c>
      <c r="C438" t="s">
        <v>359</v>
      </c>
      <c r="D438" t="s">
        <v>957</v>
      </c>
      <c r="E438" t="str">
        <f t="shared" si="12"/>
        <v>BOSP</v>
      </c>
      <c r="F438" t="str">
        <f t="shared" si="13"/>
        <v>BOSP</v>
      </c>
      <c r="G438">
        <f>IF(COUNTIFS(Factory_Components!$A$2:$A$61,VLOOKUP(A438,Runs!$A$2:$B$9,2,FALSE()),Factory_Components!$B$2:$B$61,"a",Factory_Components!$D$2:$D$61,F438)&gt;0,1,0)</f>
        <v>1</v>
      </c>
    </row>
    <row r="439" spans="1:7" ht="15" customHeight="1" x14ac:dyDescent="0.25">
      <c r="A439" t="s">
        <v>5</v>
      </c>
      <c r="B439" t="s">
        <v>561</v>
      </c>
      <c r="C439" t="s">
        <v>360</v>
      </c>
      <c r="D439" t="s">
        <v>958</v>
      </c>
      <c r="E439" t="str">
        <f t="shared" si="12"/>
        <v>FT</v>
      </c>
      <c r="F439" t="str">
        <f t="shared" si="13"/>
        <v>FT</v>
      </c>
      <c r="G439">
        <f>IF(COUNTIFS(Factory_Components!$A$2:$A$61,VLOOKUP(A439,Runs!$A$2:$B$9,2,FALSE()),Factory_Components!$B$2:$B$61,"a",Factory_Components!$D$2:$D$61,F439)&gt;0,1,0)</f>
        <v>1</v>
      </c>
    </row>
    <row r="440" spans="1:7" ht="15" customHeight="1" x14ac:dyDescent="0.25">
      <c r="A440" t="s">
        <v>5</v>
      </c>
      <c r="B440" t="s">
        <v>399</v>
      </c>
      <c r="C440" t="s">
        <v>359</v>
      </c>
      <c r="D440" t="s">
        <v>959</v>
      </c>
      <c r="E440" t="str">
        <f t="shared" si="12"/>
        <v>BOSP</v>
      </c>
      <c r="F440" t="str">
        <f t="shared" si="13"/>
        <v>BOSP</v>
      </c>
      <c r="G440">
        <f>IF(COUNTIFS(Factory_Components!$A$2:$A$61,VLOOKUP(A440,Runs!$A$2:$B$9,2,FALSE()),Factory_Components!$B$2:$B$61,"a",Factory_Components!$D$2:$D$61,F440)&gt;0,1,0)</f>
        <v>1</v>
      </c>
    </row>
    <row r="441" spans="1:7" ht="15" customHeight="1" x14ac:dyDescent="0.25">
      <c r="A441" t="s">
        <v>5</v>
      </c>
      <c r="B441" t="s">
        <v>411</v>
      </c>
      <c r="C441" t="s">
        <v>360</v>
      </c>
      <c r="D441" t="s">
        <v>960</v>
      </c>
      <c r="E441" t="str">
        <f t="shared" si="12"/>
        <v>BOSP</v>
      </c>
      <c r="F441" t="str">
        <f t="shared" si="13"/>
        <v>BOSP</v>
      </c>
      <c r="G441">
        <f>IF(COUNTIFS(Factory_Components!$A$2:$A$61,VLOOKUP(A441,Runs!$A$2:$B$9,2,FALSE()),Factory_Components!$B$2:$B$61,"a",Factory_Components!$D$2:$D$61,F441)&gt;0,1,0)</f>
        <v>1</v>
      </c>
    </row>
    <row r="442" spans="1:7" ht="15" customHeight="1" x14ac:dyDescent="0.25">
      <c r="A442" t="s">
        <v>5</v>
      </c>
      <c r="B442" t="s">
        <v>548</v>
      </c>
      <c r="C442" t="s">
        <v>359</v>
      </c>
      <c r="D442" t="s">
        <v>961</v>
      </c>
      <c r="E442" t="str">
        <f t="shared" si="12"/>
        <v>BAT</v>
      </c>
      <c r="F442" t="str">
        <f t="shared" si="13"/>
        <v>BAT</v>
      </c>
      <c r="G442">
        <f>IF(COUNTIFS(Factory_Components!$A$2:$A$61,VLOOKUP(A442,Runs!$A$2:$B$9,2,FALSE()),Factory_Components!$B$2:$B$61,"a",Factory_Components!$D$2:$D$61,F442)&gt;0,1,0)</f>
        <v>1</v>
      </c>
    </row>
    <row r="443" spans="1:7" ht="15" customHeight="1" x14ac:dyDescent="0.25">
      <c r="A443" t="s">
        <v>5</v>
      </c>
      <c r="B443" t="s">
        <v>413</v>
      </c>
      <c r="C443" t="s">
        <v>360</v>
      </c>
      <c r="D443" t="s">
        <v>962</v>
      </c>
      <c r="E443" t="str">
        <f t="shared" si="12"/>
        <v>BOSP</v>
      </c>
      <c r="F443" t="str">
        <f t="shared" si="13"/>
        <v>BOSP</v>
      </c>
      <c r="G443">
        <f>IF(COUNTIFS(Factory_Components!$A$2:$A$61,VLOOKUP(A443,Runs!$A$2:$B$9,2,FALSE()),Factory_Components!$B$2:$B$61,"a",Factory_Components!$D$2:$D$61,F443)&gt;0,1,0)</f>
        <v>1</v>
      </c>
    </row>
    <row r="444" spans="1:7" ht="15" customHeight="1" x14ac:dyDescent="0.25">
      <c r="A444" t="s">
        <v>5</v>
      </c>
      <c r="B444" t="s">
        <v>401</v>
      </c>
      <c r="C444" t="s">
        <v>359</v>
      </c>
      <c r="D444" t="s">
        <v>963</v>
      </c>
      <c r="E444" t="str">
        <f t="shared" si="12"/>
        <v>RT</v>
      </c>
      <c r="F444" t="str">
        <f t="shared" si="13"/>
        <v>RT</v>
      </c>
      <c r="G444">
        <f>IF(COUNTIFS(Factory_Components!$A$2:$A$61,VLOOKUP(A444,Runs!$A$2:$B$9,2,FALSE()),Factory_Components!$B$2:$B$61,"a",Factory_Components!$D$2:$D$61,F444)&gt;0,1,0)</f>
        <v>1</v>
      </c>
    </row>
    <row r="445" spans="1:7" ht="15" customHeight="1" x14ac:dyDescent="0.25">
      <c r="A445" t="s">
        <v>5</v>
      </c>
      <c r="B445" t="s">
        <v>423</v>
      </c>
      <c r="C445" t="s">
        <v>360</v>
      </c>
      <c r="D445" t="s">
        <v>964</v>
      </c>
      <c r="E445" t="str">
        <f t="shared" si="12"/>
        <v>BAT</v>
      </c>
      <c r="F445" t="str">
        <f t="shared" si="13"/>
        <v>BAT</v>
      </c>
      <c r="G445">
        <f>IF(COUNTIFS(Factory_Components!$A$2:$A$61,VLOOKUP(A445,Runs!$A$2:$B$9,2,FALSE()),Factory_Components!$B$2:$B$61,"a",Factory_Components!$D$2:$D$61,F445)&gt;0,1,0)</f>
        <v>1</v>
      </c>
    </row>
    <row r="446" spans="1:7" ht="15" customHeight="1" x14ac:dyDescent="0.25">
      <c r="A446" t="s">
        <v>5</v>
      </c>
      <c r="B446" t="s">
        <v>409</v>
      </c>
      <c r="C446" t="s">
        <v>359</v>
      </c>
      <c r="D446" t="s">
        <v>965</v>
      </c>
      <c r="E446" t="str">
        <f t="shared" si="12"/>
        <v>RT</v>
      </c>
      <c r="F446" t="str">
        <f t="shared" si="13"/>
        <v>RT</v>
      </c>
      <c r="G446">
        <f>IF(COUNTIFS(Factory_Components!$A$2:$A$61,VLOOKUP(A446,Runs!$A$2:$B$9,2,FALSE()),Factory_Components!$B$2:$B$61,"a",Factory_Components!$D$2:$D$61,F446)&gt;0,1,0)</f>
        <v>1</v>
      </c>
    </row>
    <row r="447" spans="1:7" ht="15" customHeight="1" x14ac:dyDescent="0.25">
      <c r="A447" t="s">
        <v>5</v>
      </c>
      <c r="B447" t="s">
        <v>570</v>
      </c>
      <c r="C447" t="s">
        <v>361</v>
      </c>
      <c r="D447" t="s">
        <v>966</v>
      </c>
      <c r="E447" t="str">
        <f t="shared" si="12"/>
        <v>SSA</v>
      </c>
      <c r="F447" t="str">
        <f t="shared" si="13"/>
        <v>SSA</v>
      </c>
      <c r="G447">
        <f>IF(COUNTIFS(Factory_Components!$A$2:$A$61,VLOOKUP(A447,Runs!$A$2:$B$9,2,FALSE()),Factory_Components!$B$2:$B$61,"a",Factory_Components!$D$2:$D$61,F447)&gt;0,1,0)</f>
        <v>1</v>
      </c>
    </row>
    <row r="448" spans="1:7" ht="15" customHeight="1" x14ac:dyDescent="0.25">
      <c r="A448" t="s">
        <v>5</v>
      </c>
      <c r="B448" t="s">
        <v>427</v>
      </c>
      <c r="C448" t="s">
        <v>360</v>
      </c>
      <c r="D448" t="s">
        <v>967</v>
      </c>
      <c r="E448" t="str">
        <f t="shared" si="12"/>
        <v>RT</v>
      </c>
      <c r="F448" t="str">
        <f t="shared" si="13"/>
        <v>RT</v>
      </c>
      <c r="G448">
        <f>IF(COUNTIFS(Factory_Components!$A$2:$A$61,VLOOKUP(A448,Runs!$A$2:$B$9,2,FALSE()),Factory_Components!$B$2:$B$61,"a",Factory_Components!$D$2:$D$61,F448)&gt;0,1,0)</f>
        <v>1</v>
      </c>
    </row>
    <row r="449" spans="1:7" ht="15" customHeight="1" x14ac:dyDescent="0.25">
      <c r="A449" t="s">
        <v>5</v>
      </c>
      <c r="B449" t="s">
        <v>563</v>
      </c>
      <c r="C449" t="s">
        <v>359</v>
      </c>
      <c r="D449" t="s">
        <v>968</v>
      </c>
      <c r="E449" t="str">
        <f t="shared" si="12"/>
        <v>FT</v>
      </c>
      <c r="F449" t="str">
        <f t="shared" si="13"/>
        <v>FT</v>
      </c>
      <c r="G449">
        <f>IF(COUNTIFS(Factory_Components!$A$2:$A$61,VLOOKUP(A449,Runs!$A$2:$B$9,2,FALSE()),Factory_Components!$B$2:$B$61,"a",Factory_Components!$D$2:$D$61,F449)&gt;0,1,0)</f>
        <v>1</v>
      </c>
    </row>
    <row r="450" spans="1:7" ht="15" customHeight="1" x14ac:dyDescent="0.25">
      <c r="A450" t="s">
        <v>5</v>
      </c>
      <c r="B450" t="s">
        <v>429</v>
      </c>
      <c r="C450" t="s">
        <v>360</v>
      </c>
      <c r="D450" t="s">
        <v>969</v>
      </c>
      <c r="E450" t="str">
        <f t="shared" ref="E450:E513" si="14">IF(ISNUMBER(--RIGHT(B450,1)),MID(B450,10,LEN(B450)-11),MID(B450,10,100))</f>
        <v>RT</v>
      </c>
      <c r="F450" t="str">
        <f t="shared" ref="F450:F513" si="15">IF(E450="CORE","CHS",E450)</f>
        <v>RT</v>
      </c>
      <c r="G450">
        <f>IF(COUNTIFS(Factory_Components!$A$2:$A$61,VLOOKUP(A450,Runs!$A$2:$B$9,2,FALSE()),Factory_Components!$B$2:$B$61,"a",Factory_Components!$D$2:$D$61,F450)&gt;0,1,0)</f>
        <v>1</v>
      </c>
    </row>
    <row r="451" spans="1:7" ht="15" customHeight="1" x14ac:dyDescent="0.25">
      <c r="A451" t="s">
        <v>5</v>
      </c>
      <c r="B451" t="s">
        <v>574</v>
      </c>
      <c r="C451" t="s">
        <v>361</v>
      </c>
      <c r="D451" t="s">
        <v>970</v>
      </c>
      <c r="E451" t="str">
        <f t="shared" si="14"/>
        <v>SSA</v>
      </c>
      <c r="F451" t="str">
        <f t="shared" si="15"/>
        <v>SSA</v>
      </c>
      <c r="G451">
        <f>IF(COUNTIFS(Factory_Components!$A$2:$A$61,VLOOKUP(A451,Runs!$A$2:$B$9,2,FALSE()),Factory_Components!$B$2:$B$61,"a",Factory_Components!$D$2:$D$61,F451)&gt;0,1,0)</f>
        <v>1</v>
      </c>
    </row>
    <row r="452" spans="1:7" ht="15" customHeight="1" x14ac:dyDescent="0.25">
      <c r="A452" t="s">
        <v>5</v>
      </c>
      <c r="B452" t="s">
        <v>576</v>
      </c>
      <c r="C452" t="s">
        <v>361</v>
      </c>
      <c r="D452" t="s">
        <v>971</v>
      </c>
      <c r="E452" t="str">
        <f t="shared" si="14"/>
        <v>FAX</v>
      </c>
      <c r="F452" t="str">
        <f t="shared" si="15"/>
        <v>FAX</v>
      </c>
      <c r="G452">
        <f>IF(COUNTIFS(Factory_Components!$A$2:$A$61,VLOOKUP(A452,Runs!$A$2:$B$9,2,FALSE()),Factory_Components!$B$2:$B$61,"a",Factory_Components!$D$2:$D$61,F452)&gt;0,1,0)</f>
        <v>1</v>
      </c>
    </row>
    <row r="453" spans="1:7" ht="15" customHeight="1" x14ac:dyDescent="0.25">
      <c r="A453" t="s">
        <v>5</v>
      </c>
      <c r="B453" t="s">
        <v>572</v>
      </c>
      <c r="C453" t="s">
        <v>362</v>
      </c>
      <c r="D453" t="s">
        <v>972</v>
      </c>
      <c r="E453" t="str">
        <f t="shared" si="14"/>
        <v>SSA</v>
      </c>
      <c r="F453" t="str">
        <f t="shared" si="15"/>
        <v>SSA</v>
      </c>
      <c r="G453">
        <f>IF(COUNTIFS(Factory_Components!$A$2:$A$61,VLOOKUP(A453,Runs!$A$2:$B$9,2,FALSE()),Factory_Components!$B$2:$B$61,"a",Factory_Components!$D$2:$D$61,F453)&gt;0,1,0)</f>
        <v>1</v>
      </c>
    </row>
    <row r="454" spans="1:7" ht="15" customHeight="1" x14ac:dyDescent="0.25">
      <c r="A454" t="s">
        <v>5</v>
      </c>
      <c r="B454" t="s">
        <v>566</v>
      </c>
      <c r="C454" t="s">
        <v>359</v>
      </c>
      <c r="D454" t="s">
        <v>973</v>
      </c>
      <c r="E454" t="str">
        <f t="shared" si="14"/>
        <v>FT</v>
      </c>
      <c r="F454" t="str">
        <f t="shared" si="15"/>
        <v>FT</v>
      </c>
      <c r="G454">
        <f>IF(COUNTIFS(Factory_Components!$A$2:$A$61,VLOOKUP(A454,Runs!$A$2:$B$9,2,FALSE()),Factory_Components!$B$2:$B$61,"a",Factory_Components!$D$2:$D$61,F454)&gt;0,1,0)</f>
        <v>1</v>
      </c>
    </row>
    <row r="455" spans="1:7" ht="15" customHeight="1" x14ac:dyDescent="0.25">
      <c r="A455" t="s">
        <v>5</v>
      </c>
      <c r="B455" t="s">
        <v>435</v>
      </c>
      <c r="C455" t="s">
        <v>360</v>
      </c>
      <c r="D455" t="s">
        <v>974</v>
      </c>
      <c r="E455" t="str">
        <f t="shared" si="14"/>
        <v>FT</v>
      </c>
      <c r="F455" t="str">
        <f t="shared" si="15"/>
        <v>FT</v>
      </c>
      <c r="G455">
        <f>IF(COUNTIFS(Factory_Components!$A$2:$A$61,VLOOKUP(A455,Runs!$A$2:$B$9,2,FALSE()),Factory_Components!$B$2:$B$61,"a",Factory_Components!$D$2:$D$61,F455)&gt;0,1,0)</f>
        <v>1</v>
      </c>
    </row>
    <row r="456" spans="1:7" ht="15" customHeight="1" x14ac:dyDescent="0.25">
      <c r="A456" t="s">
        <v>5</v>
      </c>
      <c r="B456" t="s">
        <v>580</v>
      </c>
      <c r="C456" t="s">
        <v>362</v>
      </c>
      <c r="D456" t="s">
        <v>975</v>
      </c>
      <c r="E456" t="str">
        <f t="shared" si="14"/>
        <v>SSA</v>
      </c>
      <c r="F456" t="str">
        <f t="shared" si="15"/>
        <v>SSA</v>
      </c>
      <c r="G456">
        <f>IF(COUNTIFS(Factory_Components!$A$2:$A$61,VLOOKUP(A456,Runs!$A$2:$B$9,2,FALSE()),Factory_Components!$B$2:$B$61,"a",Factory_Components!$D$2:$D$61,F456)&gt;0,1,0)</f>
        <v>1</v>
      </c>
    </row>
    <row r="457" spans="1:7" ht="15" customHeight="1" x14ac:dyDescent="0.25">
      <c r="A457" t="s">
        <v>5</v>
      </c>
      <c r="B457" t="s">
        <v>582</v>
      </c>
      <c r="C457" t="s">
        <v>362</v>
      </c>
      <c r="D457" t="s">
        <v>976</v>
      </c>
      <c r="E457" t="str">
        <f t="shared" si="14"/>
        <v>FAX</v>
      </c>
      <c r="F457" t="str">
        <f t="shared" si="15"/>
        <v>FAX</v>
      </c>
      <c r="G457">
        <f>IF(COUNTIFS(Factory_Components!$A$2:$A$61,VLOOKUP(A457,Runs!$A$2:$B$9,2,FALSE()),Factory_Components!$B$2:$B$61,"a",Factory_Components!$D$2:$D$61,F457)&gt;0,1,0)</f>
        <v>1</v>
      </c>
    </row>
    <row r="458" spans="1:7" ht="15" customHeight="1" x14ac:dyDescent="0.25">
      <c r="A458" t="s">
        <v>5</v>
      </c>
      <c r="B458" t="s">
        <v>608</v>
      </c>
      <c r="C458" t="s">
        <v>359</v>
      </c>
      <c r="D458" t="s">
        <v>977</v>
      </c>
      <c r="E458" t="str">
        <f t="shared" si="14"/>
        <v>BOSP</v>
      </c>
      <c r="F458" t="str">
        <f t="shared" si="15"/>
        <v>BOSP</v>
      </c>
      <c r="G458">
        <f>IF(COUNTIFS(Factory_Components!$A$2:$A$61,VLOOKUP(A458,Runs!$A$2:$B$9,2,FALSE()),Factory_Components!$B$2:$B$61,"a",Factory_Components!$D$2:$D$61,F458)&gt;0,1,0)</f>
        <v>1</v>
      </c>
    </row>
    <row r="459" spans="1:7" ht="15" customHeight="1" x14ac:dyDescent="0.25">
      <c r="A459" t="s">
        <v>5</v>
      </c>
      <c r="B459" t="s">
        <v>437</v>
      </c>
      <c r="C459" t="s">
        <v>360</v>
      </c>
      <c r="D459" t="s">
        <v>978</v>
      </c>
      <c r="E459" t="str">
        <f t="shared" si="14"/>
        <v>FT</v>
      </c>
      <c r="F459" t="str">
        <f t="shared" si="15"/>
        <v>FT</v>
      </c>
      <c r="G459">
        <f>IF(COUNTIFS(Factory_Components!$A$2:$A$61,VLOOKUP(A459,Runs!$A$2:$B$9,2,FALSE()),Factory_Components!$B$2:$B$61,"a",Factory_Components!$D$2:$D$61,F459)&gt;0,1,0)</f>
        <v>1</v>
      </c>
    </row>
    <row r="460" spans="1:7" ht="15" customHeight="1" x14ac:dyDescent="0.25">
      <c r="A460" t="s">
        <v>5</v>
      </c>
      <c r="B460" t="s">
        <v>613</v>
      </c>
      <c r="C460" t="s">
        <v>359</v>
      </c>
      <c r="D460" t="s">
        <v>979</v>
      </c>
      <c r="E460" t="str">
        <f t="shared" si="14"/>
        <v>BOSP</v>
      </c>
      <c r="F460" t="str">
        <f t="shared" si="15"/>
        <v>BOSP</v>
      </c>
      <c r="G460">
        <f>IF(COUNTIFS(Factory_Components!$A$2:$A$61,VLOOKUP(A460,Runs!$A$2:$B$9,2,FALSE()),Factory_Components!$B$2:$B$61,"a",Factory_Components!$D$2:$D$61,F460)&gt;0,1,0)</f>
        <v>1</v>
      </c>
    </row>
    <row r="461" spans="1:7" ht="15" customHeight="1" x14ac:dyDescent="0.25">
      <c r="A461" t="s">
        <v>5</v>
      </c>
      <c r="B461" t="s">
        <v>590</v>
      </c>
      <c r="C461" t="s">
        <v>361</v>
      </c>
      <c r="D461" t="s">
        <v>980</v>
      </c>
      <c r="E461" t="str">
        <f t="shared" si="14"/>
        <v>CHS</v>
      </c>
      <c r="F461" t="str">
        <f t="shared" si="15"/>
        <v>CHS</v>
      </c>
      <c r="G461">
        <f>IF(COUNTIFS(Factory_Components!$A$2:$A$61,VLOOKUP(A461,Runs!$A$2:$B$9,2,FALSE()),Factory_Components!$B$2:$B$61,"a",Factory_Components!$D$2:$D$61,F461)&gt;0,1,0)</f>
        <v>1</v>
      </c>
    </row>
    <row r="462" spans="1:7" ht="15" customHeight="1" x14ac:dyDescent="0.25">
      <c r="A462" t="s">
        <v>5</v>
      </c>
      <c r="B462" t="s">
        <v>449</v>
      </c>
      <c r="C462" t="s">
        <v>360</v>
      </c>
      <c r="D462" t="s">
        <v>981</v>
      </c>
      <c r="E462" t="str">
        <f t="shared" si="14"/>
        <v>BOSP</v>
      </c>
      <c r="F462" t="str">
        <f t="shared" si="15"/>
        <v>BOSP</v>
      </c>
      <c r="G462">
        <f>IF(COUNTIFS(Factory_Components!$A$2:$A$61,VLOOKUP(A462,Runs!$A$2:$B$9,2,FALSE()),Factory_Components!$B$2:$B$61,"a",Factory_Components!$D$2:$D$61,F462)&gt;0,1,0)</f>
        <v>1</v>
      </c>
    </row>
    <row r="463" spans="1:7" ht="15" customHeight="1" x14ac:dyDescent="0.25">
      <c r="A463" t="s">
        <v>5</v>
      </c>
      <c r="B463" t="s">
        <v>627</v>
      </c>
      <c r="C463" t="s">
        <v>359</v>
      </c>
      <c r="D463" t="s">
        <v>982</v>
      </c>
      <c r="E463" t="str">
        <f t="shared" si="14"/>
        <v>BAT</v>
      </c>
      <c r="F463" t="str">
        <f t="shared" si="15"/>
        <v>BAT</v>
      </c>
      <c r="G463">
        <f>IF(COUNTIFS(Factory_Components!$A$2:$A$61,VLOOKUP(A463,Runs!$A$2:$B$9,2,FALSE()),Factory_Components!$B$2:$B$61,"a",Factory_Components!$D$2:$D$61,F463)&gt;0,1,0)</f>
        <v>1</v>
      </c>
    </row>
    <row r="464" spans="1:7" ht="15" customHeight="1" x14ac:dyDescent="0.25">
      <c r="A464" t="s">
        <v>5</v>
      </c>
      <c r="B464" t="s">
        <v>451</v>
      </c>
      <c r="C464" t="s">
        <v>360</v>
      </c>
      <c r="D464" t="s">
        <v>983</v>
      </c>
      <c r="E464" t="str">
        <f t="shared" si="14"/>
        <v>BOSP</v>
      </c>
      <c r="F464" t="str">
        <f t="shared" si="15"/>
        <v>BOSP</v>
      </c>
      <c r="G464">
        <f>IF(COUNTIFS(Factory_Components!$A$2:$A$61,VLOOKUP(A464,Runs!$A$2:$B$9,2,FALSE()),Factory_Components!$B$2:$B$61,"a",Factory_Components!$D$2:$D$61,F464)&gt;0,1,0)</f>
        <v>1</v>
      </c>
    </row>
    <row r="465" spans="1:7" ht="15" customHeight="1" x14ac:dyDescent="0.25">
      <c r="A465" t="s">
        <v>5</v>
      </c>
      <c r="B465" t="s">
        <v>397</v>
      </c>
      <c r="C465" t="s">
        <v>361</v>
      </c>
      <c r="D465" t="s">
        <v>984</v>
      </c>
      <c r="E465" t="str">
        <f t="shared" si="14"/>
        <v>BSA</v>
      </c>
      <c r="F465" t="str">
        <f t="shared" si="15"/>
        <v>BSA</v>
      </c>
      <c r="G465">
        <f>IF(COUNTIFS(Factory_Components!$A$2:$A$61,VLOOKUP(A465,Runs!$A$2:$B$9,2,FALSE()),Factory_Components!$B$2:$B$61,"a",Factory_Components!$D$2:$D$61,F465)&gt;0,1,0)</f>
        <v>1</v>
      </c>
    </row>
    <row r="466" spans="1:7" ht="15" customHeight="1" x14ac:dyDescent="0.25">
      <c r="A466" t="s">
        <v>5</v>
      </c>
      <c r="B466" t="s">
        <v>596</v>
      </c>
      <c r="C466" t="s">
        <v>362</v>
      </c>
      <c r="D466" t="s">
        <v>985</v>
      </c>
      <c r="E466" t="str">
        <f t="shared" si="14"/>
        <v>CHS</v>
      </c>
      <c r="F466" t="str">
        <f t="shared" si="15"/>
        <v>CHS</v>
      </c>
      <c r="G466">
        <f>IF(COUNTIFS(Factory_Components!$A$2:$A$61,VLOOKUP(A466,Runs!$A$2:$B$9,2,FALSE()),Factory_Components!$B$2:$B$61,"a",Factory_Components!$D$2:$D$61,F466)&gt;0,1,0)</f>
        <v>1</v>
      </c>
    </row>
    <row r="467" spans="1:7" ht="15" customHeight="1" x14ac:dyDescent="0.25">
      <c r="A467" t="s">
        <v>5</v>
      </c>
      <c r="B467" t="s">
        <v>441</v>
      </c>
      <c r="C467" t="s">
        <v>359</v>
      </c>
      <c r="D467" t="s">
        <v>986</v>
      </c>
      <c r="E467" t="str">
        <f t="shared" si="14"/>
        <v>RT</v>
      </c>
      <c r="F467" t="str">
        <f t="shared" si="15"/>
        <v>RT</v>
      </c>
      <c r="G467">
        <f>IF(COUNTIFS(Factory_Components!$A$2:$A$61,VLOOKUP(A467,Runs!$A$2:$B$9,2,FALSE()),Factory_Components!$B$2:$B$61,"a",Factory_Components!$D$2:$D$61,F467)&gt;0,1,0)</f>
        <v>1</v>
      </c>
    </row>
    <row r="468" spans="1:7" ht="15" customHeight="1" x14ac:dyDescent="0.25">
      <c r="A468" t="s">
        <v>5</v>
      </c>
      <c r="B468" t="s">
        <v>403</v>
      </c>
      <c r="C468" t="s">
        <v>361</v>
      </c>
      <c r="D468" t="s">
        <v>987</v>
      </c>
      <c r="E468" t="str">
        <f t="shared" si="14"/>
        <v>BSA</v>
      </c>
      <c r="F468" t="str">
        <f t="shared" si="15"/>
        <v>BSA</v>
      </c>
      <c r="G468">
        <f>IF(COUNTIFS(Factory_Components!$A$2:$A$61,VLOOKUP(A468,Runs!$A$2:$B$9,2,FALSE()),Factory_Components!$B$2:$B$61,"a",Factory_Components!$D$2:$D$61,F468)&gt;0,1,0)</f>
        <v>1</v>
      </c>
    </row>
    <row r="469" spans="1:7" ht="15" customHeight="1" x14ac:dyDescent="0.25">
      <c r="A469" t="s">
        <v>5</v>
      </c>
      <c r="B469" t="s">
        <v>603</v>
      </c>
      <c r="C469" t="s">
        <v>361</v>
      </c>
      <c r="D469" t="s">
        <v>988</v>
      </c>
      <c r="E469" t="str">
        <f t="shared" si="14"/>
        <v>RAX_HD</v>
      </c>
      <c r="F469" t="str">
        <f t="shared" si="15"/>
        <v>RAX_HD</v>
      </c>
      <c r="G469">
        <f>IF(COUNTIFS(Factory_Components!$A$2:$A$61,VLOOKUP(A469,Runs!$A$2:$B$9,2,FALSE()),Factory_Components!$B$2:$B$61,"a",Factory_Components!$D$2:$D$61,F469)&gt;0,1,0)</f>
        <v>0</v>
      </c>
    </row>
    <row r="470" spans="1:7" ht="15" customHeight="1" x14ac:dyDescent="0.25">
      <c r="A470" t="s">
        <v>5</v>
      </c>
      <c r="B470" t="s">
        <v>632</v>
      </c>
      <c r="C470" t="s">
        <v>360</v>
      </c>
      <c r="D470" t="s">
        <v>989</v>
      </c>
      <c r="E470" t="str">
        <f t="shared" si="14"/>
        <v>BAT</v>
      </c>
      <c r="F470" t="str">
        <f t="shared" si="15"/>
        <v>BAT</v>
      </c>
      <c r="G470">
        <f>IF(COUNTIFS(Factory_Components!$A$2:$A$61,VLOOKUP(A470,Runs!$A$2:$B$9,2,FALSE()),Factory_Components!$B$2:$B$61,"a",Factory_Components!$D$2:$D$61,F470)&gt;0,1,0)</f>
        <v>1</v>
      </c>
    </row>
    <row r="471" spans="1:7" ht="15" customHeight="1" x14ac:dyDescent="0.25">
      <c r="A471" t="s">
        <v>5</v>
      </c>
      <c r="B471" t="s">
        <v>415</v>
      </c>
      <c r="C471" t="s">
        <v>362</v>
      </c>
      <c r="D471" t="s">
        <v>990</v>
      </c>
      <c r="E471" t="str">
        <f t="shared" si="14"/>
        <v>BSA</v>
      </c>
      <c r="F471" t="str">
        <f t="shared" si="15"/>
        <v>BSA</v>
      </c>
      <c r="G471">
        <f>IF(COUNTIFS(Factory_Components!$A$2:$A$61,VLOOKUP(A471,Runs!$A$2:$B$9,2,FALSE()),Factory_Components!$B$2:$B$61,"a",Factory_Components!$D$2:$D$61,F471)&gt;0,1,0)</f>
        <v>1</v>
      </c>
    </row>
    <row r="472" spans="1:7" ht="15" customHeight="1" x14ac:dyDescent="0.25">
      <c r="A472" t="s">
        <v>5</v>
      </c>
      <c r="B472" t="s">
        <v>443</v>
      </c>
      <c r="C472" t="s">
        <v>359</v>
      </c>
      <c r="D472" t="s">
        <v>991</v>
      </c>
      <c r="E472" t="str">
        <f t="shared" si="14"/>
        <v>RT</v>
      </c>
      <c r="F472" t="str">
        <f t="shared" si="15"/>
        <v>RT</v>
      </c>
      <c r="G472">
        <f>IF(COUNTIFS(Factory_Components!$A$2:$A$61,VLOOKUP(A472,Runs!$A$2:$B$9,2,FALSE()),Factory_Components!$B$2:$B$61,"a",Factory_Components!$D$2:$D$61,F472)&gt;0,1,0)</f>
        <v>1</v>
      </c>
    </row>
    <row r="473" spans="1:7" ht="15" customHeight="1" x14ac:dyDescent="0.25">
      <c r="A473" t="s">
        <v>5</v>
      </c>
      <c r="B473" t="s">
        <v>578</v>
      </c>
      <c r="C473" t="s">
        <v>363</v>
      </c>
      <c r="D473" t="s">
        <v>992</v>
      </c>
      <c r="E473" t="str">
        <f t="shared" si="14"/>
        <v>SSA</v>
      </c>
      <c r="F473" t="str">
        <f t="shared" si="15"/>
        <v>SSA</v>
      </c>
      <c r="G473">
        <f>IF(COUNTIFS(Factory_Components!$A$2:$A$61,VLOOKUP(A473,Runs!$A$2:$B$9,2,FALSE()),Factory_Components!$B$2:$B$61,"a",Factory_Components!$D$2:$D$61,F473)&gt;0,1,0)</f>
        <v>1</v>
      </c>
    </row>
    <row r="474" spans="1:7" ht="15" customHeight="1" x14ac:dyDescent="0.25">
      <c r="A474" t="s">
        <v>5</v>
      </c>
      <c r="B474" t="s">
        <v>455</v>
      </c>
      <c r="C474" t="s">
        <v>360</v>
      </c>
      <c r="D474" t="s">
        <v>993</v>
      </c>
      <c r="E474" t="str">
        <f t="shared" si="14"/>
        <v>RT</v>
      </c>
      <c r="F474" t="str">
        <f t="shared" si="15"/>
        <v>RT</v>
      </c>
      <c r="G474">
        <f>IF(COUNTIFS(Factory_Components!$A$2:$A$61,VLOOKUP(A474,Runs!$A$2:$B$9,2,FALSE()),Factory_Components!$B$2:$B$61,"a",Factory_Components!$D$2:$D$61,F474)&gt;0,1,0)</f>
        <v>1</v>
      </c>
    </row>
    <row r="475" spans="1:7" ht="15" customHeight="1" x14ac:dyDescent="0.25">
      <c r="A475" t="s">
        <v>5</v>
      </c>
      <c r="B475" t="s">
        <v>419</v>
      </c>
      <c r="C475" t="s">
        <v>362</v>
      </c>
      <c r="D475" t="s">
        <v>994</v>
      </c>
      <c r="E475" t="str">
        <f t="shared" si="14"/>
        <v>BSA</v>
      </c>
      <c r="F475" t="str">
        <f t="shared" si="15"/>
        <v>BSA</v>
      </c>
      <c r="G475">
        <f>IF(COUNTIFS(Factory_Components!$A$2:$A$61,VLOOKUP(A475,Runs!$A$2:$B$9,2,FALSE()),Factory_Components!$B$2:$B$61,"a",Factory_Components!$D$2:$D$61,F475)&gt;0,1,0)</f>
        <v>1</v>
      </c>
    </row>
    <row r="476" spans="1:7" ht="15" customHeight="1" x14ac:dyDescent="0.25">
      <c r="A476" t="s">
        <v>5</v>
      </c>
      <c r="B476" t="s">
        <v>611</v>
      </c>
      <c r="C476" t="s">
        <v>362</v>
      </c>
      <c r="D476" t="s">
        <v>995</v>
      </c>
      <c r="E476" t="str">
        <f t="shared" si="14"/>
        <v>RAX_HD</v>
      </c>
      <c r="F476" t="str">
        <f t="shared" si="15"/>
        <v>RAX_HD</v>
      </c>
      <c r="G476">
        <f>IF(COUNTIFS(Factory_Components!$A$2:$A$61,VLOOKUP(A476,Runs!$A$2:$B$9,2,FALSE()),Factory_Components!$B$2:$B$61,"a",Factory_Components!$D$2:$D$61,F476)&gt;0,1,0)</f>
        <v>0</v>
      </c>
    </row>
    <row r="477" spans="1:7" ht="15" customHeight="1" x14ac:dyDescent="0.25">
      <c r="A477" t="s">
        <v>5</v>
      </c>
      <c r="B477" t="s">
        <v>445</v>
      </c>
      <c r="C477" t="s">
        <v>359</v>
      </c>
      <c r="D477" t="s">
        <v>996</v>
      </c>
      <c r="E477" t="str">
        <f t="shared" si="14"/>
        <v>FT</v>
      </c>
      <c r="F477" t="str">
        <f t="shared" si="15"/>
        <v>FT</v>
      </c>
      <c r="G477">
        <f>IF(COUNTIFS(Factory_Components!$A$2:$A$61,VLOOKUP(A477,Runs!$A$2:$B$9,2,FALSE()),Factory_Components!$B$2:$B$61,"a",Factory_Components!$D$2:$D$61,F477)&gt;0,1,0)</f>
        <v>1</v>
      </c>
    </row>
    <row r="478" spans="1:7" ht="15" customHeight="1" x14ac:dyDescent="0.25">
      <c r="A478" t="s">
        <v>5</v>
      </c>
      <c r="B478" t="s">
        <v>459</v>
      </c>
      <c r="C478" t="s">
        <v>360</v>
      </c>
      <c r="D478" t="s">
        <v>997</v>
      </c>
      <c r="E478" t="str">
        <f t="shared" si="14"/>
        <v>RT</v>
      </c>
      <c r="F478" t="str">
        <f t="shared" si="15"/>
        <v>RT</v>
      </c>
      <c r="G478">
        <f>IF(COUNTIFS(Factory_Components!$A$2:$A$61,VLOOKUP(A478,Runs!$A$2:$B$9,2,FALSE()),Factory_Components!$B$2:$B$61,"a",Factory_Components!$D$2:$D$61,F478)&gt;0,1,0)</f>
        <v>1</v>
      </c>
    </row>
    <row r="479" spans="1:7" ht="15" customHeight="1" x14ac:dyDescent="0.25">
      <c r="A479" t="s">
        <v>5</v>
      </c>
      <c r="B479" t="s">
        <v>586</v>
      </c>
      <c r="C479" t="s">
        <v>363</v>
      </c>
      <c r="D479" t="s">
        <v>998</v>
      </c>
      <c r="E479" t="str">
        <f t="shared" si="14"/>
        <v>SSA</v>
      </c>
      <c r="F479" t="str">
        <f t="shared" si="15"/>
        <v>SSA</v>
      </c>
      <c r="G479">
        <f>IF(COUNTIFS(Factory_Components!$A$2:$A$61,VLOOKUP(A479,Runs!$A$2:$B$9,2,FALSE()),Factory_Components!$B$2:$B$61,"a",Factory_Components!$D$2:$D$61,F479)&gt;0,1,0)</f>
        <v>1</v>
      </c>
    </row>
    <row r="480" spans="1:7" ht="15" customHeight="1" x14ac:dyDescent="0.25">
      <c r="A480" t="s">
        <v>5</v>
      </c>
      <c r="B480" t="s">
        <v>588</v>
      </c>
      <c r="C480" t="s">
        <v>363</v>
      </c>
      <c r="D480" t="s">
        <v>999</v>
      </c>
      <c r="E480" t="str">
        <f t="shared" si="14"/>
        <v>FAX</v>
      </c>
      <c r="F480" t="str">
        <f t="shared" si="15"/>
        <v>FAX</v>
      </c>
      <c r="G480">
        <f>IF(COUNTIFS(Factory_Components!$A$2:$A$61,VLOOKUP(A480,Runs!$A$2:$B$9,2,FALSE()),Factory_Components!$B$2:$B$61,"a",Factory_Components!$D$2:$D$61,F480)&gt;0,1,0)</f>
        <v>1</v>
      </c>
    </row>
    <row r="481" spans="1:7" ht="15" customHeight="1" x14ac:dyDescent="0.25">
      <c r="A481" t="s">
        <v>5</v>
      </c>
      <c r="B481" t="s">
        <v>447</v>
      </c>
      <c r="C481" t="s">
        <v>359</v>
      </c>
      <c r="D481" t="s">
        <v>1000</v>
      </c>
      <c r="E481" t="str">
        <f t="shared" si="14"/>
        <v>FT</v>
      </c>
      <c r="F481" t="str">
        <f t="shared" si="15"/>
        <v>FT</v>
      </c>
      <c r="G481">
        <f>IF(COUNTIFS(Factory_Components!$A$2:$A$61,VLOOKUP(A481,Runs!$A$2:$B$9,2,FALSE()),Factory_Components!$B$2:$B$61,"a",Factory_Components!$D$2:$D$61,F481)&gt;0,1,0)</f>
        <v>1</v>
      </c>
    </row>
    <row r="482" spans="1:7" ht="15" customHeight="1" x14ac:dyDescent="0.25">
      <c r="A482" t="s">
        <v>5</v>
      </c>
      <c r="B482" t="s">
        <v>644</v>
      </c>
      <c r="C482" t="s">
        <v>360</v>
      </c>
      <c r="D482" t="s">
        <v>1001</v>
      </c>
      <c r="E482" t="str">
        <f t="shared" si="14"/>
        <v>FT</v>
      </c>
      <c r="F482" t="str">
        <f t="shared" si="15"/>
        <v>FT</v>
      </c>
      <c r="G482">
        <f>IF(COUNTIFS(Factory_Components!$A$2:$A$61,VLOOKUP(A482,Runs!$A$2:$B$9,2,FALSE()),Factory_Components!$B$2:$B$61,"a",Factory_Components!$D$2:$D$61,F482)&gt;0,1,0)</f>
        <v>1</v>
      </c>
    </row>
    <row r="483" spans="1:7" ht="15" customHeight="1" x14ac:dyDescent="0.25">
      <c r="A483" t="s">
        <v>5</v>
      </c>
      <c r="B483" t="s">
        <v>461</v>
      </c>
      <c r="C483" t="s">
        <v>359</v>
      </c>
      <c r="D483" t="s">
        <v>1002</v>
      </c>
      <c r="E483" t="str">
        <f t="shared" si="14"/>
        <v>BOSP</v>
      </c>
      <c r="F483" t="str">
        <f t="shared" si="15"/>
        <v>BOSP</v>
      </c>
      <c r="G483">
        <f>IF(COUNTIFS(Factory_Components!$A$2:$A$61,VLOOKUP(A483,Runs!$A$2:$B$9,2,FALSE()),Factory_Components!$B$2:$B$61,"a",Factory_Components!$D$2:$D$61,F483)&gt;0,1,0)</f>
        <v>1</v>
      </c>
    </row>
    <row r="484" spans="1:7" ht="15" customHeight="1" x14ac:dyDescent="0.25">
      <c r="A484" t="s">
        <v>5</v>
      </c>
      <c r="B484" t="s">
        <v>648</v>
      </c>
      <c r="C484" t="s">
        <v>360</v>
      </c>
      <c r="D484" t="s">
        <v>1003</v>
      </c>
      <c r="E484" t="str">
        <f t="shared" si="14"/>
        <v>FT</v>
      </c>
      <c r="F484" t="str">
        <f t="shared" si="15"/>
        <v>FT</v>
      </c>
      <c r="G484">
        <f>IF(COUNTIFS(Factory_Components!$A$2:$A$61,VLOOKUP(A484,Runs!$A$2:$B$9,2,FALSE()),Factory_Components!$B$2:$B$61,"a",Factory_Components!$D$2:$D$61,F484)&gt;0,1,0)</f>
        <v>1</v>
      </c>
    </row>
    <row r="485" spans="1:7" ht="15" customHeight="1" x14ac:dyDescent="0.25">
      <c r="A485" t="s">
        <v>5</v>
      </c>
      <c r="B485" t="s">
        <v>584</v>
      </c>
      <c r="C485" t="s">
        <v>361</v>
      </c>
      <c r="D485" t="s">
        <v>1004</v>
      </c>
      <c r="E485" t="str">
        <f t="shared" si="14"/>
        <v>SSA</v>
      </c>
      <c r="F485" t="str">
        <f t="shared" si="15"/>
        <v>SSA</v>
      </c>
      <c r="G485">
        <f>IF(COUNTIFS(Factory_Components!$A$2:$A$61,VLOOKUP(A485,Runs!$A$2:$B$9,2,FALSE()),Factory_Components!$B$2:$B$61,"a",Factory_Components!$D$2:$D$61,F485)&gt;0,1,0)</f>
        <v>1</v>
      </c>
    </row>
    <row r="486" spans="1:7" ht="15" customHeight="1" x14ac:dyDescent="0.25">
      <c r="A486" t="s">
        <v>5</v>
      </c>
      <c r="B486" t="s">
        <v>465</v>
      </c>
      <c r="C486" t="s">
        <v>359</v>
      </c>
      <c r="D486" t="s">
        <v>1005</v>
      </c>
      <c r="E486" t="str">
        <f t="shared" si="14"/>
        <v>BOSP</v>
      </c>
      <c r="F486" t="str">
        <f t="shared" si="15"/>
        <v>BOSP</v>
      </c>
      <c r="G486">
        <f>IF(COUNTIFS(Factory_Components!$A$2:$A$61,VLOOKUP(A486,Runs!$A$2:$B$9,2,FALSE()),Factory_Components!$B$2:$B$61,"a",Factory_Components!$D$2:$D$61,F486)&gt;0,1,0)</f>
        <v>1</v>
      </c>
    </row>
    <row r="487" spans="1:7" ht="15" customHeight="1" x14ac:dyDescent="0.25">
      <c r="A487" t="s">
        <v>5</v>
      </c>
      <c r="B487" t="s">
        <v>599</v>
      </c>
      <c r="C487" t="s">
        <v>363</v>
      </c>
      <c r="D487" t="s">
        <v>1006</v>
      </c>
      <c r="E487" t="str">
        <f t="shared" si="14"/>
        <v>CHS</v>
      </c>
      <c r="F487" t="str">
        <f t="shared" si="15"/>
        <v>CHS</v>
      </c>
      <c r="G487">
        <f>IF(COUNTIFS(Factory_Components!$A$2:$A$61,VLOOKUP(A487,Runs!$A$2:$B$9,2,FALSE()),Factory_Components!$B$2:$B$61,"a",Factory_Components!$D$2:$D$61,F487)&gt;0,1,0)</f>
        <v>1</v>
      </c>
    </row>
    <row r="488" spans="1:7" ht="15" customHeight="1" x14ac:dyDescent="0.25">
      <c r="A488" t="s">
        <v>5</v>
      </c>
      <c r="B488" t="s">
        <v>477</v>
      </c>
      <c r="C488" t="s">
        <v>360</v>
      </c>
      <c r="D488" t="s">
        <v>1007</v>
      </c>
      <c r="E488" t="str">
        <f t="shared" si="14"/>
        <v>BOSP</v>
      </c>
      <c r="F488" t="str">
        <f t="shared" si="15"/>
        <v>BOSP</v>
      </c>
      <c r="G488">
        <f>IF(COUNTIFS(Factory_Components!$A$2:$A$61,VLOOKUP(A488,Runs!$A$2:$B$9,2,FALSE()),Factory_Components!$B$2:$B$61,"a",Factory_Components!$D$2:$D$61,F488)&gt;0,1,0)</f>
        <v>1</v>
      </c>
    </row>
    <row r="489" spans="1:7" ht="15" customHeight="1" x14ac:dyDescent="0.25">
      <c r="A489" t="s">
        <v>5</v>
      </c>
      <c r="B489" t="s">
        <v>592</v>
      </c>
      <c r="C489" t="s">
        <v>361</v>
      </c>
      <c r="D489" t="s">
        <v>1008</v>
      </c>
      <c r="E489" t="str">
        <f t="shared" si="14"/>
        <v>SSA</v>
      </c>
      <c r="F489" t="str">
        <f t="shared" si="15"/>
        <v>SSA</v>
      </c>
      <c r="G489">
        <f>IF(COUNTIFS(Factory_Components!$A$2:$A$61,VLOOKUP(A489,Runs!$A$2:$B$9,2,FALSE()),Factory_Components!$B$2:$B$61,"a",Factory_Components!$D$2:$D$61,F489)&gt;0,1,0)</f>
        <v>1</v>
      </c>
    </row>
    <row r="490" spans="1:7" ht="15" customHeight="1" x14ac:dyDescent="0.25">
      <c r="A490" t="s">
        <v>5</v>
      </c>
      <c r="B490" t="s">
        <v>594</v>
      </c>
      <c r="C490" t="s">
        <v>361</v>
      </c>
      <c r="D490" t="s">
        <v>1009</v>
      </c>
      <c r="E490" t="str">
        <f t="shared" si="14"/>
        <v>FAX</v>
      </c>
      <c r="F490" t="str">
        <f t="shared" si="15"/>
        <v>FAX</v>
      </c>
      <c r="G490">
        <f>IF(COUNTIFS(Factory_Components!$A$2:$A$61,VLOOKUP(A490,Runs!$A$2:$B$9,2,FALSE()),Factory_Components!$B$2:$B$61,"a",Factory_Components!$D$2:$D$61,F490)&gt;0,1,0)</f>
        <v>1</v>
      </c>
    </row>
    <row r="491" spans="1:7" ht="15" customHeight="1" x14ac:dyDescent="0.25">
      <c r="A491" t="s">
        <v>5</v>
      </c>
      <c r="B491" t="s">
        <v>637</v>
      </c>
      <c r="C491" t="s">
        <v>359</v>
      </c>
      <c r="D491" t="s">
        <v>1010</v>
      </c>
      <c r="E491" t="str">
        <f t="shared" si="14"/>
        <v>BAT</v>
      </c>
      <c r="F491" t="str">
        <f t="shared" si="15"/>
        <v>BAT</v>
      </c>
      <c r="G491">
        <f>IF(COUNTIFS(Factory_Components!$A$2:$A$61,VLOOKUP(A491,Runs!$A$2:$B$9,2,FALSE()),Factory_Components!$B$2:$B$61,"a",Factory_Components!$D$2:$D$61,F491)&gt;0,1,0)</f>
        <v>1</v>
      </c>
    </row>
    <row r="492" spans="1:7" ht="15" customHeight="1" x14ac:dyDescent="0.25">
      <c r="A492" t="s">
        <v>5</v>
      </c>
      <c r="B492" t="s">
        <v>481</v>
      </c>
      <c r="C492" t="s">
        <v>360</v>
      </c>
      <c r="D492" t="s">
        <v>1011</v>
      </c>
      <c r="E492" t="str">
        <f t="shared" si="14"/>
        <v>BOSP</v>
      </c>
      <c r="F492" t="str">
        <f t="shared" si="15"/>
        <v>BOSP</v>
      </c>
      <c r="G492">
        <f>IF(COUNTIFS(Factory_Components!$A$2:$A$61,VLOOKUP(A492,Runs!$A$2:$B$9,2,FALSE()),Factory_Components!$B$2:$B$61,"a",Factory_Components!$D$2:$D$61,F492)&gt;0,1,0)</f>
        <v>1</v>
      </c>
    </row>
    <row r="493" spans="1:7" ht="15" customHeight="1" x14ac:dyDescent="0.25">
      <c r="A493" t="s">
        <v>5</v>
      </c>
      <c r="B493" t="s">
        <v>425</v>
      </c>
      <c r="C493" t="s">
        <v>363</v>
      </c>
      <c r="D493" t="s">
        <v>1012</v>
      </c>
      <c r="E493" t="str">
        <f t="shared" si="14"/>
        <v>BSA</v>
      </c>
      <c r="F493" t="str">
        <f t="shared" si="15"/>
        <v>BSA</v>
      </c>
      <c r="G493">
        <f>IF(COUNTIFS(Factory_Components!$A$2:$A$61,VLOOKUP(A493,Runs!$A$2:$B$9,2,FALSE()),Factory_Components!$B$2:$B$61,"a",Factory_Components!$D$2:$D$61,F493)&gt;0,1,0)</f>
        <v>1</v>
      </c>
    </row>
    <row r="494" spans="1:7" ht="15" customHeight="1" x14ac:dyDescent="0.25">
      <c r="A494" t="s">
        <v>5</v>
      </c>
      <c r="B494" t="s">
        <v>471</v>
      </c>
      <c r="C494" t="s">
        <v>359</v>
      </c>
      <c r="D494" t="s">
        <v>1013</v>
      </c>
      <c r="E494" t="str">
        <f t="shared" si="14"/>
        <v>RT</v>
      </c>
      <c r="F494" t="str">
        <f t="shared" si="15"/>
        <v>RT</v>
      </c>
      <c r="G494">
        <f>IF(COUNTIFS(Factory_Components!$A$2:$A$61,VLOOKUP(A494,Runs!$A$2:$B$9,2,FALSE()),Factory_Components!$B$2:$B$61,"a",Factory_Components!$D$2:$D$61,F494)&gt;0,1,0)</f>
        <v>1</v>
      </c>
    </row>
    <row r="495" spans="1:7" ht="15" customHeight="1" x14ac:dyDescent="0.25">
      <c r="A495" t="s">
        <v>5</v>
      </c>
      <c r="B495" t="s">
        <v>431</v>
      </c>
      <c r="C495" t="s">
        <v>363</v>
      </c>
      <c r="D495" t="s">
        <v>1014</v>
      </c>
      <c r="E495" t="str">
        <f t="shared" si="14"/>
        <v>BSA</v>
      </c>
      <c r="F495" t="str">
        <f t="shared" si="15"/>
        <v>BSA</v>
      </c>
      <c r="G495">
        <f>IF(COUNTIFS(Factory_Components!$A$2:$A$61,VLOOKUP(A495,Runs!$A$2:$B$9,2,FALSE()),Factory_Components!$B$2:$B$61,"a",Factory_Components!$D$2:$D$61,F495)&gt;0,1,0)</f>
        <v>1</v>
      </c>
    </row>
    <row r="496" spans="1:7" ht="15" customHeight="1" x14ac:dyDescent="0.25">
      <c r="A496" t="s">
        <v>5</v>
      </c>
      <c r="B496" t="s">
        <v>619</v>
      </c>
      <c r="C496" t="s">
        <v>363</v>
      </c>
      <c r="D496" t="s">
        <v>1015</v>
      </c>
      <c r="E496" t="str">
        <f t="shared" si="14"/>
        <v>RAX_HD</v>
      </c>
      <c r="F496" t="str">
        <f t="shared" si="15"/>
        <v>RAX_HD</v>
      </c>
      <c r="G496">
        <f>IF(COUNTIFS(Factory_Components!$A$2:$A$61,VLOOKUP(A496,Runs!$A$2:$B$9,2,FALSE()),Factory_Components!$B$2:$B$61,"a",Factory_Components!$D$2:$D$61,F496)&gt;0,1,0)</f>
        <v>0</v>
      </c>
    </row>
    <row r="497" spans="1:7" ht="15" customHeight="1" x14ac:dyDescent="0.25">
      <c r="A497" t="s">
        <v>5</v>
      </c>
      <c r="B497" t="s">
        <v>489</v>
      </c>
      <c r="C497" t="s">
        <v>360</v>
      </c>
      <c r="D497" t="s">
        <v>1016</v>
      </c>
      <c r="E497" t="str">
        <f t="shared" si="14"/>
        <v>BAT</v>
      </c>
      <c r="F497" t="str">
        <f t="shared" si="15"/>
        <v>BAT</v>
      </c>
      <c r="G497">
        <f>IF(COUNTIFS(Factory_Components!$A$2:$A$61,VLOOKUP(A497,Runs!$A$2:$B$9,2,FALSE()),Factory_Components!$B$2:$B$61,"a",Factory_Components!$D$2:$D$61,F497)&gt;0,1,0)</f>
        <v>1</v>
      </c>
    </row>
    <row r="498" spans="1:7" ht="15" customHeight="1" x14ac:dyDescent="0.25">
      <c r="A498" t="s">
        <v>5</v>
      </c>
      <c r="B498" t="s">
        <v>475</v>
      </c>
      <c r="C498" t="s">
        <v>359</v>
      </c>
      <c r="D498" t="s">
        <v>1017</v>
      </c>
      <c r="E498" t="str">
        <f t="shared" si="14"/>
        <v>RT</v>
      </c>
      <c r="F498" t="str">
        <f t="shared" si="15"/>
        <v>RT</v>
      </c>
      <c r="G498">
        <f>IF(COUNTIFS(Factory_Components!$A$2:$A$61,VLOOKUP(A498,Runs!$A$2:$B$9,2,FALSE()),Factory_Components!$B$2:$B$61,"a",Factory_Components!$D$2:$D$61,F498)&gt;0,1,0)</f>
        <v>1</v>
      </c>
    </row>
    <row r="499" spans="1:7" ht="15" customHeight="1" x14ac:dyDescent="0.25">
      <c r="A499" t="s">
        <v>5</v>
      </c>
      <c r="B499" t="s">
        <v>453</v>
      </c>
      <c r="C499" t="s">
        <v>362</v>
      </c>
      <c r="D499" t="s">
        <v>1018</v>
      </c>
      <c r="E499" t="str">
        <f t="shared" si="14"/>
        <v>SSA</v>
      </c>
      <c r="F499" t="str">
        <f t="shared" si="15"/>
        <v>SSA</v>
      </c>
      <c r="G499">
        <f>IF(COUNTIFS(Factory_Components!$A$2:$A$61,VLOOKUP(A499,Runs!$A$2:$B$9,2,FALSE()),Factory_Components!$B$2:$B$61,"a",Factory_Components!$D$2:$D$61,F499)&gt;0,1,0)</f>
        <v>1</v>
      </c>
    </row>
    <row r="500" spans="1:7" ht="15" customHeight="1" x14ac:dyDescent="0.25">
      <c r="A500" t="s">
        <v>5</v>
      </c>
      <c r="B500" t="s">
        <v>493</v>
      </c>
      <c r="C500" t="s">
        <v>360</v>
      </c>
      <c r="D500" t="s">
        <v>1019</v>
      </c>
      <c r="E500" t="str">
        <f t="shared" si="14"/>
        <v>RT</v>
      </c>
      <c r="F500" t="str">
        <f t="shared" si="15"/>
        <v>RT</v>
      </c>
      <c r="G500">
        <f>IF(COUNTIFS(Factory_Components!$A$2:$A$61,VLOOKUP(A500,Runs!$A$2:$B$9,2,FALSE()),Factory_Components!$B$2:$B$61,"a",Factory_Components!$D$2:$D$61,F500)&gt;0,1,0)</f>
        <v>1</v>
      </c>
    </row>
    <row r="501" spans="1:7" ht="15" customHeight="1" x14ac:dyDescent="0.25">
      <c r="A501" t="s">
        <v>5</v>
      </c>
      <c r="B501" t="s">
        <v>605</v>
      </c>
      <c r="C501" t="s">
        <v>361</v>
      </c>
      <c r="D501" t="s">
        <v>1020</v>
      </c>
      <c r="E501" t="str">
        <f t="shared" si="14"/>
        <v>CHS</v>
      </c>
      <c r="F501" t="str">
        <f t="shared" si="15"/>
        <v>CHS</v>
      </c>
      <c r="G501">
        <f>IF(COUNTIFS(Factory_Components!$A$2:$A$61,VLOOKUP(A501,Runs!$A$2:$B$9,2,FALSE()),Factory_Components!$B$2:$B$61,"a",Factory_Components!$D$2:$D$61,F501)&gt;0,1,0)</f>
        <v>1</v>
      </c>
    </row>
    <row r="502" spans="1:7" ht="15" customHeight="1" x14ac:dyDescent="0.25">
      <c r="A502" t="s">
        <v>5</v>
      </c>
      <c r="B502" t="s">
        <v>650</v>
      </c>
      <c r="C502" t="s">
        <v>359</v>
      </c>
      <c r="D502" t="s">
        <v>1021</v>
      </c>
      <c r="E502" t="str">
        <f t="shared" si="14"/>
        <v>FT</v>
      </c>
      <c r="F502" t="str">
        <f t="shared" si="15"/>
        <v>FT</v>
      </c>
      <c r="G502">
        <f>IF(COUNTIFS(Factory_Components!$A$2:$A$61,VLOOKUP(A502,Runs!$A$2:$B$9,2,FALSE()),Factory_Components!$B$2:$B$61,"a",Factory_Components!$D$2:$D$61,F502)&gt;0,1,0)</f>
        <v>1</v>
      </c>
    </row>
    <row r="503" spans="1:7" ht="15" customHeight="1" x14ac:dyDescent="0.25">
      <c r="A503" t="s">
        <v>5</v>
      </c>
      <c r="B503" t="s">
        <v>495</v>
      </c>
      <c r="C503" t="s">
        <v>360</v>
      </c>
      <c r="D503" t="s">
        <v>1022</v>
      </c>
      <c r="E503" t="str">
        <f t="shared" si="14"/>
        <v>RT</v>
      </c>
      <c r="F503" t="str">
        <f t="shared" si="15"/>
        <v>RT</v>
      </c>
      <c r="G503">
        <f>IF(COUNTIFS(Factory_Components!$A$2:$A$61,VLOOKUP(A503,Runs!$A$2:$B$9,2,FALSE()),Factory_Components!$B$2:$B$61,"a",Factory_Components!$D$2:$D$61,F503)&gt;0,1,0)</f>
        <v>1</v>
      </c>
    </row>
    <row r="504" spans="1:7" ht="15" customHeight="1" x14ac:dyDescent="0.25">
      <c r="A504" t="s">
        <v>5</v>
      </c>
      <c r="B504" t="s">
        <v>457</v>
      </c>
      <c r="C504" t="s">
        <v>362</v>
      </c>
      <c r="D504" t="s">
        <v>1023</v>
      </c>
      <c r="E504" t="str">
        <f t="shared" si="14"/>
        <v>SSA</v>
      </c>
      <c r="F504" t="str">
        <f t="shared" si="15"/>
        <v>SSA</v>
      </c>
      <c r="G504">
        <f>IF(COUNTIFS(Factory_Components!$A$2:$A$61,VLOOKUP(A504,Runs!$A$2:$B$9,2,FALSE()),Factory_Components!$B$2:$B$61,"a",Factory_Components!$D$2:$D$61,F504)&gt;0,1,0)</f>
        <v>1</v>
      </c>
    </row>
    <row r="505" spans="1:7" ht="15" customHeight="1" x14ac:dyDescent="0.25">
      <c r="A505" t="s">
        <v>5</v>
      </c>
      <c r="B505" t="s">
        <v>661</v>
      </c>
      <c r="C505" t="s">
        <v>362</v>
      </c>
      <c r="D505" t="s">
        <v>1024</v>
      </c>
      <c r="E505" t="str">
        <f t="shared" si="14"/>
        <v>FAX</v>
      </c>
      <c r="F505" t="str">
        <f t="shared" si="15"/>
        <v>FAX</v>
      </c>
      <c r="G505">
        <f>IF(COUNTIFS(Factory_Components!$A$2:$A$61,VLOOKUP(A505,Runs!$A$2:$B$9,2,FALSE()),Factory_Components!$B$2:$B$61,"a",Factory_Components!$D$2:$D$61,F505)&gt;0,1,0)</f>
        <v>1</v>
      </c>
    </row>
    <row r="506" spans="1:7" ht="15" customHeight="1" x14ac:dyDescent="0.25">
      <c r="A506" t="s">
        <v>5</v>
      </c>
      <c r="B506" t="s">
        <v>615</v>
      </c>
      <c r="C506" t="s">
        <v>361</v>
      </c>
      <c r="D506" t="s">
        <v>1025</v>
      </c>
      <c r="E506" t="str">
        <f t="shared" si="14"/>
        <v>BSA</v>
      </c>
      <c r="F506" t="str">
        <f t="shared" si="15"/>
        <v>BSA</v>
      </c>
      <c r="G506">
        <f>IF(COUNTIFS(Factory_Components!$A$2:$A$61,VLOOKUP(A506,Runs!$A$2:$B$9,2,FALSE()),Factory_Components!$B$2:$B$61,"a",Factory_Components!$D$2:$D$61,F506)&gt;0,1,0)</f>
        <v>1</v>
      </c>
    </row>
    <row r="507" spans="1:7" ht="15" customHeight="1" x14ac:dyDescent="0.25">
      <c r="A507" t="s">
        <v>5</v>
      </c>
      <c r="B507" t="s">
        <v>653</v>
      </c>
      <c r="C507" t="s">
        <v>359</v>
      </c>
      <c r="D507" t="s">
        <v>1026</v>
      </c>
      <c r="E507" t="str">
        <f t="shared" si="14"/>
        <v>FT</v>
      </c>
      <c r="F507" t="str">
        <f t="shared" si="15"/>
        <v>FT</v>
      </c>
      <c r="G507">
        <f>IF(COUNTIFS(Factory_Components!$A$2:$A$61,VLOOKUP(A507,Runs!$A$2:$B$9,2,FALSE()),Factory_Components!$B$2:$B$61,"a",Factory_Components!$D$2:$D$61,F507)&gt;0,1,0)</f>
        <v>1</v>
      </c>
    </row>
    <row r="508" spans="1:7" ht="15" customHeight="1" x14ac:dyDescent="0.25">
      <c r="A508" t="s">
        <v>5</v>
      </c>
      <c r="B508" t="s">
        <v>501</v>
      </c>
      <c r="C508" t="s">
        <v>360</v>
      </c>
      <c r="D508" t="s">
        <v>1027</v>
      </c>
      <c r="E508" t="str">
        <f t="shared" si="14"/>
        <v>FT</v>
      </c>
      <c r="F508" t="str">
        <f t="shared" si="15"/>
        <v>FT</v>
      </c>
      <c r="G508">
        <f>IF(COUNTIFS(Factory_Components!$A$2:$A$61,VLOOKUP(A508,Runs!$A$2:$B$9,2,FALSE()),Factory_Components!$B$2:$B$61,"a",Factory_Components!$D$2:$D$61,F508)&gt;0,1,0)</f>
        <v>1</v>
      </c>
    </row>
    <row r="509" spans="1:7" ht="15" customHeight="1" x14ac:dyDescent="0.25">
      <c r="A509" t="s">
        <v>5</v>
      </c>
      <c r="B509" t="s">
        <v>507</v>
      </c>
      <c r="C509" t="s">
        <v>359</v>
      </c>
      <c r="D509" t="s">
        <v>1028</v>
      </c>
      <c r="E509" t="str">
        <f t="shared" si="14"/>
        <v>BOSP</v>
      </c>
      <c r="F509" t="str">
        <f t="shared" si="15"/>
        <v>BOSP</v>
      </c>
      <c r="G509">
        <f>IF(COUNTIFS(Factory_Components!$A$2:$A$61,VLOOKUP(A509,Runs!$A$2:$B$9,2,FALSE()),Factory_Components!$B$2:$B$61,"a",Factory_Components!$D$2:$D$61,F509)&gt;0,1,0)</f>
        <v>1</v>
      </c>
    </row>
    <row r="510" spans="1:7" ht="15" customHeight="1" x14ac:dyDescent="0.25">
      <c r="A510" t="s">
        <v>5</v>
      </c>
      <c r="B510" t="s">
        <v>623</v>
      </c>
      <c r="C510" t="s">
        <v>361</v>
      </c>
      <c r="D510" t="s">
        <v>1029</v>
      </c>
      <c r="E510" t="str">
        <f t="shared" si="14"/>
        <v>BSA</v>
      </c>
      <c r="F510" t="str">
        <f t="shared" si="15"/>
        <v>BSA</v>
      </c>
      <c r="G510">
        <f>IF(COUNTIFS(Factory_Components!$A$2:$A$61,VLOOKUP(A510,Runs!$A$2:$B$9,2,FALSE()),Factory_Components!$B$2:$B$61,"a",Factory_Components!$D$2:$D$61,F510)&gt;0,1,0)</f>
        <v>1</v>
      </c>
    </row>
    <row r="511" spans="1:7" ht="15" customHeight="1" x14ac:dyDescent="0.25">
      <c r="A511" t="s">
        <v>5</v>
      </c>
      <c r="B511" t="s">
        <v>625</v>
      </c>
      <c r="C511" t="s">
        <v>361</v>
      </c>
      <c r="D511" t="s">
        <v>1030</v>
      </c>
      <c r="E511" t="str">
        <f t="shared" si="14"/>
        <v>RAX_HD</v>
      </c>
      <c r="F511" t="str">
        <f t="shared" si="15"/>
        <v>RAX_HD</v>
      </c>
      <c r="G511">
        <f>IF(COUNTIFS(Factory_Components!$A$2:$A$61,VLOOKUP(A511,Runs!$A$2:$B$9,2,FALSE()),Factory_Components!$B$2:$B$61,"a",Factory_Components!$D$2:$D$61,F511)&gt;0,1,0)</f>
        <v>0</v>
      </c>
    </row>
    <row r="512" spans="1:7" ht="15" customHeight="1" x14ac:dyDescent="0.25">
      <c r="A512" t="s">
        <v>5</v>
      </c>
      <c r="B512" t="s">
        <v>503</v>
      </c>
      <c r="C512" t="s">
        <v>360</v>
      </c>
      <c r="D512" t="s">
        <v>1031</v>
      </c>
      <c r="E512" t="str">
        <f t="shared" si="14"/>
        <v>FT</v>
      </c>
      <c r="F512" t="str">
        <f t="shared" si="15"/>
        <v>FT</v>
      </c>
      <c r="G512">
        <f>IF(COUNTIFS(Factory_Components!$A$2:$A$61,VLOOKUP(A512,Runs!$A$2:$B$9,2,FALSE()),Factory_Components!$B$2:$B$61,"a",Factory_Components!$D$2:$D$61,F512)&gt;0,1,0)</f>
        <v>1</v>
      </c>
    </row>
    <row r="513" spans="1:7" ht="15" customHeight="1" x14ac:dyDescent="0.25">
      <c r="A513" t="s">
        <v>5</v>
      </c>
      <c r="B513" t="s">
        <v>658</v>
      </c>
      <c r="C513" t="s">
        <v>363</v>
      </c>
      <c r="D513" t="s">
        <v>1032</v>
      </c>
      <c r="E513" t="str">
        <f t="shared" si="14"/>
        <v>SSA</v>
      </c>
      <c r="F513" t="str">
        <f t="shared" si="15"/>
        <v>SSA</v>
      </c>
      <c r="G513">
        <f>IF(COUNTIFS(Factory_Components!$A$2:$A$61,VLOOKUP(A513,Runs!$A$2:$B$9,2,FALSE()),Factory_Components!$B$2:$B$61,"a",Factory_Components!$D$2:$D$61,F513)&gt;0,1,0)</f>
        <v>1</v>
      </c>
    </row>
    <row r="514" spans="1:7" ht="15" customHeight="1" x14ac:dyDescent="0.25">
      <c r="A514" t="s">
        <v>5</v>
      </c>
      <c r="B514" t="s">
        <v>509</v>
      </c>
      <c r="C514" t="s">
        <v>359</v>
      </c>
      <c r="D514" t="s">
        <v>1033</v>
      </c>
      <c r="E514" t="str">
        <f t="shared" ref="E514:E577" si="16">IF(ISNUMBER(--RIGHT(B514,1)),MID(B514,10,LEN(B514)-11),MID(B514,10,100))</f>
        <v>BOSP</v>
      </c>
      <c r="F514" t="str">
        <f t="shared" ref="F514:F577" si="17">IF(E514="CORE","CHS",E514)</f>
        <v>BOSP</v>
      </c>
      <c r="G514">
        <f>IF(COUNTIFS(Factory_Components!$A$2:$A$61,VLOOKUP(A514,Runs!$A$2:$B$9,2,FALSE()),Factory_Components!$B$2:$B$61,"a",Factory_Components!$D$2:$D$61,F514)&gt;0,1,0)</f>
        <v>1</v>
      </c>
    </row>
    <row r="515" spans="1:7" ht="15" customHeight="1" x14ac:dyDescent="0.25">
      <c r="A515" t="s">
        <v>5</v>
      </c>
      <c r="B515" t="s">
        <v>675</v>
      </c>
      <c r="C515" t="s">
        <v>362</v>
      </c>
      <c r="D515" t="s">
        <v>1034</v>
      </c>
      <c r="E515" t="str">
        <f t="shared" si="16"/>
        <v>CHS</v>
      </c>
      <c r="F515" t="str">
        <f t="shared" si="17"/>
        <v>CHS</v>
      </c>
      <c r="G515">
        <f>IF(COUNTIFS(Factory_Components!$A$2:$A$61,VLOOKUP(A515,Runs!$A$2:$B$9,2,FALSE()),Factory_Components!$B$2:$B$61,"a",Factory_Components!$D$2:$D$61,F515)&gt;0,1,0)</f>
        <v>1</v>
      </c>
    </row>
    <row r="516" spans="1:7" ht="15" customHeight="1" x14ac:dyDescent="0.25">
      <c r="A516" t="s">
        <v>5</v>
      </c>
      <c r="B516" t="s">
        <v>700</v>
      </c>
      <c r="C516" t="s">
        <v>360</v>
      </c>
      <c r="D516" t="s">
        <v>1035</v>
      </c>
      <c r="E516" t="str">
        <f t="shared" si="16"/>
        <v>BOSP</v>
      </c>
      <c r="F516" t="str">
        <f t="shared" si="17"/>
        <v>BOSP</v>
      </c>
      <c r="G516">
        <f>IF(COUNTIFS(Factory_Components!$A$2:$A$61,VLOOKUP(A516,Runs!$A$2:$B$9,2,FALSE()),Factory_Components!$B$2:$B$61,"a",Factory_Components!$D$2:$D$61,F516)&gt;0,1,0)</f>
        <v>1</v>
      </c>
    </row>
    <row r="517" spans="1:7" ht="15" customHeight="1" x14ac:dyDescent="0.25">
      <c r="A517" t="s">
        <v>5</v>
      </c>
      <c r="B517" t="s">
        <v>665</v>
      </c>
      <c r="C517" t="s">
        <v>363</v>
      </c>
      <c r="D517" t="s">
        <v>1036</v>
      </c>
      <c r="E517" t="str">
        <f t="shared" si="16"/>
        <v>SSA</v>
      </c>
      <c r="F517" t="str">
        <f t="shared" si="17"/>
        <v>SSA</v>
      </c>
      <c r="G517">
        <f>IF(COUNTIFS(Factory_Components!$A$2:$A$61,VLOOKUP(A517,Runs!$A$2:$B$9,2,FALSE()),Factory_Components!$B$2:$B$61,"a",Factory_Components!$D$2:$D$61,F517)&gt;0,1,0)</f>
        <v>1</v>
      </c>
    </row>
    <row r="518" spans="1:7" ht="15" customHeight="1" x14ac:dyDescent="0.25">
      <c r="A518" t="s">
        <v>5</v>
      </c>
      <c r="B518" t="s">
        <v>667</v>
      </c>
      <c r="C518" t="s">
        <v>363</v>
      </c>
      <c r="D518" t="s">
        <v>1037</v>
      </c>
      <c r="E518" t="str">
        <f t="shared" si="16"/>
        <v>FAX</v>
      </c>
      <c r="F518" t="str">
        <f t="shared" si="17"/>
        <v>FAX</v>
      </c>
      <c r="G518">
        <f>IF(COUNTIFS(Factory_Components!$A$2:$A$61,VLOOKUP(A518,Runs!$A$2:$B$9,2,FALSE()),Factory_Components!$B$2:$B$61,"a",Factory_Components!$D$2:$D$61,F518)&gt;0,1,0)</f>
        <v>1</v>
      </c>
    </row>
    <row r="519" spans="1:7" ht="15" customHeight="1" x14ac:dyDescent="0.25">
      <c r="A519" t="s">
        <v>5</v>
      </c>
      <c r="B519" t="s">
        <v>762</v>
      </c>
      <c r="C519" t="s">
        <v>359</v>
      </c>
      <c r="D519" t="s">
        <v>1038</v>
      </c>
      <c r="E519" t="str">
        <f t="shared" si="16"/>
        <v>BAT</v>
      </c>
      <c r="F519" t="str">
        <f t="shared" si="17"/>
        <v>BAT</v>
      </c>
      <c r="G519">
        <f>IF(COUNTIFS(Factory_Components!$A$2:$A$61,VLOOKUP(A519,Runs!$A$2:$B$9,2,FALSE()),Factory_Components!$B$2:$B$61,"a",Factory_Components!$D$2:$D$61,F519)&gt;0,1,0)</f>
        <v>1</v>
      </c>
    </row>
    <row r="520" spans="1:7" ht="15" customHeight="1" x14ac:dyDescent="0.25">
      <c r="A520" t="s">
        <v>5</v>
      </c>
      <c r="B520" t="s">
        <v>463</v>
      </c>
      <c r="C520" t="s">
        <v>362</v>
      </c>
      <c r="D520" t="s">
        <v>1039</v>
      </c>
      <c r="E520" t="str">
        <f t="shared" si="16"/>
        <v>BSA</v>
      </c>
      <c r="F520" t="str">
        <f t="shared" si="17"/>
        <v>BSA</v>
      </c>
      <c r="G520">
        <f>IF(COUNTIFS(Factory_Components!$A$2:$A$61,VLOOKUP(A520,Runs!$A$2:$B$9,2,FALSE()),Factory_Components!$B$2:$B$61,"a",Factory_Components!$D$2:$D$61,F520)&gt;0,1,0)</f>
        <v>1</v>
      </c>
    </row>
    <row r="521" spans="1:7" ht="15" customHeight="1" x14ac:dyDescent="0.25">
      <c r="A521" t="s">
        <v>5</v>
      </c>
      <c r="B521" t="s">
        <v>705</v>
      </c>
      <c r="C521" t="s">
        <v>360</v>
      </c>
      <c r="D521" t="s">
        <v>1040</v>
      </c>
      <c r="E521" t="str">
        <f t="shared" si="16"/>
        <v>BOSP</v>
      </c>
      <c r="F521" t="str">
        <f t="shared" si="17"/>
        <v>BOSP</v>
      </c>
      <c r="G521">
        <f>IF(COUNTIFS(Factory_Components!$A$2:$A$61,VLOOKUP(A521,Runs!$A$2:$B$9,2,FALSE()),Factory_Components!$B$2:$B$61,"a",Factory_Components!$D$2:$D$61,F521)&gt;0,1,0)</f>
        <v>1</v>
      </c>
    </row>
    <row r="522" spans="1:7" ht="15" customHeight="1" x14ac:dyDescent="0.25">
      <c r="A522" t="s">
        <v>5</v>
      </c>
      <c r="B522" t="s">
        <v>511</v>
      </c>
      <c r="C522" t="s">
        <v>359</v>
      </c>
      <c r="D522" t="s">
        <v>1041</v>
      </c>
      <c r="E522" t="str">
        <f t="shared" si="16"/>
        <v>RT</v>
      </c>
      <c r="F522" t="str">
        <f t="shared" si="17"/>
        <v>RT</v>
      </c>
      <c r="G522">
        <f>IF(COUNTIFS(Factory_Components!$A$2:$A$61,VLOOKUP(A522,Runs!$A$2:$B$9,2,FALSE()),Factory_Components!$B$2:$B$61,"a",Factory_Components!$D$2:$D$61,F522)&gt;0,1,0)</f>
        <v>1</v>
      </c>
    </row>
    <row r="523" spans="1:7" ht="15" customHeight="1" x14ac:dyDescent="0.25">
      <c r="A523" t="s">
        <v>5</v>
      </c>
      <c r="B523" t="s">
        <v>467</v>
      </c>
      <c r="C523" t="s">
        <v>362</v>
      </c>
      <c r="D523" t="s">
        <v>1042</v>
      </c>
      <c r="E523" t="str">
        <f t="shared" si="16"/>
        <v>BSA</v>
      </c>
      <c r="F523" t="str">
        <f t="shared" si="17"/>
        <v>BSA</v>
      </c>
      <c r="G523">
        <f>IF(COUNTIFS(Factory_Components!$A$2:$A$61,VLOOKUP(A523,Runs!$A$2:$B$9,2,FALSE()),Factory_Components!$B$2:$B$61,"a",Factory_Components!$D$2:$D$61,F523)&gt;0,1,0)</f>
        <v>1</v>
      </c>
    </row>
    <row r="524" spans="1:7" ht="15" customHeight="1" x14ac:dyDescent="0.25">
      <c r="A524" t="s">
        <v>5</v>
      </c>
      <c r="B524" t="s">
        <v>688</v>
      </c>
      <c r="C524" t="s">
        <v>362</v>
      </c>
      <c r="D524" t="s">
        <v>1043</v>
      </c>
      <c r="E524" t="str">
        <f t="shared" si="16"/>
        <v>RAX_HD</v>
      </c>
      <c r="F524" t="str">
        <f t="shared" si="17"/>
        <v>RAX_HD</v>
      </c>
      <c r="G524">
        <f>IF(COUNTIFS(Factory_Components!$A$2:$A$61,VLOOKUP(A524,Runs!$A$2:$B$9,2,FALSE()),Factory_Components!$B$2:$B$61,"a",Factory_Components!$D$2:$D$61,F524)&gt;0,1,0)</f>
        <v>0</v>
      </c>
    </row>
    <row r="525" spans="1:7" ht="15" customHeight="1" x14ac:dyDescent="0.25">
      <c r="A525" t="s">
        <v>5</v>
      </c>
      <c r="B525" t="s">
        <v>773</v>
      </c>
      <c r="C525" t="s">
        <v>360</v>
      </c>
      <c r="D525" t="s">
        <v>1044</v>
      </c>
      <c r="E525" t="str">
        <f t="shared" si="16"/>
        <v>BAT</v>
      </c>
      <c r="F525" t="str">
        <f t="shared" si="17"/>
        <v>BAT</v>
      </c>
      <c r="G525">
        <f>IF(COUNTIFS(Factory_Components!$A$2:$A$61,VLOOKUP(A525,Runs!$A$2:$B$9,2,FALSE()),Factory_Components!$B$2:$B$61,"a",Factory_Components!$D$2:$D$61,F525)&gt;0,1,0)</f>
        <v>1</v>
      </c>
    </row>
    <row r="526" spans="1:7" ht="15" customHeight="1" x14ac:dyDescent="0.25">
      <c r="A526" t="s">
        <v>5</v>
      </c>
      <c r="B526" t="s">
        <v>513</v>
      </c>
      <c r="C526" t="s">
        <v>359</v>
      </c>
      <c r="D526" t="s">
        <v>1045</v>
      </c>
      <c r="E526" t="str">
        <f t="shared" si="16"/>
        <v>RT</v>
      </c>
      <c r="F526" t="str">
        <f t="shared" si="17"/>
        <v>RT</v>
      </c>
      <c r="G526">
        <f>IF(COUNTIFS(Factory_Components!$A$2:$A$61,VLOOKUP(A526,Runs!$A$2:$B$9,2,FALSE()),Factory_Components!$B$2:$B$61,"a",Factory_Components!$D$2:$D$61,F526)&gt;0,1,0)</f>
        <v>1</v>
      </c>
    </row>
    <row r="527" spans="1:7" ht="15" customHeight="1" x14ac:dyDescent="0.25">
      <c r="A527" t="s">
        <v>5</v>
      </c>
      <c r="B527" t="s">
        <v>515</v>
      </c>
      <c r="C527" t="s">
        <v>360</v>
      </c>
      <c r="D527" t="s">
        <v>1046</v>
      </c>
      <c r="E527" t="str">
        <f t="shared" si="16"/>
        <v>RT</v>
      </c>
      <c r="F527" t="str">
        <f t="shared" si="17"/>
        <v>RT</v>
      </c>
      <c r="G527">
        <f>IF(COUNTIFS(Factory_Components!$A$2:$A$61,VLOOKUP(A527,Runs!$A$2:$B$9,2,FALSE()),Factory_Components!$B$2:$B$61,"a",Factory_Components!$D$2:$D$61,F527)&gt;0,1,0)</f>
        <v>1</v>
      </c>
    </row>
    <row r="528" spans="1:7" ht="15" customHeight="1" x14ac:dyDescent="0.25">
      <c r="A528" t="s">
        <v>5</v>
      </c>
      <c r="B528" t="s">
        <v>663</v>
      </c>
      <c r="C528" t="s">
        <v>361</v>
      </c>
      <c r="D528" t="s">
        <v>1047</v>
      </c>
      <c r="E528" t="str">
        <f t="shared" si="16"/>
        <v>SSA</v>
      </c>
      <c r="F528" t="str">
        <f t="shared" si="17"/>
        <v>SSA</v>
      </c>
      <c r="G528">
        <f>IF(COUNTIFS(Factory_Components!$A$2:$A$61,VLOOKUP(A528,Runs!$A$2:$B$9,2,FALSE()),Factory_Components!$B$2:$B$61,"a",Factory_Components!$D$2:$D$61,F528)&gt;0,1,0)</f>
        <v>1</v>
      </c>
    </row>
    <row r="529" spans="1:7" ht="15" customHeight="1" x14ac:dyDescent="0.25">
      <c r="A529" t="s">
        <v>5</v>
      </c>
      <c r="B529" t="s">
        <v>681</v>
      </c>
      <c r="C529" t="s">
        <v>363</v>
      </c>
      <c r="D529" t="s">
        <v>1048</v>
      </c>
      <c r="E529" t="str">
        <f t="shared" si="16"/>
        <v>CHS</v>
      </c>
      <c r="F529" t="str">
        <f t="shared" si="17"/>
        <v>CHS</v>
      </c>
      <c r="G529">
        <f>IF(COUNTIFS(Factory_Components!$A$2:$A$61,VLOOKUP(A529,Runs!$A$2:$B$9,2,FALSE()),Factory_Components!$B$2:$B$61,"a",Factory_Components!$D$2:$D$61,F529)&gt;0,1,0)</f>
        <v>1</v>
      </c>
    </row>
    <row r="530" spans="1:7" ht="15" customHeight="1" x14ac:dyDescent="0.25">
      <c r="A530" t="s">
        <v>5</v>
      </c>
      <c r="B530" t="s">
        <v>811</v>
      </c>
      <c r="C530" t="s">
        <v>359</v>
      </c>
      <c r="D530" t="s">
        <v>1049</v>
      </c>
      <c r="E530" t="str">
        <f t="shared" si="16"/>
        <v>FT</v>
      </c>
      <c r="F530" t="str">
        <f t="shared" si="17"/>
        <v>FT</v>
      </c>
      <c r="G530">
        <f>IF(COUNTIFS(Factory_Components!$A$2:$A$61,VLOOKUP(A530,Runs!$A$2:$B$9,2,FALSE()),Factory_Components!$B$2:$B$61,"a",Factory_Components!$D$2:$D$61,F530)&gt;0,1,0)</f>
        <v>1</v>
      </c>
    </row>
    <row r="531" spans="1:7" ht="15" customHeight="1" x14ac:dyDescent="0.25">
      <c r="A531" t="s">
        <v>5</v>
      </c>
      <c r="B531" t="s">
        <v>517</v>
      </c>
      <c r="C531" t="s">
        <v>360</v>
      </c>
      <c r="D531" t="s">
        <v>1050</v>
      </c>
      <c r="E531" t="str">
        <f t="shared" si="16"/>
        <v>RT</v>
      </c>
      <c r="F531" t="str">
        <f t="shared" si="17"/>
        <v>RT</v>
      </c>
      <c r="G531">
        <f>IF(COUNTIFS(Factory_Components!$A$2:$A$61,VLOOKUP(A531,Runs!$A$2:$B$9,2,FALSE()),Factory_Components!$B$2:$B$61,"a",Factory_Components!$D$2:$D$61,F531)&gt;0,1,0)</f>
        <v>1</v>
      </c>
    </row>
    <row r="532" spans="1:7" ht="15" customHeight="1" x14ac:dyDescent="0.25">
      <c r="A532" t="s">
        <v>6</v>
      </c>
      <c r="B532" t="s">
        <v>377</v>
      </c>
      <c r="C532" t="s">
        <v>350</v>
      </c>
      <c r="D532" t="s">
        <v>1051</v>
      </c>
      <c r="E532" t="str">
        <f t="shared" si="16"/>
        <v>BOSP</v>
      </c>
      <c r="F532" t="str">
        <f t="shared" si="17"/>
        <v>BOSP</v>
      </c>
      <c r="G532">
        <f>IF(COUNTIFS(Factory_Components!$A$2:$A$61,VLOOKUP(A532,Runs!$A$2:$B$9,2,FALSE()),Factory_Components!$B$2:$B$61,"a",Factory_Components!$D$2:$D$61,F532)&gt;0,1,0)</f>
        <v>1</v>
      </c>
    </row>
    <row r="533" spans="1:7" ht="15" customHeight="1" x14ac:dyDescent="0.25">
      <c r="A533" t="s">
        <v>6</v>
      </c>
      <c r="B533" t="s">
        <v>379</v>
      </c>
      <c r="C533" t="s">
        <v>350</v>
      </c>
      <c r="D533" t="s">
        <v>1052</v>
      </c>
      <c r="E533" t="str">
        <f t="shared" si="16"/>
        <v>BOSP</v>
      </c>
      <c r="F533" t="str">
        <f t="shared" si="17"/>
        <v>BOSP</v>
      </c>
      <c r="G533">
        <f>IF(COUNTIFS(Factory_Components!$A$2:$A$61,VLOOKUP(A533,Runs!$A$2:$B$9,2,FALSE()),Factory_Components!$B$2:$B$61,"a",Factory_Components!$D$2:$D$61,F533)&gt;0,1,0)</f>
        <v>1</v>
      </c>
    </row>
    <row r="534" spans="1:7" ht="15" customHeight="1" x14ac:dyDescent="0.25">
      <c r="A534" t="s">
        <v>6</v>
      </c>
      <c r="B534" t="s">
        <v>385</v>
      </c>
      <c r="C534" t="s">
        <v>351</v>
      </c>
      <c r="D534" t="s">
        <v>1053</v>
      </c>
      <c r="E534" t="str">
        <f t="shared" si="16"/>
        <v>BOSP</v>
      </c>
      <c r="F534" t="str">
        <f t="shared" si="17"/>
        <v>BOSP</v>
      </c>
      <c r="G534">
        <f>IF(COUNTIFS(Factory_Components!$A$2:$A$61,VLOOKUP(A534,Runs!$A$2:$B$9,2,FALSE()),Factory_Components!$B$2:$B$61,"a",Factory_Components!$D$2:$D$61,F534)&gt;0,1,0)</f>
        <v>1</v>
      </c>
    </row>
    <row r="535" spans="1:7" ht="15" customHeight="1" x14ac:dyDescent="0.25">
      <c r="A535" t="s">
        <v>6</v>
      </c>
      <c r="B535" t="s">
        <v>395</v>
      </c>
      <c r="C535" t="s">
        <v>352</v>
      </c>
      <c r="D535" t="s">
        <v>1054</v>
      </c>
      <c r="E535" t="str">
        <f t="shared" si="16"/>
        <v>BOSP</v>
      </c>
      <c r="F535" t="str">
        <f t="shared" si="17"/>
        <v>BOSP</v>
      </c>
      <c r="G535">
        <f>IF(COUNTIFS(Factory_Components!$A$2:$A$61,VLOOKUP(A535,Runs!$A$2:$B$9,2,FALSE()),Factory_Components!$B$2:$B$61,"a",Factory_Components!$D$2:$D$61,F535)&gt;0,1,0)</f>
        <v>1</v>
      </c>
    </row>
    <row r="536" spans="1:7" ht="15" customHeight="1" x14ac:dyDescent="0.25">
      <c r="A536" t="s">
        <v>6</v>
      </c>
      <c r="B536" t="s">
        <v>387</v>
      </c>
      <c r="C536" t="s">
        <v>351</v>
      </c>
      <c r="D536" t="s">
        <v>1055</v>
      </c>
      <c r="E536" t="str">
        <f t="shared" si="16"/>
        <v>BOSP</v>
      </c>
      <c r="F536" t="str">
        <f t="shared" si="17"/>
        <v>BOSP</v>
      </c>
      <c r="G536">
        <f>IF(COUNTIFS(Factory_Components!$A$2:$A$61,VLOOKUP(A536,Runs!$A$2:$B$9,2,FALSE()),Factory_Components!$B$2:$B$61,"a",Factory_Components!$D$2:$D$61,F536)&gt;0,1,0)</f>
        <v>1</v>
      </c>
    </row>
    <row r="537" spans="1:7" ht="15" customHeight="1" x14ac:dyDescent="0.25">
      <c r="A537" t="s">
        <v>6</v>
      </c>
      <c r="B537" t="s">
        <v>538</v>
      </c>
      <c r="C537" t="s">
        <v>350</v>
      </c>
      <c r="D537" t="s">
        <v>1056</v>
      </c>
      <c r="E537" t="str">
        <f t="shared" si="16"/>
        <v>BAT</v>
      </c>
      <c r="F537" t="str">
        <f t="shared" si="17"/>
        <v>BAT</v>
      </c>
      <c r="G537">
        <f>IF(COUNTIFS(Factory_Components!$A$2:$A$61,VLOOKUP(A537,Runs!$A$2:$B$9,2,FALSE()),Factory_Components!$B$2:$B$61,"a",Factory_Components!$D$2:$D$61,F537)&gt;0,1,0)</f>
        <v>1</v>
      </c>
    </row>
    <row r="538" spans="1:7" ht="15" customHeight="1" x14ac:dyDescent="0.25">
      <c r="A538" t="s">
        <v>6</v>
      </c>
      <c r="B538" t="s">
        <v>399</v>
      </c>
      <c r="C538" t="s">
        <v>352</v>
      </c>
      <c r="D538" t="s">
        <v>1057</v>
      </c>
      <c r="E538" t="str">
        <f t="shared" si="16"/>
        <v>BOSP</v>
      </c>
      <c r="F538" t="str">
        <f t="shared" si="17"/>
        <v>BOSP</v>
      </c>
      <c r="G538">
        <f>IF(COUNTIFS(Factory_Components!$A$2:$A$61,VLOOKUP(A538,Runs!$A$2:$B$9,2,FALSE()),Factory_Components!$B$2:$B$61,"a",Factory_Components!$D$2:$D$61,F538)&gt;0,1,0)</f>
        <v>1</v>
      </c>
    </row>
    <row r="539" spans="1:7" ht="15" customHeight="1" x14ac:dyDescent="0.25">
      <c r="A539" t="s">
        <v>6</v>
      </c>
      <c r="B539" t="s">
        <v>411</v>
      </c>
      <c r="C539" t="s">
        <v>353</v>
      </c>
      <c r="D539" t="s">
        <v>1058</v>
      </c>
      <c r="E539" t="str">
        <f t="shared" si="16"/>
        <v>BOSP</v>
      </c>
      <c r="F539" t="str">
        <f t="shared" si="17"/>
        <v>BOSP</v>
      </c>
      <c r="G539">
        <f>IF(COUNTIFS(Factory_Components!$A$2:$A$61,VLOOKUP(A539,Runs!$A$2:$B$9,2,FALSE()),Factory_Components!$B$2:$B$61,"a",Factory_Components!$D$2:$D$61,F539)&gt;0,1,0)</f>
        <v>1</v>
      </c>
    </row>
    <row r="540" spans="1:7" ht="15" customHeight="1" x14ac:dyDescent="0.25">
      <c r="A540" t="s">
        <v>6</v>
      </c>
      <c r="B540" t="s">
        <v>381</v>
      </c>
      <c r="C540" t="s">
        <v>350</v>
      </c>
      <c r="D540" t="s">
        <v>1059</v>
      </c>
      <c r="E540" t="str">
        <f t="shared" si="16"/>
        <v>RT</v>
      </c>
      <c r="F540" t="str">
        <f t="shared" si="17"/>
        <v>RT</v>
      </c>
      <c r="G540">
        <f>IF(COUNTIFS(Factory_Components!$A$2:$A$61,VLOOKUP(A540,Runs!$A$2:$B$9,2,FALSE()),Factory_Components!$B$2:$B$61,"a",Factory_Components!$D$2:$D$61,F540)&gt;0,1,0)</f>
        <v>1</v>
      </c>
    </row>
    <row r="541" spans="1:7" ht="15" customHeight="1" x14ac:dyDescent="0.25">
      <c r="A541" t="s">
        <v>6</v>
      </c>
      <c r="B541" t="s">
        <v>543</v>
      </c>
      <c r="C541" t="s">
        <v>351</v>
      </c>
      <c r="D541" t="s">
        <v>1060</v>
      </c>
      <c r="E541" t="str">
        <f t="shared" si="16"/>
        <v>BAT</v>
      </c>
      <c r="F541" t="str">
        <f t="shared" si="17"/>
        <v>BAT</v>
      </c>
      <c r="G541">
        <f>IF(COUNTIFS(Factory_Components!$A$2:$A$61,VLOOKUP(A541,Runs!$A$2:$B$9,2,FALSE()),Factory_Components!$B$2:$B$61,"a",Factory_Components!$D$2:$D$61,F541)&gt;0,1,0)</f>
        <v>1</v>
      </c>
    </row>
    <row r="542" spans="1:7" ht="15" customHeight="1" x14ac:dyDescent="0.25">
      <c r="A542" t="s">
        <v>6</v>
      </c>
      <c r="B542" t="s">
        <v>441</v>
      </c>
      <c r="C542" t="s">
        <v>364</v>
      </c>
      <c r="D542" t="s">
        <v>1061</v>
      </c>
      <c r="E542" t="str">
        <f t="shared" si="16"/>
        <v>RT</v>
      </c>
      <c r="F542" t="str">
        <f t="shared" si="17"/>
        <v>RT</v>
      </c>
      <c r="G542">
        <f>IF(COUNTIFS(Factory_Components!$A$2:$A$61,VLOOKUP(A542,Runs!$A$2:$B$9,2,FALSE()),Factory_Components!$B$2:$B$61,"a",Factory_Components!$D$2:$D$61,F542)&gt;0,1,0)</f>
        <v>1</v>
      </c>
    </row>
    <row r="543" spans="1:7" ht="15" customHeight="1" x14ac:dyDescent="0.25">
      <c r="A543" t="s">
        <v>6</v>
      </c>
      <c r="B543" t="s">
        <v>383</v>
      </c>
      <c r="C543" t="s">
        <v>350</v>
      </c>
      <c r="D543" t="s">
        <v>1062</v>
      </c>
      <c r="E543" t="str">
        <f t="shared" si="16"/>
        <v>RT</v>
      </c>
      <c r="F543" t="str">
        <f t="shared" si="17"/>
        <v>RT</v>
      </c>
      <c r="G543">
        <f>IF(COUNTIFS(Factory_Components!$A$2:$A$61,VLOOKUP(A543,Runs!$A$2:$B$9,2,FALSE()),Factory_Components!$B$2:$B$61,"a",Factory_Components!$D$2:$D$61,F543)&gt;0,1,0)</f>
        <v>1</v>
      </c>
    </row>
    <row r="544" spans="1:7" ht="15" customHeight="1" x14ac:dyDescent="0.25">
      <c r="A544" t="s">
        <v>6</v>
      </c>
      <c r="B544" t="s">
        <v>413</v>
      </c>
      <c r="C544" t="s">
        <v>353</v>
      </c>
      <c r="D544" t="s">
        <v>1063</v>
      </c>
      <c r="E544" t="str">
        <f t="shared" si="16"/>
        <v>BOSP</v>
      </c>
      <c r="F544" t="str">
        <f t="shared" si="17"/>
        <v>BOSP</v>
      </c>
      <c r="G544">
        <f>IF(COUNTIFS(Factory_Components!$A$2:$A$61,VLOOKUP(A544,Runs!$A$2:$B$9,2,FALSE()),Factory_Components!$B$2:$B$61,"a",Factory_Components!$D$2:$D$61,F544)&gt;0,1,0)</f>
        <v>1</v>
      </c>
    </row>
    <row r="545" spans="1:7" ht="15" customHeight="1" x14ac:dyDescent="0.25">
      <c r="A545" t="s">
        <v>6</v>
      </c>
      <c r="B545" t="s">
        <v>389</v>
      </c>
      <c r="C545" t="s">
        <v>351</v>
      </c>
      <c r="D545" t="s">
        <v>1064</v>
      </c>
      <c r="E545" t="str">
        <f t="shared" si="16"/>
        <v>RT</v>
      </c>
      <c r="F545" t="str">
        <f t="shared" si="17"/>
        <v>RT</v>
      </c>
      <c r="G545">
        <f>IF(COUNTIFS(Factory_Components!$A$2:$A$61,VLOOKUP(A545,Runs!$A$2:$B$9,2,FALSE()),Factory_Components!$B$2:$B$61,"a",Factory_Components!$D$2:$D$61,F545)&gt;0,1,0)</f>
        <v>1</v>
      </c>
    </row>
    <row r="546" spans="1:7" ht="15" customHeight="1" x14ac:dyDescent="0.25">
      <c r="A546" t="s">
        <v>6</v>
      </c>
      <c r="B546" t="s">
        <v>548</v>
      </c>
      <c r="C546" t="s">
        <v>352</v>
      </c>
      <c r="D546" t="s">
        <v>1065</v>
      </c>
      <c r="E546" t="str">
        <f t="shared" si="16"/>
        <v>BAT</v>
      </c>
      <c r="F546" t="str">
        <f t="shared" si="17"/>
        <v>BAT</v>
      </c>
      <c r="G546">
        <f>IF(COUNTIFS(Factory_Components!$A$2:$A$61,VLOOKUP(A546,Runs!$A$2:$B$9,2,FALSE()),Factory_Components!$B$2:$B$61,"a",Factory_Components!$D$2:$D$61,F546)&gt;0,1,0)</f>
        <v>1</v>
      </c>
    </row>
    <row r="547" spans="1:7" ht="15" customHeight="1" x14ac:dyDescent="0.25">
      <c r="A547" t="s">
        <v>6</v>
      </c>
      <c r="B547" t="s">
        <v>443</v>
      </c>
      <c r="C547" t="s">
        <v>364</v>
      </c>
      <c r="D547" t="s">
        <v>1066</v>
      </c>
      <c r="E547" t="str">
        <f t="shared" si="16"/>
        <v>RT</v>
      </c>
      <c r="F547" t="str">
        <f t="shared" si="17"/>
        <v>RT</v>
      </c>
      <c r="G547">
        <f>IF(COUNTIFS(Factory_Components!$A$2:$A$61,VLOOKUP(A547,Runs!$A$2:$B$9,2,FALSE()),Factory_Components!$B$2:$B$61,"a",Factory_Components!$D$2:$D$61,F547)&gt;0,1,0)</f>
        <v>1</v>
      </c>
    </row>
    <row r="548" spans="1:7" ht="15" customHeight="1" x14ac:dyDescent="0.25">
      <c r="A548" t="s">
        <v>6</v>
      </c>
      <c r="B548" t="s">
        <v>393</v>
      </c>
      <c r="C548" t="s">
        <v>351</v>
      </c>
      <c r="D548" t="s">
        <v>1067</v>
      </c>
      <c r="E548" t="str">
        <f t="shared" si="16"/>
        <v>RT</v>
      </c>
      <c r="F548" t="str">
        <f t="shared" si="17"/>
        <v>RT</v>
      </c>
      <c r="G548">
        <f>IF(COUNTIFS(Factory_Components!$A$2:$A$61,VLOOKUP(A548,Runs!$A$2:$B$9,2,FALSE()),Factory_Components!$B$2:$B$61,"a",Factory_Components!$D$2:$D$61,F548)&gt;0,1,0)</f>
        <v>1</v>
      </c>
    </row>
    <row r="549" spans="1:7" ht="15" customHeight="1" x14ac:dyDescent="0.25">
      <c r="A549" t="s">
        <v>6</v>
      </c>
      <c r="B549" t="s">
        <v>550</v>
      </c>
      <c r="C549" t="s">
        <v>350</v>
      </c>
      <c r="D549" t="s">
        <v>1068</v>
      </c>
      <c r="E549" t="str">
        <f t="shared" si="16"/>
        <v>FT</v>
      </c>
      <c r="F549" t="str">
        <f t="shared" si="17"/>
        <v>FT</v>
      </c>
      <c r="G549">
        <f>IF(COUNTIFS(Factory_Components!$A$2:$A$61,VLOOKUP(A549,Runs!$A$2:$B$9,2,FALSE()),Factory_Components!$B$2:$B$61,"a",Factory_Components!$D$2:$D$61,F549)&gt;0,1,0)</f>
        <v>1</v>
      </c>
    </row>
    <row r="550" spans="1:7" ht="15" customHeight="1" x14ac:dyDescent="0.25">
      <c r="A550" t="s">
        <v>6</v>
      </c>
      <c r="B550" t="s">
        <v>401</v>
      </c>
      <c r="C550" t="s">
        <v>352</v>
      </c>
      <c r="D550" t="s">
        <v>1069</v>
      </c>
      <c r="E550" t="str">
        <f t="shared" si="16"/>
        <v>RT</v>
      </c>
      <c r="F550" t="str">
        <f t="shared" si="17"/>
        <v>RT</v>
      </c>
      <c r="G550">
        <f>IF(COUNTIFS(Factory_Components!$A$2:$A$61,VLOOKUP(A550,Runs!$A$2:$B$9,2,FALSE()),Factory_Components!$B$2:$B$61,"a",Factory_Components!$D$2:$D$61,F550)&gt;0,1,0)</f>
        <v>1</v>
      </c>
    </row>
    <row r="551" spans="1:7" ht="15" customHeight="1" x14ac:dyDescent="0.25">
      <c r="A551" t="s">
        <v>6</v>
      </c>
      <c r="B551" t="s">
        <v>423</v>
      </c>
      <c r="C551" t="s">
        <v>353</v>
      </c>
      <c r="D551" t="s">
        <v>1070</v>
      </c>
      <c r="E551" t="str">
        <f t="shared" si="16"/>
        <v>BAT</v>
      </c>
      <c r="F551" t="str">
        <f t="shared" si="17"/>
        <v>BAT</v>
      </c>
      <c r="G551">
        <f>IF(COUNTIFS(Factory_Components!$A$2:$A$61,VLOOKUP(A551,Runs!$A$2:$B$9,2,FALSE()),Factory_Components!$B$2:$B$61,"a",Factory_Components!$D$2:$D$61,F551)&gt;0,1,0)</f>
        <v>1</v>
      </c>
    </row>
    <row r="552" spans="1:7" ht="15" customHeight="1" x14ac:dyDescent="0.25">
      <c r="A552" t="s">
        <v>6</v>
      </c>
      <c r="B552" t="s">
        <v>445</v>
      </c>
      <c r="C552" t="s">
        <v>364</v>
      </c>
      <c r="D552" t="s">
        <v>1071</v>
      </c>
      <c r="E552" t="str">
        <f t="shared" si="16"/>
        <v>FT</v>
      </c>
      <c r="F552" t="str">
        <f t="shared" si="17"/>
        <v>FT</v>
      </c>
      <c r="G552">
        <f>IF(COUNTIFS(Factory_Components!$A$2:$A$61,VLOOKUP(A552,Runs!$A$2:$B$9,2,FALSE()),Factory_Components!$B$2:$B$61,"a",Factory_Components!$D$2:$D$61,F552)&gt;0,1,0)</f>
        <v>1</v>
      </c>
    </row>
    <row r="553" spans="1:7" ht="15" customHeight="1" x14ac:dyDescent="0.25">
      <c r="A553" t="s">
        <v>6</v>
      </c>
      <c r="B553" t="s">
        <v>409</v>
      </c>
      <c r="C553" t="s">
        <v>352</v>
      </c>
      <c r="D553" t="s">
        <v>1072</v>
      </c>
      <c r="E553" t="str">
        <f t="shared" si="16"/>
        <v>RT</v>
      </c>
      <c r="F553" t="str">
        <f t="shared" si="17"/>
        <v>RT</v>
      </c>
      <c r="G553">
        <f>IF(COUNTIFS(Factory_Components!$A$2:$A$61,VLOOKUP(A553,Runs!$A$2:$B$9,2,FALSE()),Factory_Components!$B$2:$B$61,"a",Factory_Components!$D$2:$D$61,F553)&gt;0,1,0)</f>
        <v>1</v>
      </c>
    </row>
    <row r="554" spans="1:7" ht="15" customHeight="1" x14ac:dyDescent="0.25">
      <c r="A554" t="s">
        <v>6</v>
      </c>
      <c r="B554" t="s">
        <v>557</v>
      </c>
      <c r="C554" t="s">
        <v>351</v>
      </c>
      <c r="D554" t="s">
        <v>1073</v>
      </c>
      <c r="E554" t="str">
        <f t="shared" si="16"/>
        <v>FT</v>
      </c>
      <c r="F554" t="str">
        <f t="shared" si="17"/>
        <v>FT</v>
      </c>
      <c r="G554">
        <f>IF(COUNTIFS(Factory_Components!$A$2:$A$61,VLOOKUP(A554,Runs!$A$2:$B$9,2,FALSE()),Factory_Components!$B$2:$B$61,"a",Factory_Components!$D$2:$D$61,F554)&gt;0,1,0)</f>
        <v>1</v>
      </c>
    </row>
    <row r="555" spans="1:7" ht="15" customHeight="1" x14ac:dyDescent="0.25">
      <c r="A555" t="s">
        <v>6</v>
      </c>
      <c r="B555" t="s">
        <v>555</v>
      </c>
      <c r="C555" t="s">
        <v>350</v>
      </c>
      <c r="D555" t="s">
        <v>1074</v>
      </c>
      <c r="E555" t="str">
        <f t="shared" si="16"/>
        <v>FT</v>
      </c>
      <c r="F555" t="str">
        <f t="shared" si="17"/>
        <v>FT</v>
      </c>
      <c r="G555">
        <f>IF(COUNTIFS(Factory_Components!$A$2:$A$61,VLOOKUP(A555,Runs!$A$2:$B$9,2,FALSE()),Factory_Components!$B$2:$B$61,"a",Factory_Components!$D$2:$D$61,F555)&gt;0,1,0)</f>
        <v>1</v>
      </c>
    </row>
    <row r="556" spans="1:7" ht="15" customHeight="1" x14ac:dyDescent="0.25">
      <c r="A556" t="s">
        <v>6</v>
      </c>
      <c r="B556" t="s">
        <v>427</v>
      </c>
      <c r="C556" t="s">
        <v>353</v>
      </c>
      <c r="D556" t="s">
        <v>1075</v>
      </c>
      <c r="E556" t="str">
        <f t="shared" si="16"/>
        <v>RT</v>
      </c>
      <c r="F556" t="str">
        <f t="shared" si="17"/>
        <v>RT</v>
      </c>
      <c r="G556">
        <f>IF(COUNTIFS(Factory_Components!$A$2:$A$61,VLOOKUP(A556,Runs!$A$2:$B$9,2,FALSE()),Factory_Components!$B$2:$B$61,"a",Factory_Components!$D$2:$D$61,F556)&gt;0,1,0)</f>
        <v>1</v>
      </c>
    </row>
    <row r="557" spans="1:7" ht="15" customHeight="1" x14ac:dyDescent="0.25">
      <c r="A557" t="s">
        <v>6</v>
      </c>
      <c r="B557" t="s">
        <v>447</v>
      </c>
      <c r="C557" t="s">
        <v>364</v>
      </c>
      <c r="D557" t="s">
        <v>1076</v>
      </c>
      <c r="E557" t="str">
        <f t="shared" si="16"/>
        <v>FT</v>
      </c>
      <c r="F557" t="str">
        <f t="shared" si="17"/>
        <v>FT</v>
      </c>
      <c r="G557">
        <f>IF(COUNTIFS(Factory_Components!$A$2:$A$61,VLOOKUP(A557,Runs!$A$2:$B$9,2,FALSE()),Factory_Components!$B$2:$B$61,"a",Factory_Components!$D$2:$D$61,F557)&gt;0,1,0)</f>
        <v>1</v>
      </c>
    </row>
    <row r="558" spans="1:7" ht="15" customHeight="1" x14ac:dyDescent="0.25">
      <c r="A558" t="s">
        <v>6</v>
      </c>
      <c r="B558" t="s">
        <v>429</v>
      </c>
      <c r="C558" t="s">
        <v>353</v>
      </c>
      <c r="D558" t="s">
        <v>1077</v>
      </c>
      <c r="E558" t="str">
        <f t="shared" si="16"/>
        <v>RT</v>
      </c>
      <c r="F558" t="str">
        <f t="shared" si="17"/>
        <v>RT</v>
      </c>
      <c r="G558">
        <f>IF(COUNTIFS(Factory_Components!$A$2:$A$61,VLOOKUP(A558,Runs!$A$2:$B$9,2,FALSE()),Factory_Components!$B$2:$B$61,"a",Factory_Components!$D$2:$D$61,F558)&gt;0,1,0)</f>
        <v>1</v>
      </c>
    </row>
    <row r="559" spans="1:7" ht="15" customHeight="1" x14ac:dyDescent="0.25">
      <c r="A559" t="s">
        <v>6</v>
      </c>
      <c r="B559" t="s">
        <v>563</v>
      </c>
      <c r="C559" t="s">
        <v>352</v>
      </c>
      <c r="D559" t="s">
        <v>1078</v>
      </c>
      <c r="E559" t="str">
        <f t="shared" si="16"/>
        <v>FT</v>
      </c>
      <c r="F559" t="str">
        <f t="shared" si="17"/>
        <v>FT</v>
      </c>
      <c r="G559">
        <f>IF(COUNTIFS(Factory_Components!$A$2:$A$61,VLOOKUP(A559,Runs!$A$2:$B$9,2,FALSE()),Factory_Components!$B$2:$B$61,"a",Factory_Components!$D$2:$D$61,F559)&gt;0,1,0)</f>
        <v>1</v>
      </c>
    </row>
    <row r="560" spans="1:7" ht="15" customHeight="1" x14ac:dyDescent="0.25">
      <c r="A560" t="s">
        <v>6</v>
      </c>
      <c r="B560" t="s">
        <v>561</v>
      </c>
      <c r="C560" t="s">
        <v>351</v>
      </c>
      <c r="D560" t="s">
        <v>1079</v>
      </c>
      <c r="E560" t="str">
        <f t="shared" si="16"/>
        <v>FT</v>
      </c>
      <c r="F560" t="str">
        <f t="shared" si="17"/>
        <v>FT</v>
      </c>
      <c r="G560">
        <f>IF(COUNTIFS(Factory_Components!$A$2:$A$61,VLOOKUP(A560,Runs!$A$2:$B$9,2,FALSE()),Factory_Components!$B$2:$B$61,"a",Factory_Components!$D$2:$D$61,F560)&gt;0,1,0)</f>
        <v>1</v>
      </c>
    </row>
    <row r="561" spans="1:7" ht="15" customHeight="1" x14ac:dyDescent="0.25">
      <c r="A561" t="s">
        <v>6</v>
      </c>
      <c r="B561" t="s">
        <v>1080</v>
      </c>
      <c r="C561" t="s">
        <v>351</v>
      </c>
      <c r="D561" t="s">
        <v>1081</v>
      </c>
      <c r="E561" t="str">
        <f t="shared" si="16"/>
        <v>CRE</v>
      </c>
      <c r="F561" t="str">
        <f t="shared" si="17"/>
        <v>CRE</v>
      </c>
      <c r="G561">
        <f>IF(COUNTIFS(Factory_Components!$A$2:$A$61,VLOOKUP(A561,Runs!$A$2:$B$9,2,FALSE()),Factory_Components!$B$2:$B$61,"a",Factory_Components!$D$2:$D$61,F561)&gt;0,1,0)</f>
        <v>0</v>
      </c>
    </row>
    <row r="562" spans="1:7" ht="15" customHeight="1" x14ac:dyDescent="0.25">
      <c r="A562" t="s">
        <v>6</v>
      </c>
      <c r="B562" t="s">
        <v>453</v>
      </c>
      <c r="C562" t="s">
        <v>364</v>
      </c>
      <c r="D562" t="s">
        <v>1082</v>
      </c>
      <c r="E562" t="str">
        <f t="shared" si="16"/>
        <v>SSA</v>
      </c>
      <c r="F562" t="str">
        <f t="shared" si="17"/>
        <v>SSA</v>
      </c>
      <c r="G562">
        <f>IF(COUNTIFS(Factory_Components!$A$2:$A$61,VLOOKUP(A562,Runs!$A$2:$B$9,2,FALSE()),Factory_Components!$B$2:$B$61,"a",Factory_Components!$D$2:$D$61,F562)&gt;0,1,0)</f>
        <v>1</v>
      </c>
    </row>
    <row r="563" spans="1:7" ht="15" customHeight="1" x14ac:dyDescent="0.25">
      <c r="A563" t="s">
        <v>6</v>
      </c>
      <c r="B563" t="s">
        <v>435</v>
      </c>
      <c r="C563" t="s">
        <v>353</v>
      </c>
      <c r="D563" t="s">
        <v>1083</v>
      </c>
      <c r="E563" t="str">
        <f t="shared" si="16"/>
        <v>FT</v>
      </c>
      <c r="F563" t="str">
        <f t="shared" si="17"/>
        <v>FT</v>
      </c>
      <c r="G563">
        <f>IF(COUNTIFS(Factory_Components!$A$2:$A$61,VLOOKUP(A563,Runs!$A$2:$B$9,2,FALSE()),Factory_Components!$B$2:$B$61,"a",Factory_Components!$D$2:$D$61,F563)&gt;0,1,0)</f>
        <v>1</v>
      </c>
    </row>
    <row r="564" spans="1:7" ht="15" customHeight="1" x14ac:dyDescent="0.25">
      <c r="A564" t="s">
        <v>6</v>
      </c>
      <c r="B564" t="s">
        <v>566</v>
      </c>
      <c r="C564" t="s">
        <v>352</v>
      </c>
      <c r="D564" t="s">
        <v>1084</v>
      </c>
      <c r="E564" t="str">
        <f t="shared" si="16"/>
        <v>FT</v>
      </c>
      <c r="F564" t="str">
        <f t="shared" si="17"/>
        <v>FT</v>
      </c>
      <c r="G564">
        <f>IF(COUNTIFS(Factory_Components!$A$2:$A$61,VLOOKUP(A564,Runs!$A$2:$B$9,2,FALSE()),Factory_Components!$B$2:$B$61,"a",Factory_Components!$D$2:$D$61,F564)&gt;0,1,0)</f>
        <v>1</v>
      </c>
    </row>
    <row r="565" spans="1:7" ht="15" customHeight="1" x14ac:dyDescent="0.25">
      <c r="A565" t="s">
        <v>6</v>
      </c>
      <c r="B565" t="s">
        <v>461</v>
      </c>
      <c r="C565" t="s">
        <v>351</v>
      </c>
      <c r="D565" t="s">
        <v>1085</v>
      </c>
      <c r="E565" t="str">
        <f t="shared" si="16"/>
        <v>BOSP</v>
      </c>
      <c r="F565" t="str">
        <f t="shared" si="17"/>
        <v>BOSP</v>
      </c>
      <c r="G565">
        <f>IF(COUNTIFS(Factory_Components!$A$2:$A$61,VLOOKUP(A565,Runs!$A$2:$B$9,2,FALSE()),Factory_Components!$B$2:$B$61,"a",Factory_Components!$D$2:$D$61,F565)&gt;0,1,0)</f>
        <v>1</v>
      </c>
    </row>
    <row r="566" spans="1:7" ht="15" customHeight="1" x14ac:dyDescent="0.25">
      <c r="A566" t="s">
        <v>6</v>
      </c>
      <c r="B566" t="s">
        <v>457</v>
      </c>
      <c r="C566" t="s">
        <v>364</v>
      </c>
      <c r="D566" t="s">
        <v>1086</v>
      </c>
      <c r="E566" t="str">
        <f t="shared" si="16"/>
        <v>SSA</v>
      </c>
      <c r="F566" t="str">
        <f t="shared" si="17"/>
        <v>SSA</v>
      </c>
      <c r="G566">
        <f>IF(COUNTIFS(Factory_Components!$A$2:$A$61,VLOOKUP(A566,Runs!$A$2:$B$9,2,FALSE()),Factory_Components!$B$2:$B$61,"a",Factory_Components!$D$2:$D$61,F566)&gt;0,1,0)</f>
        <v>1</v>
      </c>
    </row>
    <row r="567" spans="1:7" ht="15" customHeight="1" x14ac:dyDescent="0.25">
      <c r="A567" t="s">
        <v>6</v>
      </c>
      <c r="B567" t="s">
        <v>437</v>
      </c>
      <c r="C567" t="s">
        <v>353</v>
      </c>
      <c r="D567" t="s">
        <v>1087</v>
      </c>
      <c r="E567" t="str">
        <f t="shared" si="16"/>
        <v>FT</v>
      </c>
      <c r="F567" t="str">
        <f t="shared" si="17"/>
        <v>FT</v>
      </c>
      <c r="G567">
        <f>IF(COUNTIFS(Factory_Components!$A$2:$A$61,VLOOKUP(A567,Runs!$A$2:$B$9,2,FALSE()),Factory_Components!$B$2:$B$61,"a",Factory_Components!$D$2:$D$61,F567)&gt;0,1,0)</f>
        <v>1</v>
      </c>
    </row>
    <row r="568" spans="1:7" ht="15" customHeight="1" x14ac:dyDescent="0.25">
      <c r="A568" t="s">
        <v>6</v>
      </c>
      <c r="B568" t="s">
        <v>465</v>
      </c>
      <c r="C568" t="s">
        <v>351</v>
      </c>
      <c r="D568" t="s">
        <v>1088</v>
      </c>
      <c r="E568" t="str">
        <f t="shared" si="16"/>
        <v>BOSP</v>
      </c>
      <c r="F568" t="str">
        <f t="shared" si="17"/>
        <v>BOSP</v>
      </c>
      <c r="G568">
        <f>IF(COUNTIFS(Factory_Components!$A$2:$A$61,VLOOKUP(A568,Runs!$A$2:$B$9,2,FALSE()),Factory_Components!$B$2:$B$61,"a",Factory_Components!$D$2:$D$61,F568)&gt;0,1,0)</f>
        <v>1</v>
      </c>
    </row>
    <row r="569" spans="1:7" ht="15" customHeight="1" x14ac:dyDescent="0.25">
      <c r="A569" t="s">
        <v>6</v>
      </c>
      <c r="B569" t="s">
        <v>463</v>
      </c>
      <c r="C569" t="s">
        <v>364</v>
      </c>
      <c r="D569" t="s">
        <v>1089</v>
      </c>
      <c r="E569" t="str">
        <f t="shared" si="16"/>
        <v>BSA</v>
      </c>
      <c r="F569" t="str">
        <f t="shared" si="17"/>
        <v>BSA</v>
      </c>
      <c r="G569">
        <f>IF(COUNTIFS(Factory_Components!$A$2:$A$61,VLOOKUP(A569,Runs!$A$2:$B$9,2,FALSE()),Factory_Components!$B$2:$B$61,"a",Factory_Components!$D$2:$D$61,F569)&gt;0,1,0)</f>
        <v>1</v>
      </c>
    </row>
    <row r="570" spans="1:7" ht="15" customHeight="1" x14ac:dyDescent="0.25">
      <c r="A570" t="s">
        <v>6</v>
      </c>
      <c r="B570" t="s">
        <v>570</v>
      </c>
      <c r="C570" t="s">
        <v>350</v>
      </c>
      <c r="D570" t="s">
        <v>1090</v>
      </c>
      <c r="E570" t="str">
        <f t="shared" si="16"/>
        <v>SSA</v>
      </c>
      <c r="F570" t="str">
        <f t="shared" si="17"/>
        <v>SSA</v>
      </c>
      <c r="G570">
        <f>IF(COUNTIFS(Factory_Components!$A$2:$A$61,VLOOKUP(A570,Runs!$A$2:$B$9,2,FALSE()),Factory_Components!$B$2:$B$61,"a",Factory_Components!$D$2:$D$61,F570)&gt;0,1,0)</f>
        <v>1</v>
      </c>
    </row>
    <row r="571" spans="1:7" ht="15" customHeight="1" x14ac:dyDescent="0.25">
      <c r="A571" t="s">
        <v>6</v>
      </c>
      <c r="B571" t="s">
        <v>467</v>
      </c>
      <c r="C571" t="s">
        <v>364</v>
      </c>
      <c r="D571" t="s">
        <v>1091</v>
      </c>
      <c r="E571" t="str">
        <f t="shared" si="16"/>
        <v>BSA</v>
      </c>
      <c r="F571" t="str">
        <f t="shared" si="17"/>
        <v>BSA</v>
      </c>
      <c r="G571">
        <f>IF(COUNTIFS(Factory_Components!$A$2:$A$61,VLOOKUP(A571,Runs!$A$2:$B$9,2,FALSE()),Factory_Components!$B$2:$B$61,"a",Factory_Components!$D$2:$D$61,F571)&gt;0,1,0)</f>
        <v>1</v>
      </c>
    </row>
    <row r="572" spans="1:7" ht="15" customHeight="1" x14ac:dyDescent="0.25">
      <c r="A572" t="s">
        <v>6</v>
      </c>
      <c r="B572" t="s">
        <v>637</v>
      </c>
      <c r="C572" t="s">
        <v>351</v>
      </c>
      <c r="D572" t="s">
        <v>1092</v>
      </c>
      <c r="E572" t="str">
        <f t="shared" si="16"/>
        <v>BAT</v>
      </c>
      <c r="F572" t="str">
        <f t="shared" si="17"/>
        <v>BAT</v>
      </c>
      <c r="G572">
        <f>IF(COUNTIFS(Factory_Components!$A$2:$A$61,VLOOKUP(A572,Runs!$A$2:$B$9,2,FALSE()),Factory_Components!$B$2:$B$61,"a",Factory_Components!$D$2:$D$61,F572)&gt;0,1,0)</f>
        <v>1</v>
      </c>
    </row>
    <row r="573" spans="1:7" ht="15" customHeight="1" x14ac:dyDescent="0.25">
      <c r="A573" t="s">
        <v>6</v>
      </c>
      <c r="B573" t="s">
        <v>469</v>
      </c>
      <c r="C573" t="s">
        <v>364</v>
      </c>
      <c r="D573" t="s">
        <v>1093</v>
      </c>
      <c r="E573" t="str">
        <f t="shared" si="16"/>
        <v>CSEB-NABS</v>
      </c>
      <c r="F573" t="str">
        <f t="shared" si="17"/>
        <v>CSEB-NABS</v>
      </c>
      <c r="G573">
        <f>IF(COUNTIFS(Factory_Components!$A$2:$A$61,VLOOKUP(A573,Runs!$A$2:$B$9,2,FALSE()),Factory_Components!$B$2:$B$61,"a",Factory_Components!$D$2:$D$61,F573)&gt;0,1,0)</f>
        <v>0</v>
      </c>
    </row>
    <row r="574" spans="1:7" ht="15" customHeight="1" x14ac:dyDescent="0.25">
      <c r="A574" t="s">
        <v>6</v>
      </c>
      <c r="B574" t="s">
        <v>574</v>
      </c>
      <c r="C574" t="s">
        <v>350</v>
      </c>
      <c r="D574" t="s">
        <v>1094</v>
      </c>
      <c r="E574" t="str">
        <f t="shared" si="16"/>
        <v>SSA</v>
      </c>
      <c r="F574" t="str">
        <f t="shared" si="17"/>
        <v>SSA</v>
      </c>
      <c r="G574">
        <f>IF(COUNTIFS(Factory_Components!$A$2:$A$61,VLOOKUP(A574,Runs!$A$2:$B$9,2,FALSE()),Factory_Components!$B$2:$B$61,"a",Factory_Components!$D$2:$D$61,F574)&gt;0,1,0)</f>
        <v>1</v>
      </c>
    </row>
    <row r="575" spans="1:7" ht="15" customHeight="1" x14ac:dyDescent="0.25">
      <c r="A575" t="s">
        <v>6</v>
      </c>
      <c r="B575" t="s">
        <v>576</v>
      </c>
      <c r="C575" t="s">
        <v>350</v>
      </c>
      <c r="D575" t="s">
        <v>1095</v>
      </c>
      <c r="E575" t="str">
        <f t="shared" si="16"/>
        <v>FAX</v>
      </c>
      <c r="F575" t="str">
        <f t="shared" si="17"/>
        <v>FAX</v>
      </c>
      <c r="G575">
        <f>IF(COUNTIFS(Factory_Components!$A$2:$A$61,VLOOKUP(A575,Runs!$A$2:$B$9,2,FALSE()),Factory_Components!$B$2:$B$61,"a",Factory_Components!$D$2:$D$61,F575)&gt;0,1,0)</f>
        <v>1</v>
      </c>
    </row>
    <row r="576" spans="1:7" ht="15" customHeight="1" x14ac:dyDescent="0.25">
      <c r="A576" t="s">
        <v>6</v>
      </c>
      <c r="B576" t="s">
        <v>471</v>
      </c>
      <c r="C576" t="s">
        <v>351</v>
      </c>
      <c r="D576" t="s">
        <v>1096</v>
      </c>
      <c r="E576" t="str">
        <f t="shared" si="16"/>
        <v>RT</v>
      </c>
      <c r="F576" t="str">
        <f t="shared" si="17"/>
        <v>RT</v>
      </c>
      <c r="G576">
        <f>IF(COUNTIFS(Factory_Components!$A$2:$A$61,VLOOKUP(A576,Runs!$A$2:$B$9,2,FALSE()),Factory_Components!$B$2:$B$61,"a",Factory_Components!$D$2:$D$61,F576)&gt;0,1,0)</f>
        <v>1</v>
      </c>
    </row>
    <row r="577" spans="1:7" ht="15" customHeight="1" x14ac:dyDescent="0.25">
      <c r="A577" t="s">
        <v>6</v>
      </c>
      <c r="B577" t="s">
        <v>700</v>
      </c>
      <c r="C577" t="s">
        <v>364</v>
      </c>
      <c r="D577" t="s">
        <v>1097</v>
      </c>
      <c r="E577" t="str">
        <f t="shared" si="16"/>
        <v>BOSP</v>
      </c>
      <c r="F577" t="str">
        <f t="shared" si="17"/>
        <v>BOSP</v>
      </c>
      <c r="G577">
        <f>IF(COUNTIFS(Factory_Components!$A$2:$A$61,VLOOKUP(A577,Runs!$A$2:$B$9,2,FALSE()),Factory_Components!$B$2:$B$61,"a",Factory_Components!$D$2:$D$61,F577)&gt;0,1,0)</f>
        <v>1</v>
      </c>
    </row>
    <row r="578" spans="1:7" ht="15" customHeight="1" x14ac:dyDescent="0.25">
      <c r="A578" t="s">
        <v>6</v>
      </c>
      <c r="B578" t="s">
        <v>578</v>
      </c>
      <c r="C578" t="s">
        <v>352</v>
      </c>
      <c r="D578" t="s">
        <v>1098</v>
      </c>
      <c r="E578" t="str">
        <f t="shared" ref="E578:E641" si="18">IF(ISNUMBER(--RIGHT(B578,1)),MID(B578,10,LEN(B578)-11),MID(B578,10,100))</f>
        <v>SSA</v>
      </c>
      <c r="F578" t="str">
        <f t="shared" ref="F578:F641" si="19">IF(E578="CORE","CHS",E578)</f>
        <v>SSA</v>
      </c>
      <c r="G578">
        <f>IF(COUNTIFS(Factory_Components!$A$2:$A$61,VLOOKUP(A578,Runs!$A$2:$B$9,2,FALSE()),Factory_Components!$B$2:$B$61,"a",Factory_Components!$D$2:$D$61,F578)&gt;0,1,0)</f>
        <v>1</v>
      </c>
    </row>
    <row r="579" spans="1:7" ht="15" customHeight="1" x14ac:dyDescent="0.25">
      <c r="A579" t="s">
        <v>6</v>
      </c>
      <c r="B579" t="s">
        <v>475</v>
      </c>
      <c r="C579" t="s">
        <v>351</v>
      </c>
      <c r="D579" t="s">
        <v>1099</v>
      </c>
      <c r="E579" t="str">
        <f t="shared" si="18"/>
        <v>RT</v>
      </c>
      <c r="F579" t="str">
        <f t="shared" si="19"/>
        <v>RT</v>
      </c>
      <c r="G579">
        <f>IF(COUNTIFS(Factory_Components!$A$2:$A$61,VLOOKUP(A579,Runs!$A$2:$B$9,2,FALSE()),Factory_Components!$B$2:$B$61,"a",Factory_Components!$D$2:$D$61,F579)&gt;0,1,0)</f>
        <v>1</v>
      </c>
    </row>
    <row r="580" spans="1:7" ht="15" customHeight="1" x14ac:dyDescent="0.25">
      <c r="A580" t="s">
        <v>6</v>
      </c>
      <c r="B580" t="s">
        <v>705</v>
      </c>
      <c r="C580" t="s">
        <v>364</v>
      </c>
      <c r="D580" t="s">
        <v>1100</v>
      </c>
      <c r="E580" t="str">
        <f t="shared" si="18"/>
        <v>BOSP</v>
      </c>
      <c r="F580" t="str">
        <f t="shared" si="19"/>
        <v>BOSP</v>
      </c>
      <c r="G580">
        <f>IF(COUNTIFS(Factory_Components!$A$2:$A$61,VLOOKUP(A580,Runs!$A$2:$B$9,2,FALSE()),Factory_Components!$B$2:$B$61,"a",Factory_Components!$D$2:$D$61,F580)&gt;0,1,0)</f>
        <v>1</v>
      </c>
    </row>
    <row r="581" spans="1:7" ht="15" customHeight="1" x14ac:dyDescent="0.25">
      <c r="A581" t="s">
        <v>6</v>
      </c>
      <c r="B581" t="s">
        <v>586</v>
      </c>
      <c r="C581" t="s">
        <v>352</v>
      </c>
      <c r="D581" t="s">
        <v>1101</v>
      </c>
      <c r="E581" t="str">
        <f t="shared" si="18"/>
        <v>SSA</v>
      </c>
      <c r="F581" t="str">
        <f t="shared" si="19"/>
        <v>SSA</v>
      </c>
      <c r="G581">
        <f>IF(COUNTIFS(Factory_Components!$A$2:$A$61,VLOOKUP(A581,Runs!$A$2:$B$9,2,FALSE()),Factory_Components!$B$2:$B$61,"a",Factory_Components!$D$2:$D$61,F581)&gt;0,1,0)</f>
        <v>1</v>
      </c>
    </row>
    <row r="582" spans="1:7" ht="15" customHeight="1" x14ac:dyDescent="0.25">
      <c r="A582" t="s">
        <v>6</v>
      </c>
      <c r="B582" t="s">
        <v>588</v>
      </c>
      <c r="C582" t="s">
        <v>352</v>
      </c>
      <c r="D582" t="s">
        <v>1102</v>
      </c>
      <c r="E582" t="str">
        <f t="shared" si="18"/>
        <v>FAX</v>
      </c>
      <c r="F582" t="str">
        <f t="shared" si="19"/>
        <v>FAX</v>
      </c>
      <c r="G582">
        <f>IF(COUNTIFS(Factory_Components!$A$2:$A$61,VLOOKUP(A582,Runs!$A$2:$B$9,2,FALSE()),Factory_Components!$B$2:$B$61,"a",Factory_Components!$D$2:$D$61,F582)&gt;0,1,0)</f>
        <v>1</v>
      </c>
    </row>
    <row r="583" spans="1:7" ht="15" customHeight="1" x14ac:dyDescent="0.25">
      <c r="A583" t="s">
        <v>6</v>
      </c>
      <c r="B583" t="s">
        <v>584</v>
      </c>
      <c r="C583" t="s">
        <v>353</v>
      </c>
      <c r="D583" t="s">
        <v>1103</v>
      </c>
      <c r="E583" t="str">
        <f t="shared" si="18"/>
        <v>SSA</v>
      </c>
      <c r="F583" t="str">
        <f t="shared" si="19"/>
        <v>SSA</v>
      </c>
      <c r="G583">
        <f>IF(COUNTIFS(Factory_Components!$A$2:$A$61,VLOOKUP(A583,Runs!$A$2:$B$9,2,FALSE()),Factory_Components!$B$2:$B$61,"a",Factory_Components!$D$2:$D$61,F583)&gt;0,1,0)</f>
        <v>1</v>
      </c>
    </row>
    <row r="584" spans="1:7" ht="15" customHeight="1" x14ac:dyDescent="0.25">
      <c r="A584" t="s">
        <v>6</v>
      </c>
      <c r="B584" t="s">
        <v>650</v>
      </c>
      <c r="C584" t="s">
        <v>351</v>
      </c>
      <c r="D584" t="s">
        <v>1104</v>
      </c>
      <c r="E584" t="str">
        <f t="shared" si="18"/>
        <v>FT</v>
      </c>
      <c r="F584" t="str">
        <f t="shared" si="19"/>
        <v>FT</v>
      </c>
      <c r="G584">
        <f>IF(COUNTIFS(Factory_Components!$A$2:$A$61,VLOOKUP(A584,Runs!$A$2:$B$9,2,FALSE()),Factory_Components!$B$2:$B$61,"a",Factory_Components!$D$2:$D$61,F584)&gt;0,1,0)</f>
        <v>1</v>
      </c>
    </row>
    <row r="585" spans="1:7" ht="15" customHeight="1" x14ac:dyDescent="0.25">
      <c r="A585" t="s">
        <v>6</v>
      </c>
      <c r="B585" t="s">
        <v>592</v>
      </c>
      <c r="C585" t="s">
        <v>353</v>
      </c>
      <c r="D585" t="s">
        <v>1105</v>
      </c>
      <c r="E585" t="str">
        <f t="shared" si="18"/>
        <v>SSA</v>
      </c>
      <c r="F585" t="str">
        <f t="shared" si="19"/>
        <v>SSA</v>
      </c>
      <c r="G585">
        <f>IF(COUNTIFS(Factory_Components!$A$2:$A$61,VLOOKUP(A585,Runs!$A$2:$B$9,2,FALSE()),Factory_Components!$B$2:$B$61,"a",Factory_Components!$D$2:$D$61,F585)&gt;0,1,0)</f>
        <v>1</v>
      </c>
    </row>
    <row r="586" spans="1:7" ht="15" customHeight="1" x14ac:dyDescent="0.25">
      <c r="A586" t="s">
        <v>6</v>
      </c>
      <c r="B586" t="s">
        <v>594</v>
      </c>
      <c r="C586" t="s">
        <v>353</v>
      </c>
      <c r="D586" t="s">
        <v>1106</v>
      </c>
      <c r="E586" t="str">
        <f t="shared" si="18"/>
        <v>FAX</v>
      </c>
      <c r="F586" t="str">
        <f t="shared" si="19"/>
        <v>FAX</v>
      </c>
      <c r="G586">
        <f>IF(COUNTIFS(Factory_Components!$A$2:$A$61,VLOOKUP(A586,Runs!$A$2:$B$9,2,FALSE()),Factory_Components!$B$2:$B$61,"a",Factory_Components!$D$2:$D$61,F586)&gt;0,1,0)</f>
        <v>1</v>
      </c>
    </row>
    <row r="587" spans="1:7" ht="15" customHeight="1" x14ac:dyDescent="0.25">
      <c r="A587" t="s">
        <v>6</v>
      </c>
      <c r="B587" t="s">
        <v>590</v>
      </c>
      <c r="C587" t="s">
        <v>350</v>
      </c>
      <c r="D587" t="s">
        <v>1107</v>
      </c>
      <c r="E587" t="str">
        <f t="shared" si="18"/>
        <v>CHS</v>
      </c>
      <c r="F587" t="str">
        <f t="shared" si="19"/>
        <v>CHS</v>
      </c>
      <c r="G587">
        <f>IF(COUNTIFS(Factory_Components!$A$2:$A$61,VLOOKUP(A587,Runs!$A$2:$B$9,2,FALSE()),Factory_Components!$B$2:$B$61,"a",Factory_Components!$D$2:$D$61,F587)&gt;0,1,0)</f>
        <v>1</v>
      </c>
    </row>
    <row r="588" spans="1:7" ht="15" customHeight="1" x14ac:dyDescent="0.25">
      <c r="A588" t="s">
        <v>6</v>
      </c>
      <c r="B588" t="s">
        <v>773</v>
      </c>
      <c r="C588" t="s">
        <v>364</v>
      </c>
      <c r="D588" t="s">
        <v>1108</v>
      </c>
      <c r="E588" t="str">
        <f t="shared" si="18"/>
        <v>BAT</v>
      </c>
      <c r="F588" t="str">
        <f t="shared" si="19"/>
        <v>BAT</v>
      </c>
      <c r="G588">
        <f>IF(COUNTIFS(Factory_Components!$A$2:$A$61,VLOOKUP(A588,Runs!$A$2:$B$9,2,FALSE()),Factory_Components!$B$2:$B$61,"a",Factory_Components!$D$2:$D$61,F588)&gt;0,1,0)</f>
        <v>1</v>
      </c>
    </row>
    <row r="589" spans="1:7" ht="15" customHeight="1" x14ac:dyDescent="0.25">
      <c r="A589" t="s">
        <v>6</v>
      </c>
      <c r="B589" t="s">
        <v>653</v>
      </c>
      <c r="C589" t="s">
        <v>351</v>
      </c>
      <c r="D589" t="s">
        <v>1109</v>
      </c>
      <c r="E589" t="str">
        <f t="shared" si="18"/>
        <v>FT</v>
      </c>
      <c r="F589" t="str">
        <f t="shared" si="19"/>
        <v>FT</v>
      </c>
      <c r="G589">
        <f>IF(COUNTIFS(Factory_Components!$A$2:$A$61,VLOOKUP(A589,Runs!$A$2:$B$9,2,FALSE()),Factory_Components!$B$2:$B$61,"a",Factory_Components!$D$2:$D$61,F589)&gt;0,1,0)</f>
        <v>1</v>
      </c>
    </row>
    <row r="590" spans="1:7" ht="15" customHeight="1" x14ac:dyDescent="0.25">
      <c r="A590" t="s">
        <v>6</v>
      </c>
      <c r="B590" t="s">
        <v>397</v>
      </c>
      <c r="C590" t="s">
        <v>350</v>
      </c>
      <c r="D590" t="s">
        <v>1110</v>
      </c>
      <c r="E590" t="str">
        <f t="shared" si="18"/>
        <v>BSA</v>
      </c>
      <c r="F590" t="str">
        <f t="shared" si="19"/>
        <v>BSA</v>
      </c>
      <c r="G590">
        <f>IF(COUNTIFS(Factory_Components!$A$2:$A$61,VLOOKUP(A590,Runs!$A$2:$B$9,2,FALSE()),Factory_Components!$B$2:$B$61,"a",Factory_Components!$D$2:$D$61,F590)&gt;0,1,0)</f>
        <v>1</v>
      </c>
    </row>
    <row r="591" spans="1:7" ht="15" customHeight="1" x14ac:dyDescent="0.25">
      <c r="A591" t="s">
        <v>6</v>
      </c>
      <c r="B591" t="s">
        <v>515</v>
      </c>
      <c r="C591" t="s">
        <v>364</v>
      </c>
      <c r="D591" t="s">
        <v>1111</v>
      </c>
      <c r="E591" t="str">
        <f t="shared" si="18"/>
        <v>RT</v>
      </c>
      <c r="F591" t="str">
        <f t="shared" si="19"/>
        <v>RT</v>
      </c>
      <c r="G591">
        <f>IF(COUNTIFS(Factory_Components!$A$2:$A$61,VLOOKUP(A591,Runs!$A$2:$B$9,2,FALSE()),Factory_Components!$B$2:$B$61,"a",Factory_Components!$D$2:$D$61,F591)&gt;0,1,0)</f>
        <v>1</v>
      </c>
    </row>
    <row r="592" spans="1:7" ht="15" customHeight="1" x14ac:dyDescent="0.25">
      <c r="A592" t="s">
        <v>6</v>
      </c>
      <c r="B592" t="s">
        <v>517</v>
      </c>
      <c r="C592" t="s">
        <v>364</v>
      </c>
      <c r="D592" t="s">
        <v>1112</v>
      </c>
      <c r="E592" t="str">
        <f t="shared" si="18"/>
        <v>RT</v>
      </c>
      <c r="F592" t="str">
        <f t="shared" si="19"/>
        <v>RT</v>
      </c>
      <c r="G592">
        <f>IF(COUNTIFS(Factory_Components!$A$2:$A$61,VLOOKUP(A592,Runs!$A$2:$B$9,2,FALSE()),Factory_Components!$B$2:$B$61,"a",Factory_Components!$D$2:$D$61,F592)&gt;0,1,0)</f>
        <v>1</v>
      </c>
    </row>
    <row r="593" spans="1:7" ht="15" customHeight="1" x14ac:dyDescent="0.25">
      <c r="A593" t="s">
        <v>6</v>
      </c>
      <c r="B593" t="s">
        <v>403</v>
      </c>
      <c r="C593" t="s">
        <v>350</v>
      </c>
      <c r="D593" t="s">
        <v>1113</v>
      </c>
      <c r="E593" t="str">
        <f t="shared" si="18"/>
        <v>BSA</v>
      </c>
      <c r="F593" t="str">
        <f t="shared" si="19"/>
        <v>BSA</v>
      </c>
      <c r="G593">
        <f>IF(COUNTIFS(Factory_Components!$A$2:$A$61,VLOOKUP(A593,Runs!$A$2:$B$9,2,FALSE()),Factory_Components!$B$2:$B$61,"a",Factory_Components!$D$2:$D$61,F593)&gt;0,1,0)</f>
        <v>1</v>
      </c>
    </row>
    <row r="594" spans="1:7" ht="15" customHeight="1" x14ac:dyDescent="0.25">
      <c r="A594" t="s">
        <v>6</v>
      </c>
      <c r="B594" t="s">
        <v>603</v>
      </c>
      <c r="C594" t="s">
        <v>350</v>
      </c>
      <c r="D594" t="s">
        <v>1114</v>
      </c>
      <c r="E594" t="str">
        <f t="shared" si="18"/>
        <v>RAX_HD</v>
      </c>
      <c r="F594" t="str">
        <f t="shared" si="19"/>
        <v>RAX_HD</v>
      </c>
      <c r="G594">
        <f>IF(COUNTIFS(Factory_Components!$A$2:$A$61,VLOOKUP(A594,Runs!$A$2:$B$9,2,FALSE()),Factory_Components!$B$2:$B$61,"a",Factory_Components!$D$2:$D$61,F594)&gt;0,1,0)</f>
        <v>0</v>
      </c>
    </row>
    <row r="595" spans="1:7" ht="15" customHeight="1" x14ac:dyDescent="0.25">
      <c r="A595" t="s">
        <v>6</v>
      </c>
      <c r="B595" t="s">
        <v>599</v>
      </c>
      <c r="C595" t="s">
        <v>352</v>
      </c>
      <c r="D595" t="s">
        <v>1115</v>
      </c>
      <c r="E595" t="str">
        <f t="shared" si="18"/>
        <v>CHS</v>
      </c>
      <c r="F595" t="str">
        <f t="shared" si="19"/>
        <v>CHS</v>
      </c>
      <c r="G595">
        <f>IF(COUNTIFS(Factory_Components!$A$2:$A$61,VLOOKUP(A595,Runs!$A$2:$B$9,2,FALSE()),Factory_Components!$B$2:$B$61,"a",Factory_Components!$D$2:$D$61,F595)&gt;0,1,0)</f>
        <v>1</v>
      </c>
    </row>
    <row r="596" spans="1:7" ht="15" customHeight="1" x14ac:dyDescent="0.25">
      <c r="A596" t="s">
        <v>6</v>
      </c>
      <c r="B596" t="s">
        <v>519</v>
      </c>
      <c r="C596" t="s">
        <v>364</v>
      </c>
      <c r="D596" t="s">
        <v>1116</v>
      </c>
      <c r="E596" t="str">
        <f t="shared" si="18"/>
        <v>FT</v>
      </c>
      <c r="F596" t="str">
        <f t="shared" si="19"/>
        <v>FT</v>
      </c>
      <c r="G596">
        <f>IF(COUNTIFS(Factory_Components!$A$2:$A$61,VLOOKUP(A596,Runs!$A$2:$B$9,2,FALSE()),Factory_Components!$B$2:$B$61,"a",Factory_Components!$D$2:$D$61,F596)&gt;0,1,0)</f>
        <v>1</v>
      </c>
    </row>
    <row r="597" spans="1:7" ht="15" customHeight="1" x14ac:dyDescent="0.25">
      <c r="A597" t="s">
        <v>6</v>
      </c>
      <c r="B597" t="s">
        <v>449</v>
      </c>
      <c r="C597" t="s">
        <v>350</v>
      </c>
      <c r="D597" t="s">
        <v>1117</v>
      </c>
      <c r="E597" t="str">
        <f t="shared" si="18"/>
        <v>BOSP</v>
      </c>
      <c r="F597" t="str">
        <f t="shared" si="19"/>
        <v>BOSP</v>
      </c>
      <c r="G597">
        <f>IF(COUNTIFS(Factory_Components!$A$2:$A$61,VLOOKUP(A597,Runs!$A$2:$B$9,2,FALSE()),Factory_Components!$B$2:$B$61,"a",Factory_Components!$D$2:$D$61,F597)&gt;0,1,0)</f>
        <v>1</v>
      </c>
    </row>
    <row r="598" spans="1:7" ht="15" customHeight="1" x14ac:dyDescent="0.25">
      <c r="A598" t="s">
        <v>6</v>
      </c>
      <c r="B598" t="s">
        <v>425</v>
      </c>
      <c r="C598" t="s">
        <v>352</v>
      </c>
      <c r="D598" t="s">
        <v>1118</v>
      </c>
      <c r="E598" t="str">
        <f t="shared" si="18"/>
        <v>BSA</v>
      </c>
      <c r="F598" t="str">
        <f t="shared" si="19"/>
        <v>BSA</v>
      </c>
      <c r="G598">
        <f>IF(COUNTIFS(Factory_Components!$A$2:$A$61,VLOOKUP(A598,Runs!$A$2:$B$9,2,FALSE()),Factory_Components!$B$2:$B$61,"a",Factory_Components!$D$2:$D$61,F598)&gt;0,1,0)</f>
        <v>1</v>
      </c>
    </row>
    <row r="599" spans="1:7" ht="15" customHeight="1" x14ac:dyDescent="0.25">
      <c r="A599" t="s">
        <v>6</v>
      </c>
      <c r="B599" t="s">
        <v>605</v>
      </c>
      <c r="C599" t="s">
        <v>353</v>
      </c>
      <c r="D599" t="s">
        <v>1119</v>
      </c>
      <c r="E599" t="str">
        <f t="shared" si="18"/>
        <v>CHS</v>
      </c>
      <c r="F599" t="str">
        <f t="shared" si="19"/>
        <v>CHS</v>
      </c>
      <c r="G599">
        <f>IF(COUNTIFS(Factory_Components!$A$2:$A$61,VLOOKUP(A599,Runs!$A$2:$B$9,2,FALSE()),Factory_Components!$B$2:$B$61,"a",Factory_Components!$D$2:$D$61,F599)&gt;0,1,0)</f>
        <v>1</v>
      </c>
    </row>
    <row r="600" spans="1:7" ht="15" customHeight="1" x14ac:dyDescent="0.25">
      <c r="A600" t="s">
        <v>6</v>
      </c>
      <c r="B600" t="s">
        <v>523</v>
      </c>
      <c r="C600" t="s">
        <v>364</v>
      </c>
      <c r="D600" t="s">
        <v>1120</v>
      </c>
      <c r="E600" t="str">
        <f t="shared" si="18"/>
        <v>FT</v>
      </c>
      <c r="F600" t="str">
        <f t="shared" si="19"/>
        <v>FT</v>
      </c>
      <c r="G600">
        <f>IF(COUNTIFS(Factory_Components!$A$2:$A$61,VLOOKUP(A600,Runs!$A$2:$B$9,2,FALSE()),Factory_Components!$B$2:$B$61,"a",Factory_Components!$D$2:$D$61,F600)&gt;0,1,0)</f>
        <v>1</v>
      </c>
    </row>
    <row r="601" spans="1:7" ht="15" customHeight="1" x14ac:dyDescent="0.25">
      <c r="A601" t="s">
        <v>6</v>
      </c>
      <c r="B601" t="s">
        <v>451</v>
      </c>
      <c r="C601" t="s">
        <v>350</v>
      </c>
      <c r="D601" t="s">
        <v>1121</v>
      </c>
      <c r="E601" t="str">
        <f t="shared" si="18"/>
        <v>BOSP</v>
      </c>
      <c r="F601" t="str">
        <f t="shared" si="19"/>
        <v>BOSP</v>
      </c>
      <c r="G601">
        <f>IF(COUNTIFS(Factory_Components!$A$2:$A$61,VLOOKUP(A601,Runs!$A$2:$B$9,2,FALSE()),Factory_Components!$B$2:$B$61,"a",Factory_Components!$D$2:$D$61,F601)&gt;0,1,0)</f>
        <v>1</v>
      </c>
    </row>
    <row r="602" spans="1:7" ht="15" customHeight="1" x14ac:dyDescent="0.25">
      <c r="A602" t="s">
        <v>6</v>
      </c>
      <c r="B602" t="s">
        <v>431</v>
      </c>
      <c r="C602" t="s">
        <v>352</v>
      </c>
      <c r="D602" t="s">
        <v>1122</v>
      </c>
      <c r="E602" t="str">
        <f t="shared" si="18"/>
        <v>BSA</v>
      </c>
      <c r="F602" t="str">
        <f t="shared" si="19"/>
        <v>BSA</v>
      </c>
      <c r="G602">
        <f>IF(COUNTIFS(Factory_Components!$A$2:$A$61,VLOOKUP(A602,Runs!$A$2:$B$9,2,FALSE()),Factory_Components!$B$2:$B$61,"a",Factory_Components!$D$2:$D$61,F602)&gt;0,1,0)</f>
        <v>1</v>
      </c>
    </row>
    <row r="603" spans="1:7" ht="15" customHeight="1" x14ac:dyDescent="0.25">
      <c r="A603" t="s">
        <v>6</v>
      </c>
      <c r="B603" t="s">
        <v>619</v>
      </c>
      <c r="C603" t="s">
        <v>352</v>
      </c>
      <c r="D603" t="s">
        <v>1123</v>
      </c>
      <c r="E603" t="str">
        <f t="shared" si="18"/>
        <v>RAX_HD</v>
      </c>
      <c r="F603" t="str">
        <f t="shared" si="19"/>
        <v>RAX_HD</v>
      </c>
      <c r="G603">
        <f>IF(COUNTIFS(Factory_Components!$A$2:$A$61,VLOOKUP(A603,Runs!$A$2:$B$9,2,FALSE()),Factory_Components!$B$2:$B$61,"a",Factory_Components!$D$2:$D$61,F603)&gt;0,1,0)</f>
        <v>0</v>
      </c>
    </row>
    <row r="604" spans="1:7" ht="15" customHeight="1" x14ac:dyDescent="0.25">
      <c r="A604" t="s">
        <v>6</v>
      </c>
      <c r="B604" t="s">
        <v>663</v>
      </c>
      <c r="C604" t="s">
        <v>351</v>
      </c>
      <c r="D604" t="s">
        <v>1124</v>
      </c>
      <c r="E604" t="str">
        <f t="shared" si="18"/>
        <v>SSA</v>
      </c>
      <c r="F604" t="str">
        <f t="shared" si="19"/>
        <v>SSA</v>
      </c>
      <c r="G604">
        <f>IF(COUNTIFS(Factory_Components!$A$2:$A$61,VLOOKUP(A604,Runs!$A$2:$B$9,2,FALSE()),Factory_Components!$B$2:$B$61,"a",Factory_Components!$D$2:$D$61,F604)&gt;0,1,0)</f>
        <v>1</v>
      </c>
    </row>
    <row r="605" spans="1:7" ht="15" customHeight="1" x14ac:dyDescent="0.25">
      <c r="A605" t="s">
        <v>6</v>
      </c>
      <c r="B605" t="s">
        <v>615</v>
      </c>
      <c r="C605" t="s">
        <v>353</v>
      </c>
      <c r="D605" t="s">
        <v>1125</v>
      </c>
      <c r="E605" t="str">
        <f t="shared" si="18"/>
        <v>BSA</v>
      </c>
      <c r="F605" t="str">
        <f t="shared" si="19"/>
        <v>BSA</v>
      </c>
      <c r="G605">
        <f>IF(COUNTIFS(Factory_Components!$A$2:$A$61,VLOOKUP(A605,Runs!$A$2:$B$9,2,FALSE()),Factory_Components!$B$2:$B$61,"a",Factory_Components!$D$2:$D$61,F605)&gt;0,1,0)</f>
        <v>1</v>
      </c>
    </row>
    <row r="606" spans="1:7" ht="15" customHeight="1" x14ac:dyDescent="0.25">
      <c r="A606" t="s">
        <v>6</v>
      </c>
      <c r="B606" t="s">
        <v>455</v>
      </c>
      <c r="C606" t="s">
        <v>350</v>
      </c>
      <c r="D606" t="s">
        <v>1126</v>
      </c>
      <c r="E606" t="str">
        <f t="shared" si="18"/>
        <v>RT</v>
      </c>
      <c r="F606" t="str">
        <f t="shared" si="19"/>
        <v>RT</v>
      </c>
      <c r="G606">
        <f>IF(COUNTIFS(Factory_Components!$A$2:$A$61,VLOOKUP(A606,Runs!$A$2:$B$9,2,FALSE()),Factory_Components!$B$2:$B$61,"a",Factory_Components!$D$2:$D$61,F606)&gt;0,1,0)</f>
        <v>1</v>
      </c>
    </row>
    <row r="607" spans="1:7" ht="15" customHeight="1" x14ac:dyDescent="0.25">
      <c r="A607" t="s">
        <v>6</v>
      </c>
      <c r="B607" t="s">
        <v>623</v>
      </c>
      <c r="C607" t="s">
        <v>353</v>
      </c>
      <c r="D607" t="s">
        <v>1127</v>
      </c>
      <c r="E607" t="str">
        <f t="shared" si="18"/>
        <v>BSA</v>
      </c>
      <c r="F607" t="str">
        <f t="shared" si="19"/>
        <v>BSA</v>
      </c>
      <c r="G607">
        <f>IF(COUNTIFS(Factory_Components!$A$2:$A$61,VLOOKUP(A607,Runs!$A$2:$B$9,2,FALSE()),Factory_Components!$B$2:$B$61,"a",Factory_Components!$D$2:$D$61,F607)&gt;0,1,0)</f>
        <v>1</v>
      </c>
    </row>
    <row r="608" spans="1:7" ht="15" customHeight="1" x14ac:dyDescent="0.25">
      <c r="A608" t="s">
        <v>6</v>
      </c>
      <c r="B608" t="s">
        <v>625</v>
      </c>
      <c r="C608" t="s">
        <v>353</v>
      </c>
      <c r="D608" t="s">
        <v>1128</v>
      </c>
      <c r="E608" t="str">
        <f t="shared" si="18"/>
        <v>RAX_HD</v>
      </c>
      <c r="F608" t="str">
        <f t="shared" si="19"/>
        <v>RAX_HD</v>
      </c>
      <c r="G608">
        <f>IF(COUNTIFS(Factory_Components!$A$2:$A$61,VLOOKUP(A608,Runs!$A$2:$B$9,2,FALSE()),Factory_Components!$B$2:$B$61,"a",Factory_Components!$D$2:$D$61,F608)&gt;0,1,0)</f>
        <v>0</v>
      </c>
    </row>
    <row r="609" spans="1:7" ht="15" customHeight="1" x14ac:dyDescent="0.25">
      <c r="A609" t="s">
        <v>6</v>
      </c>
      <c r="B609" t="s">
        <v>477</v>
      </c>
      <c r="C609" t="s">
        <v>352</v>
      </c>
      <c r="D609" t="s">
        <v>1129</v>
      </c>
      <c r="E609" t="str">
        <f t="shared" si="18"/>
        <v>BOSP</v>
      </c>
      <c r="F609" t="str">
        <f t="shared" si="19"/>
        <v>BOSP</v>
      </c>
      <c r="G609">
        <f>IF(COUNTIFS(Factory_Components!$A$2:$A$61,VLOOKUP(A609,Runs!$A$2:$B$9,2,FALSE()),Factory_Components!$B$2:$B$61,"a",Factory_Components!$D$2:$D$61,F609)&gt;0,1,0)</f>
        <v>1</v>
      </c>
    </row>
    <row r="610" spans="1:7" ht="15" customHeight="1" x14ac:dyDescent="0.25">
      <c r="A610" t="s">
        <v>6</v>
      </c>
      <c r="B610" t="s">
        <v>671</v>
      </c>
      <c r="C610" t="s">
        <v>351</v>
      </c>
      <c r="D610" t="s">
        <v>1130</v>
      </c>
      <c r="E610" t="str">
        <f t="shared" si="18"/>
        <v>SSA</v>
      </c>
      <c r="F610" t="str">
        <f t="shared" si="19"/>
        <v>SSA</v>
      </c>
      <c r="G610">
        <f>IF(COUNTIFS(Factory_Components!$A$2:$A$61,VLOOKUP(A610,Runs!$A$2:$B$9,2,FALSE()),Factory_Components!$B$2:$B$61,"a",Factory_Components!$D$2:$D$61,F610)&gt;0,1,0)</f>
        <v>1</v>
      </c>
    </row>
    <row r="611" spans="1:7" ht="15" customHeight="1" x14ac:dyDescent="0.25">
      <c r="A611" t="s">
        <v>6</v>
      </c>
      <c r="B611" t="s">
        <v>673</v>
      </c>
      <c r="C611" t="s">
        <v>351</v>
      </c>
      <c r="D611" t="s">
        <v>1131</v>
      </c>
      <c r="E611" t="str">
        <f t="shared" si="18"/>
        <v>FAX</v>
      </c>
      <c r="F611" t="str">
        <f t="shared" si="19"/>
        <v>FAX</v>
      </c>
      <c r="G611">
        <f>IF(COUNTIFS(Factory_Components!$A$2:$A$61,VLOOKUP(A611,Runs!$A$2:$B$9,2,FALSE()),Factory_Components!$B$2:$B$61,"a",Factory_Components!$D$2:$D$61,F611)&gt;0,1,0)</f>
        <v>1</v>
      </c>
    </row>
    <row r="612" spans="1:7" ht="15" customHeight="1" x14ac:dyDescent="0.25">
      <c r="A612" t="s">
        <v>6</v>
      </c>
      <c r="B612" t="s">
        <v>459</v>
      </c>
      <c r="C612" t="s">
        <v>350</v>
      </c>
      <c r="D612" t="s">
        <v>1132</v>
      </c>
      <c r="E612" t="str">
        <f t="shared" si="18"/>
        <v>RT</v>
      </c>
      <c r="F612" t="str">
        <f t="shared" si="19"/>
        <v>RT</v>
      </c>
      <c r="G612">
        <f>IF(COUNTIFS(Factory_Components!$A$2:$A$61,VLOOKUP(A612,Runs!$A$2:$B$9,2,FALSE()),Factory_Components!$B$2:$B$61,"a",Factory_Components!$D$2:$D$61,F612)&gt;0,1,0)</f>
        <v>1</v>
      </c>
    </row>
    <row r="613" spans="1:7" ht="15" customHeight="1" x14ac:dyDescent="0.25">
      <c r="A613" t="s">
        <v>6</v>
      </c>
      <c r="B613" t="s">
        <v>481</v>
      </c>
      <c r="C613" t="s">
        <v>352</v>
      </c>
      <c r="D613" t="s">
        <v>1133</v>
      </c>
      <c r="E613" t="str">
        <f t="shared" si="18"/>
        <v>BOSP</v>
      </c>
      <c r="F613" t="str">
        <f t="shared" si="19"/>
        <v>BOSP</v>
      </c>
      <c r="G613">
        <f>IF(COUNTIFS(Factory_Components!$A$2:$A$61,VLOOKUP(A613,Runs!$A$2:$B$9,2,FALSE()),Factory_Components!$B$2:$B$61,"a",Factory_Components!$D$2:$D$61,F613)&gt;0,1,0)</f>
        <v>1</v>
      </c>
    </row>
    <row r="614" spans="1:7" ht="15" customHeight="1" x14ac:dyDescent="0.25">
      <c r="A614" t="s">
        <v>6</v>
      </c>
      <c r="B614" t="s">
        <v>507</v>
      </c>
      <c r="C614" t="s">
        <v>353</v>
      </c>
      <c r="D614" t="s">
        <v>1134</v>
      </c>
      <c r="E614" t="str">
        <f t="shared" si="18"/>
        <v>BOSP</v>
      </c>
      <c r="F614" t="str">
        <f t="shared" si="19"/>
        <v>BOSP</v>
      </c>
      <c r="G614">
        <f>IF(COUNTIFS(Factory_Components!$A$2:$A$61,VLOOKUP(A614,Runs!$A$2:$B$9,2,FALSE()),Factory_Components!$B$2:$B$61,"a",Factory_Components!$D$2:$D$61,F614)&gt;0,1,0)</f>
        <v>1</v>
      </c>
    </row>
    <row r="615" spans="1:7" ht="15" customHeight="1" x14ac:dyDescent="0.25">
      <c r="A615" t="s">
        <v>6</v>
      </c>
      <c r="B615" t="s">
        <v>493</v>
      </c>
      <c r="C615" t="s">
        <v>352</v>
      </c>
      <c r="D615" t="s">
        <v>1135</v>
      </c>
      <c r="E615" t="str">
        <f t="shared" si="18"/>
        <v>RT</v>
      </c>
      <c r="F615" t="str">
        <f t="shared" si="19"/>
        <v>RT</v>
      </c>
      <c r="G615">
        <f>IF(COUNTIFS(Factory_Components!$A$2:$A$61,VLOOKUP(A615,Runs!$A$2:$B$9,2,FALSE()),Factory_Components!$B$2:$B$61,"a",Factory_Components!$D$2:$D$61,F615)&gt;0,1,0)</f>
        <v>1</v>
      </c>
    </row>
    <row r="616" spans="1:7" ht="15" customHeight="1" x14ac:dyDescent="0.25">
      <c r="A616" t="s">
        <v>6</v>
      </c>
      <c r="B616" t="s">
        <v>509</v>
      </c>
      <c r="C616" t="s">
        <v>353</v>
      </c>
      <c r="D616" t="s">
        <v>1136</v>
      </c>
      <c r="E616" t="str">
        <f t="shared" si="18"/>
        <v>BOSP</v>
      </c>
      <c r="F616" t="str">
        <f t="shared" si="19"/>
        <v>BOSP</v>
      </c>
      <c r="G616">
        <f>IF(COUNTIFS(Factory_Components!$A$2:$A$61,VLOOKUP(A616,Runs!$A$2:$B$9,2,FALSE()),Factory_Components!$B$2:$B$61,"a",Factory_Components!$D$2:$D$61,F616)&gt;0,1,0)</f>
        <v>1</v>
      </c>
    </row>
    <row r="617" spans="1:7" ht="15" customHeight="1" x14ac:dyDescent="0.25">
      <c r="A617" t="s">
        <v>6</v>
      </c>
      <c r="B617" t="s">
        <v>531</v>
      </c>
      <c r="C617" t="s">
        <v>364</v>
      </c>
      <c r="D617" t="s">
        <v>1137</v>
      </c>
      <c r="E617" t="str">
        <f t="shared" si="18"/>
        <v>SSA</v>
      </c>
      <c r="F617" t="str">
        <f t="shared" si="19"/>
        <v>SSA</v>
      </c>
      <c r="G617">
        <f>IF(COUNTIFS(Factory_Components!$A$2:$A$61,VLOOKUP(A617,Runs!$A$2:$B$9,2,FALSE()),Factory_Components!$B$2:$B$61,"a",Factory_Components!$D$2:$D$61,F617)&gt;0,1,0)</f>
        <v>1</v>
      </c>
    </row>
    <row r="618" spans="1:7" ht="15" customHeight="1" x14ac:dyDescent="0.25">
      <c r="A618" t="s">
        <v>6</v>
      </c>
      <c r="B618" t="s">
        <v>495</v>
      </c>
      <c r="C618" t="s">
        <v>352</v>
      </c>
      <c r="D618" t="s">
        <v>1138</v>
      </c>
      <c r="E618" t="str">
        <f t="shared" si="18"/>
        <v>RT</v>
      </c>
      <c r="F618" t="str">
        <f t="shared" si="19"/>
        <v>RT</v>
      </c>
      <c r="G618">
        <f>IF(COUNTIFS(Factory_Components!$A$2:$A$61,VLOOKUP(A618,Runs!$A$2:$B$9,2,FALSE()),Factory_Components!$B$2:$B$61,"a",Factory_Components!$D$2:$D$61,F618)&gt;0,1,0)</f>
        <v>1</v>
      </c>
    </row>
    <row r="619" spans="1:7" ht="15" customHeight="1" x14ac:dyDescent="0.25">
      <c r="A619" t="s">
        <v>6</v>
      </c>
      <c r="B619" t="s">
        <v>684</v>
      </c>
      <c r="C619" t="s">
        <v>351</v>
      </c>
      <c r="D619" t="s">
        <v>1139</v>
      </c>
      <c r="E619" t="str">
        <f t="shared" si="18"/>
        <v>CHS</v>
      </c>
      <c r="F619" t="str">
        <f t="shared" si="19"/>
        <v>CHS</v>
      </c>
      <c r="G619">
        <f>IF(COUNTIFS(Factory_Components!$A$2:$A$61,VLOOKUP(A619,Runs!$A$2:$B$9,2,FALSE()),Factory_Components!$B$2:$B$61,"a",Factory_Components!$D$2:$D$61,F619)&gt;0,1,0)</f>
        <v>1</v>
      </c>
    </row>
    <row r="620" spans="1:7" ht="15" customHeight="1" x14ac:dyDescent="0.25">
      <c r="A620" t="s">
        <v>6</v>
      </c>
      <c r="B620" t="s">
        <v>762</v>
      </c>
      <c r="C620" t="s">
        <v>353</v>
      </c>
      <c r="D620" t="s">
        <v>1140</v>
      </c>
      <c r="E620" t="str">
        <f t="shared" si="18"/>
        <v>BAT</v>
      </c>
      <c r="F620" t="str">
        <f t="shared" si="19"/>
        <v>BAT</v>
      </c>
      <c r="G620">
        <f>IF(COUNTIFS(Factory_Components!$A$2:$A$61,VLOOKUP(A620,Runs!$A$2:$B$9,2,FALSE()),Factory_Components!$B$2:$B$61,"a",Factory_Components!$D$2:$D$61,F620)&gt;0,1,0)</f>
        <v>1</v>
      </c>
    </row>
    <row r="621" spans="1:7" ht="15" customHeight="1" x14ac:dyDescent="0.25">
      <c r="A621" t="s">
        <v>6</v>
      </c>
      <c r="B621" t="s">
        <v>1141</v>
      </c>
      <c r="C621" t="s">
        <v>364</v>
      </c>
      <c r="D621" t="s">
        <v>1142</v>
      </c>
      <c r="E621" t="str">
        <f t="shared" si="18"/>
        <v>SSA</v>
      </c>
      <c r="F621" t="str">
        <f t="shared" si="19"/>
        <v>SSA</v>
      </c>
      <c r="G621">
        <f>IF(COUNTIFS(Factory_Components!$A$2:$A$61,VLOOKUP(A621,Runs!$A$2:$B$9,2,FALSE()),Factory_Components!$B$2:$B$61,"a",Factory_Components!$D$2:$D$61,F621)&gt;0,1,0)</f>
        <v>1</v>
      </c>
    </row>
    <row r="622" spans="1:7" ht="15" customHeight="1" x14ac:dyDescent="0.25">
      <c r="A622" t="s">
        <v>6</v>
      </c>
      <c r="B622" t="s">
        <v>1143</v>
      </c>
      <c r="C622" t="s">
        <v>364</v>
      </c>
      <c r="D622" t="s">
        <v>1144</v>
      </c>
      <c r="E622" t="str">
        <f t="shared" si="18"/>
        <v>FAX</v>
      </c>
      <c r="F622" t="str">
        <f t="shared" si="19"/>
        <v>FAX</v>
      </c>
      <c r="G622">
        <f>IF(COUNTIFS(Factory_Components!$A$2:$A$61,VLOOKUP(A622,Runs!$A$2:$B$9,2,FALSE()),Factory_Components!$B$2:$B$61,"a",Factory_Components!$D$2:$D$61,F622)&gt;0,1,0)</f>
        <v>1</v>
      </c>
    </row>
    <row r="623" spans="1:7" ht="15" customHeight="1" x14ac:dyDescent="0.25">
      <c r="A623" t="s">
        <v>6</v>
      </c>
      <c r="B623" t="s">
        <v>473</v>
      </c>
      <c r="C623" t="s">
        <v>350</v>
      </c>
      <c r="D623" t="s">
        <v>1145</v>
      </c>
      <c r="E623" t="str">
        <f t="shared" si="18"/>
        <v>CORE</v>
      </c>
      <c r="F623" t="str">
        <f t="shared" si="19"/>
        <v>CHS</v>
      </c>
      <c r="G623">
        <f>IF(COUNTIFS(Factory_Components!$A$2:$A$61,VLOOKUP(A623,Runs!$A$2:$B$9,2,FALSE()),Factory_Components!$B$2:$B$61,"a",Factory_Components!$D$2:$D$61,F623)&gt;0,1,0)</f>
        <v>1</v>
      </c>
    </row>
    <row r="624" spans="1:7" ht="15" customHeight="1" x14ac:dyDescent="0.25">
      <c r="A624" t="s">
        <v>6</v>
      </c>
      <c r="B624" t="s">
        <v>491</v>
      </c>
      <c r="C624" t="s">
        <v>351</v>
      </c>
      <c r="D624" t="s">
        <v>1146</v>
      </c>
      <c r="E624" t="str">
        <f t="shared" si="18"/>
        <v>BSA</v>
      </c>
      <c r="F624" t="str">
        <f t="shared" si="19"/>
        <v>BSA</v>
      </c>
      <c r="G624">
        <f>IF(COUNTIFS(Factory_Components!$A$2:$A$61,VLOOKUP(A624,Runs!$A$2:$B$9,2,FALSE()),Factory_Components!$B$2:$B$61,"a",Factory_Components!$D$2:$D$61,F624)&gt;0,1,0)</f>
        <v>1</v>
      </c>
    </row>
    <row r="625" spans="1:7" ht="15" customHeight="1" x14ac:dyDescent="0.25">
      <c r="A625" t="s">
        <v>6</v>
      </c>
      <c r="B625" t="s">
        <v>511</v>
      </c>
      <c r="C625" t="s">
        <v>353</v>
      </c>
      <c r="D625" t="s">
        <v>1147</v>
      </c>
      <c r="E625" t="str">
        <f t="shared" si="18"/>
        <v>RT</v>
      </c>
      <c r="F625" t="str">
        <f t="shared" si="19"/>
        <v>RT</v>
      </c>
      <c r="G625">
        <f>IF(COUNTIFS(Factory_Components!$A$2:$A$61,VLOOKUP(A625,Runs!$A$2:$B$9,2,FALSE()),Factory_Components!$B$2:$B$61,"a",Factory_Components!$D$2:$D$61,F625)&gt;0,1,0)</f>
        <v>1</v>
      </c>
    </row>
    <row r="626" spans="1:7" ht="15" customHeight="1" x14ac:dyDescent="0.25">
      <c r="A626" t="s">
        <v>6</v>
      </c>
      <c r="B626" t="s">
        <v>479</v>
      </c>
      <c r="C626" t="s">
        <v>350</v>
      </c>
      <c r="D626" t="s">
        <v>1148</v>
      </c>
      <c r="E626" t="str">
        <f t="shared" si="18"/>
        <v>BSA</v>
      </c>
      <c r="F626" t="str">
        <f t="shared" si="19"/>
        <v>BSA</v>
      </c>
      <c r="G626">
        <f>IF(COUNTIFS(Factory_Components!$A$2:$A$61,VLOOKUP(A626,Runs!$A$2:$B$9,2,FALSE()),Factory_Components!$B$2:$B$61,"a",Factory_Components!$D$2:$D$61,F626)&gt;0,1,0)</f>
        <v>1</v>
      </c>
    </row>
    <row r="627" spans="1:7" ht="15" customHeight="1" x14ac:dyDescent="0.25">
      <c r="A627" t="s">
        <v>6</v>
      </c>
      <c r="B627" t="s">
        <v>513</v>
      </c>
      <c r="C627" t="s">
        <v>353</v>
      </c>
      <c r="D627" t="s">
        <v>1149</v>
      </c>
      <c r="E627" t="str">
        <f t="shared" si="18"/>
        <v>RT</v>
      </c>
      <c r="F627" t="str">
        <f t="shared" si="19"/>
        <v>RT</v>
      </c>
      <c r="G627">
        <f>IF(COUNTIFS(Factory_Components!$A$2:$A$61,VLOOKUP(A627,Runs!$A$2:$B$9,2,FALSE()),Factory_Components!$B$2:$B$61,"a",Factory_Components!$D$2:$D$61,F627)&gt;0,1,0)</f>
        <v>1</v>
      </c>
    </row>
    <row r="628" spans="1:7" ht="15" customHeight="1" x14ac:dyDescent="0.25">
      <c r="A628" t="s">
        <v>6</v>
      </c>
      <c r="B628" t="s">
        <v>497</v>
      </c>
      <c r="C628" t="s">
        <v>351</v>
      </c>
      <c r="D628" t="s">
        <v>1150</v>
      </c>
      <c r="E628" t="str">
        <f t="shared" si="18"/>
        <v>BSA</v>
      </c>
      <c r="F628" t="str">
        <f t="shared" si="19"/>
        <v>BSA</v>
      </c>
      <c r="G628">
        <f>IF(COUNTIFS(Factory_Components!$A$2:$A$61,VLOOKUP(A628,Runs!$A$2:$B$9,2,FALSE()),Factory_Components!$B$2:$B$61,"a",Factory_Components!$D$2:$D$61,F628)&gt;0,1,0)</f>
        <v>1</v>
      </c>
    </row>
    <row r="629" spans="1:7" ht="15" customHeight="1" x14ac:dyDescent="0.25">
      <c r="A629" t="s">
        <v>6</v>
      </c>
      <c r="B629" t="s">
        <v>703</v>
      </c>
      <c r="C629" t="s">
        <v>351</v>
      </c>
      <c r="D629" t="s">
        <v>1151</v>
      </c>
      <c r="E629" t="str">
        <f t="shared" si="18"/>
        <v>RAX_HD</v>
      </c>
      <c r="F629" t="str">
        <f t="shared" si="19"/>
        <v>RAX_HD</v>
      </c>
      <c r="G629">
        <f>IF(COUNTIFS(Factory_Components!$A$2:$A$61,VLOOKUP(A629,Runs!$A$2:$B$9,2,FALSE()),Factory_Components!$B$2:$B$61,"a",Factory_Components!$D$2:$D$61,F629)&gt;0,1,0)</f>
        <v>0</v>
      </c>
    </row>
    <row r="630" spans="1:7" ht="15" customHeight="1" x14ac:dyDescent="0.25">
      <c r="A630" t="s">
        <v>6</v>
      </c>
      <c r="B630" t="s">
        <v>483</v>
      </c>
      <c r="C630" t="s">
        <v>350</v>
      </c>
      <c r="D630" t="s">
        <v>1152</v>
      </c>
      <c r="E630" t="str">
        <f t="shared" si="18"/>
        <v>BSA</v>
      </c>
      <c r="F630" t="str">
        <f t="shared" si="19"/>
        <v>BSA</v>
      </c>
      <c r="G630">
        <f>IF(COUNTIFS(Factory_Components!$A$2:$A$61,VLOOKUP(A630,Runs!$A$2:$B$9,2,FALSE()),Factory_Components!$B$2:$B$61,"a",Factory_Components!$D$2:$D$61,F630)&gt;0,1,0)</f>
        <v>1</v>
      </c>
    </row>
    <row r="631" spans="1:7" ht="15" customHeight="1" x14ac:dyDescent="0.25">
      <c r="A631" t="s">
        <v>6</v>
      </c>
      <c r="B631" t="s">
        <v>485</v>
      </c>
      <c r="C631" t="s">
        <v>350</v>
      </c>
      <c r="D631" t="s">
        <v>1153</v>
      </c>
      <c r="E631" t="str">
        <f t="shared" si="18"/>
        <v>RAX_RD</v>
      </c>
      <c r="F631" t="str">
        <f t="shared" si="19"/>
        <v>RAX_RD</v>
      </c>
      <c r="G631">
        <f>IF(COUNTIFS(Factory_Components!$A$2:$A$61,VLOOKUP(A631,Runs!$A$2:$B$9,2,FALSE()),Factory_Components!$B$2:$B$61,"a",Factory_Components!$D$2:$D$61,F631)&gt;0,1,0)</f>
        <v>0</v>
      </c>
    </row>
    <row r="632" spans="1:7" ht="15" customHeight="1" x14ac:dyDescent="0.25">
      <c r="A632" t="s">
        <v>6</v>
      </c>
      <c r="B632" t="s">
        <v>1154</v>
      </c>
      <c r="C632" t="s">
        <v>352</v>
      </c>
      <c r="D632" t="s">
        <v>1155</v>
      </c>
      <c r="E632" t="str">
        <f t="shared" si="18"/>
        <v>CORE</v>
      </c>
      <c r="F632" t="str">
        <f t="shared" si="19"/>
        <v>CHS</v>
      </c>
      <c r="G632">
        <f>IF(COUNTIFS(Factory_Components!$A$2:$A$61,VLOOKUP(A632,Runs!$A$2:$B$9,2,FALSE()),Factory_Components!$B$2:$B$61,"a",Factory_Components!$D$2:$D$61,F632)&gt;0,1,0)</f>
        <v>1</v>
      </c>
    </row>
    <row r="633" spans="1:7" ht="15" customHeight="1" x14ac:dyDescent="0.25">
      <c r="A633" t="s">
        <v>6</v>
      </c>
      <c r="B633" t="s">
        <v>811</v>
      </c>
      <c r="C633" t="s">
        <v>353</v>
      </c>
      <c r="D633" t="s">
        <v>1156</v>
      </c>
      <c r="E633" t="str">
        <f t="shared" si="18"/>
        <v>FT</v>
      </c>
      <c r="F633" t="str">
        <f t="shared" si="19"/>
        <v>FT</v>
      </c>
      <c r="G633">
        <f>IF(COUNTIFS(Factory_Components!$A$2:$A$61,VLOOKUP(A633,Runs!$A$2:$B$9,2,FALSE()),Factory_Components!$B$2:$B$61,"a",Factory_Components!$D$2:$D$61,F633)&gt;0,1,0)</f>
        <v>1</v>
      </c>
    </row>
    <row r="634" spans="1:7" ht="15" customHeight="1" x14ac:dyDescent="0.25">
      <c r="A634" t="s">
        <v>6</v>
      </c>
      <c r="B634" t="s">
        <v>836</v>
      </c>
      <c r="C634" t="s">
        <v>364</v>
      </c>
      <c r="D634" t="s">
        <v>1157</v>
      </c>
      <c r="E634" t="str">
        <f t="shared" si="18"/>
        <v>CHS</v>
      </c>
      <c r="F634" t="str">
        <f t="shared" si="19"/>
        <v>CHS</v>
      </c>
      <c r="G634">
        <f>IF(COUNTIFS(Factory_Components!$A$2:$A$61,VLOOKUP(A634,Runs!$A$2:$B$9,2,FALSE()),Factory_Components!$B$2:$B$61,"a",Factory_Components!$D$2:$D$61,F634)&gt;0,1,0)</f>
        <v>1</v>
      </c>
    </row>
    <row r="635" spans="1:7" ht="15" customHeight="1" x14ac:dyDescent="0.25">
      <c r="A635" t="s">
        <v>6</v>
      </c>
      <c r="B635" t="s">
        <v>698</v>
      </c>
      <c r="C635" t="s">
        <v>352</v>
      </c>
      <c r="D635" t="s">
        <v>1158</v>
      </c>
      <c r="E635" t="str">
        <f t="shared" si="18"/>
        <v>BSA</v>
      </c>
      <c r="F635" t="str">
        <f t="shared" si="19"/>
        <v>BSA</v>
      </c>
      <c r="G635">
        <f>IF(COUNTIFS(Factory_Components!$A$2:$A$61,VLOOKUP(A635,Runs!$A$2:$B$9,2,FALSE()),Factory_Components!$B$2:$B$61,"a",Factory_Components!$D$2:$D$61,F635)&gt;0,1,0)</f>
        <v>1</v>
      </c>
    </row>
    <row r="636" spans="1:7" ht="15" customHeight="1" x14ac:dyDescent="0.25">
      <c r="A636" t="s">
        <v>6</v>
      </c>
      <c r="B636" t="s">
        <v>813</v>
      </c>
      <c r="C636" t="s">
        <v>353</v>
      </c>
      <c r="D636" t="s">
        <v>1159</v>
      </c>
      <c r="E636" t="str">
        <f t="shared" si="18"/>
        <v>FT</v>
      </c>
      <c r="F636" t="str">
        <f t="shared" si="19"/>
        <v>FT</v>
      </c>
      <c r="G636">
        <f>IF(COUNTIFS(Factory_Components!$A$2:$A$61,VLOOKUP(A636,Runs!$A$2:$B$9,2,FALSE()),Factory_Components!$B$2:$B$61,"a",Factory_Components!$D$2:$D$61,F636)&gt;0,1,0)</f>
        <v>1</v>
      </c>
    </row>
    <row r="637" spans="1:7" ht="15" customHeight="1" x14ac:dyDescent="0.25">
      <c r="A637" t="s">
        <v>6</v>
      </c>
      <c r="B637" t="s">
        <v>1160</v>
      </c>
      <c r="C637" t="s">
        <v>364</v>
      </c>
      <c r="D637" t="s">
        <v>1161</v>
      </c>
      <c r="E637" t="str">
        <f t="shared" si="18"/>
        <v>BSA</v>
      </c>
      <c r="F637" t="str">
        <f t="shared" si="19"/>
        <v>BSA</v>
      </c>
      <c r="G637">
        <f>IF(COUNTIFS(Factory_Components!$A$2:$A$61,VLOOKUP(A637,Runs!$A$2:$B$9,2,FALSE()),Factory_Components!$B$2:$B$61,"a",Factory_Components!$D$2:$D$61,F637)&gt;0,1,0)</f>
        <v>1</v>
      </c>
    </row>
    <row r="638" spans="1:7" ht="15" customHeight="1" x14ac:dyDescent="0.25">
      <c r="A638" t="s">
        <v>6</v>
      </c>
      <c r="B638" t="s">
        <v>1162</v>
      </c>
      <c r="C638" t="s">
        <v>352</v>
      </c>
      <c r="D638" t="s">
        <v>1163</v>
      </c>
      <c r="E638" t="str">
        <f t="shared" si="18"/>
        <v>BSA</v>
      </c>
      <c r="F638" t="str">
        <f t="shared" si="19"/>
        <v>BSA</v>
      </c>
      <c r="G638">
        <f>IF(COUNTIFS(Factory_Components!$A$2:$A$61,VLOOKUP(A638,Runs!$A$2:$B$9,2,FALSE()),Factory_Components!$B$2:$B$61,"a",Factory_Components!$D$2:$D$61,F638)&gt;0,1,0)</f>
        <v>1</v>
      </c>
    </row>
    <row r="639" spans="1:7" ht="15" customHeight="1" x14ac:dyDescent="0.25">
      <c r="A639" t="s">
        <v>6</v>
      </c>
      <c r="B639" t="s">
        <v>1164</v>
      </c>
      <c r="C639" t="s">
        <v>352</v>
      </c>
      <c r="D639" t="s">
        <v>1165</v>
      </c>
      <c r="E639" t="str">
        <f t="shared" si="18"/>
        <v>RAX_RD</v>
      </c>
      <c r="F639" t="str">
        <f t="shared" si="19"/>
        <v>RAX_RD</v>
      </c>
      <c r="G639">
        <f>IF(COUNTIFS(Factory_Components!$A$2:$A$61,VLOOKUP(A639,Runs!$A$2:$B$9,2,FALSE()),Factory_Components!$B$2:$B$61,"a",Factory_Components!$D$2:$D$61,F639)&gt;0,1,0)</f>
        <v>0</v>
      </c>
    </row>
    <row r="640" spans="1:7" ht="15" customHeight="1" x14ac:dyDescent="0.25">
      <c r="A640" t="s">
        <v>6</v>
      </c>
      <c r="B640" t="s">
        <v>1166</v>
      </c>
      <c r="C640" t="s">
        <v>364</v>
      </c>
      <c r="D640" t="s">
        <v>1167</v>
      </c>
      <c r="E640" t="str">
        <f t="shared" si="18"/>
        <v>BSA</v>
      </c>
      <c r="F640" t="str">
        <f t="shared" si="19"/>
        <v>BSA</v>
      </c>
      <c r="G640">
        <f>IF(COUNTIFS(Factory_Components!$A$2:$A$61,VLOOKUP(A640,Runs!$A$2:$B$9,2,FALSE()),Factory_Components!$B$2:$B$61,"a",Factory_Components!$D$2:$D$61,F640)&gt;0,1,0)</f>
        <v>1</v>
      </c>
    </row>
    <row r="641" spans="1:7" ht="15" customHeight="1" x14ac:dyDescent="0.25">
      <c r="A641" t="s">
        <v>6</v>
      </c>
      <c r="B641" t="s">
        <v>1168</v>
      </c>
      <c r="C641" t="s">
        <v>364</v>
      </c>
      <c r="D641" t="s">
        <v>1169</v>
      </c>
      <c r="E641" t="str">
        <f t="shared" si="18"/>
        <v>RAX_HD</v>
      </c>
      <c r="F641" t="str">
        <f t="shared" si="19"/>
        <v>RAX_HD</v>
      </c>
      <c r="G641">
        <f>IF(COUNTIFS(Factory_Components!$A$2:$A$61,VLOOKUP(A641,Runs!$A$2:$B$9,2,FALSE()),Factory_Components!$B$2:$B$61,"a",Factory_Components!$D$2:$D$61,F641)&gt;0,1,0)</f>
        <v>0</v>
      </c>
    </row>
    <row r="642" spans="1:7" ht="15" customHeight="1" x14ac:dyDescent="0.25">
      <c r="A642" t="s">
        <v>6</v>
      </c>
      <c r="B642" t="s">
        <v>1170</v>
      </c>
      <c r="C642" t="s">
        <v>353</v>
      </c>
      <c r="D642" t="s">
        <v>1171</v>
      </c>
      <c r="E642" t="str">
        <f t="shared" ref="E642:E705" si="20">IF(ISNUMBER(--RIGHT(B642,1)),MID(B642,10,LEN(B642)-11),MID(B642,10,100))</f>
        <v>SSA</v>
      </c>
      <c r="F642" t="str">
        <f t="shared" ref="F642:F705" si="21">IF(E642="CORE","CHS",E642)</f>
        <v>SSA</v>
      </c>
      <c r="G642">
        <f>IF(COUNTIFS(Factory_Components!$A$2:$A$61,VLOOKUP(A642,Runs!$A$2:$B$9,2,FALSE()),Factory_Components!$B$2:$B$61,"a",Factory_Components!$D$2:$D$61,F642)&gt;0,1,0)</f>
        <v>1</v>
      </c>
    </row>
    <row r="643" spans="1:7" ht="15" customHeight="1" x14ac:dyDescent="0.25">
      <c r="A643" t="s">
        <v>6</v>
      </c>
      <c r="B643" t="s">
        <v>1172</v>
      </c>
      <c r="C643" t="s">
        <v>353</v>
      </c>
      <c r="D643" t="s">
        <v>1173</v>
      </c>
      <c r="E643" t="str">
        <f t="shared" si="20"/>
        <v>SSA</v>
      </c>
      <c r="F643" t="str">
        <f t="shared" si="21"/>
        <v>SSA</v>
      </c>
      <c r="G643">
        <f>IF(COUNTIFS(Factory_Components!$A$2:$A$61,VLOOKUP(A643,Runs!$A$2:$B$9,2,FALSE()),Factory_Components!$B$2:$B$61,"a",Factory_Components!$D$2:$D$61,F643)&gt;0,1,0)</f>
        <v>1</v>
      </c>
    </row>
    <row r="644" spans="1:7" ht="15" customHeight="1" x14ac:dyDescent="0.25">
      <c r="A644" t="s">
        <v>6</v>
      </c>
      <c r="B644" t="s">
        <v>1174</v>
      </c>
      <c r="C644" t="s">
        <v>353</v>
      </c>
      <c r="D644" t="s">
        <v>1175</v>
      </c>
      <c r="E644" t="str">
        <f t="shared" si="20"/>
        <v>FAX</v>
      </c>
      <c r="F644" t="str">
        <f t="shared" si="21"/>
        <v>FAX</v>
      </c>
      <c r="G644">
        <f>IF(COUNTIFS(Factory_Components!$A$2:$A$61,VLOOKUP(A644,Runs!$A$2:$B$9,2,FALSE()),Factory_Components!$B$2:$B$61,"a",Factory_Components!$D$2:$D$61,F644)&gt;0,1,0)</f>
        <v>1</v>
      </c>
    </row>
    <row r="645" spans="1:7" ht="15" customHeight="1" x14ac:dyDescent="0.25">
      <c r="A645" t="s">
        <v>6</v>
      </c>
      <c r="B645" t="s">
        <v>829</v>
      </c>
      <c r="C645" t="s">
        <v>353</v>
      </c>
      <c r="D645" t="s">
        <v>1176</v>
      </c>
      <c r="E645" t="str">
        <f t="shared" si="20"/>
        <v>CHS</v>
      </c>
      <c r="F645" t="str">
        <f t="shared" si="21"/>
        <v>CHS</v>
      </c>
      <c r="G645">
        <f>IF(COUNTIFS(Factory_Components!$A$2:$A$61,VLOOKUP(A645,Runs!$A$2:$B$9,2,FALSE()),Factory_Components!$B$2:$B$61,"a",Factory_Components!$D$2:$D$61,F645)&gt;0,1,0)</f>
        <v>1</v>
      </c>
    </row>
    <row r="646" spans="1:7" ht="15" customHeight="1" x14ac:dyDescent="0.25">
      <c r="A646" t="s">
        <v>6</v>
      </c>
      <c r="B646" t="s">
        <v>525</v>
      </c>
      <c r="C646" t="s">
        <v>353</v>
      </c>
      <c r="D646" t="s">
        <v>1177</v>
      </c>
      <c r="E646" t="str">
        <f t="shared" si="20"/>
        <v>BSA</v>
      </c>
      <c r="F646" t="str">
        <f t="shared" si="21"/>
        <v>BSA</v>
      </c>
      <c r="G646">
        <f>IF(COUNTIFS(Factory_Components!$A$2:$A$61,VLOOKUP(A646,Runs!$A$2:$B$9,2,FALSE()),Factory_Components!$B$2:$B$61,"a",Factory_Components!$D$2:$D$61,F646)&gt;0,1,0)</f>
        <v>1</v>
      </c>
    </row>
    <row r="647" spans="1:7" ht="15" customHeight="1" x14ac:dyDescent="0.25">
      <c r="A647" t="s">
        <v>6</v>
      </c>
      <c r="B647" t="s">
        <v>527</v>
      </c>
      <c r="C647" t="s">
        <v>353</v>
      </c>
      <c r="D647" t="s">
        <v>1178</v>
      </c>
      <c r="E647" t="str">
        <f t="shared" si="20"/>
        <v>BSA</v>
      </c>
      <c r="F647" t="str">
        <f t="shared" si="21"/>
        <v>BSA</v>
      </c>
      <c r="G647">
        <f>IF(COUNTIFS(Factory_Components!$A$2:$A$61,VLOOKUP(A647,Runs!$A$2:$B$9,2,FALSE()),Factory_Components!$B$2:$B$61,"a",Factory_Components!$D$2:$D$61,F647)&gt;0,1,0)</f>
        <v>1</v>
      </c>
    </row>
    <row r="648" spans="1:7" ht="15" customHeight="1" x14ac:dyDescent="0.25">
      <c r="A648" t="s">
        <v>6</v>
      </c>
      <c r="B648" t="s">
        <v>1179</v>
      </c>
      <c r="C648" t="s">
        <v>353</v>
      </c>
      <c r="D648" t="s">
        <v>1180</v>
      </c>
      <c r="E648" t="str">
        <f t="shared" si="20"/>
        <v>RAX_HD</v>
      </c>
      <c r="F648" t="str">
        <f t="shared" si="21"/>
        <v>RAX_HD</v>
      </c>
      <c r="G648">
        <f>IF(COUNTIFS(Factory_Components!$A$2:$A$61,VLOOKUP(A648,Runs!$A$2:$B$9,2,FALSE()),Factory_Components!$B$2:$B$61,"a",Factory_Components!$D$2:$D$61,F648)&gt;0,1,0)</f>
        <v>0</v>
      </c>
    </row>
    <row r="649" spans="1:7" ht="15" customHeight="1" x14ac:dyDescent="0.25">
      <c r="A649" t="s">
        <v>7</v>
      </c>
      <c r="B649" t="s">
        <v>381</v>
      </c>
      <c r="C649" t="s">
        <v>355</v>
      </c>
      <c r="D649" t="s">
        <v>1181</v>
      </c>
      <c r="E649" t="str">
        <f t="shared" si="20"/>
        <v>RT</v>
      </c>
      <c r="F649" t="str">
        <f t="shared" si="21"/>
        <v>RT</v>
      </c>
      <c r="G649">
        <f>IF(COUNTIFS(Factory_Components!$A$2:$A$61,VLOOKUP(A649,Runs!$A$2:$B$9,2,FALSE()),Factory_Components!$B$2:$B$61,"a",Factory_Components!$D$2:$D$61,F649)&gt;0,1,0)</f>
        <v>1</v>
      </c>
    </row>
    <row r="650" spans="1:7" ht="15" customHeight="1" x14ac:dyDescent="0.25">
      <c r="A650" t="s">
        <v>7</v>
      </c>
      <c r="B650" t="s">
        <v>385</v>
      </c>
      <c r="C650" t="s">
        <v>354</v>
      </c>
      <c r="D650" t="s">
        <v>1182</v>
      </c>
      <c r="E650" t="str">
        <f t="shared" si="20"/>
        <v>BOSP</v>
      </c>
      <c r="F650" t="str">
        <f t="shared" si="21"/>
        <v>BOSP</v>
      </c>
      <c r="G650">
        <f>IF(COUNTIFS(Factory_Components!$A$2:$A$61,VLOOKUP(A650,Runs!$A$2:$B$9,2,FALSE()),Factory_Components!$B$2:$B$61,"a",Factory_Components!$D$2:$D$61,F650)&gt;0,1,0)</f>
        <v>1</v>
      </c>
    </row>
    <row r="651" spans="1:7" ht="15" customHeight="1" x14ac:dyDescent="0.25">
      <c r="A651" t="s">
        <v>7</v>
      </c>
      <c r="B651" t="s">
        <v>383</v>
      </c>
      <c r="C651" t="s">
        <v>355</v>
      </c>
      <c r="D651" t="s">
        <v>1183</v>
      </c>
      <c r="E651" t="str">
        <f t="shared" si="20"/>
        <v>RT</v>
      </c>
      <c r="F651" t="str">
        <f t="shared" si="21"/>
        <v>RT</v>
      </c>
      <c r="G651">
        <f>IF(COUNTIFS(Factory_Components!$A$2:$A$61,VLOOKUP(A651,Runs!$A$2:$B$9,2,FALSE()),Factory_Components!$B$2:$B$61,"a",Factory_Components!$D$2:$D$61,F651)&gt;0,1,0)</f>
        <v>1</v>
      </c>
    </row>
    <row r="652" spans="1:7" ht="15" customHeight="1" x14ac:dyDescent="0.25">
      <c r="A652" t="s">
        <v>7</v>
      </c>
      <c r="B652" t="s">
        <v>387</v>
      </c>
      <c r="C652" t="s">
        <v>354</v>
      </c>
      <c r="D652" t="s">
        <v>1184</v>
      </c>
      <c r="E652" t="str">
        <f t="shared" si="20"/>
        <v>BOSP</v>
      </c>
      <c r="F652" t="str">
        <f t="shared" si="21"/>
        <v>BOSP</v>
      </c>
      <c r="G652">
        <f>IF(COUNTIFS(Factory_Components!$A$2:$A$61,VLOOKUP(A652,Runs!$A$2:$B$9,2,FALSE()),Factory_Components!$B$2:$B$61,"a",Factory_Components!$D$2:$D$61,F652)&gt;0,1,0)</f>
        <v>1</v>
      </c>
    </row>
    <row r="653" spans="1:7" ht="15" customHeight="1" x14ac:dyDescent="0.25">
      <c r="A653" t="s">
        <v>7</v>
      </c>
      <c r="B653" t="s">
        <v>395</v>
      </c>
      <c r="C653" t="s">
        <v>354</v>
      </c>
      <c r="D653" t="s">
        <v>1185</v>
      </c>
      <c r="E653" t="str">
        <f t="shared" si="20"/>
        <v>BOSP</v>
      </c>
      <c r="F653" t="str">
        <f t="shared" si="21"/>
        <v>BOSP</v>
      </c>
      <c r="G653">
        <f>IF(COUNTIFS(Factory_Components!$A$2:$A$61,VLOOKUP(A653,Runs!$A$2:$B$9,2,FALSE()),Factory_Components!$B$2:$B$61,"a",Factory_Components!$D$2:$D$61,F653)&gt;0,1,0)</f>
        <v>1</v>
      </c>
    </row>
    <row r="654" spans="1:7" ht="15" customHeight="1" x14ac:dyDescent="0.25">
      <c r="A654" t="s">
        <v>7</v>
      </c>
      <c r="B654" t="s">
        <v>550</v>
      </c>
      <c r="C654" t="s">
        <v>355</v>
      </c>
      <c r="D654" t="s">
        <v>1186</v>
      </c>
      <c r="E654" t="str">
        <f t="shared" si="20"/>
        <v>FT</v>
      </c>
      <c r="F654" t="str">
        <f t="shared" si="21"/>
        <v>FT</v>
      </c>
      <c r="G654">
        <f>IF(COUNTIFS(Factory_Components!$A$2:$A$61,VLOOKUP(A654,Runs!$A$2:$B$9,2,FALSE()),Factory_Components!$B$2:$B$61,"a",Factory_Components!$D$2:$D$61,F654)&gt;0,1,0)</f>
        <v>1</v>
      </c>
    </row>
    <row r="655" spans="1:7" ht="15" customHeight="1" x14ac:dyDescent="0.25">
      <c r="A655" t="s">
        <v>7</v>
      </c>
      <c r="B655" t="s">
        <v>399</v>
      </c>
      <c r="C655" t="s">
        <v>354</v>
      </c>
      <c r="D655" t="s">
        <v>1187</v>
      </c>
      <c r="E655" t="str">
        <f t="shared" si="20"/>
        <v>BOSP</v>
      </c>
      <c r="F655" t="str">
        <f t="shared" si="21"/>
        <v>BOSP</v>
      </c>
      <c r="G655">
        <f>IF(COUNTIFS(Factory_Components!$A$2:$A$61,VLOOKUP(A655,Runs!$A$2:$B$9,2,FALSE()),Factory_Components!$B$2:$B$61,"a",Factory_Components!$D$2:$D$61,F655)&gt;0,1,0)</f>
        <v>1</v>
      </c>
    </row>
    <row r="656" spans="1:7" ht="15" customHeight="1" x14ac:dyDescent="0.25">
      <c r="A656" t="s">
        <v>7</v>
      </c>
      <c r="B656" t="s">
        <v>555</v>
      </c>
      <c r="C656" t="s">
        <v>355</v>
      </c>
      <c r="D656" t="s">
        <v>1188</v>
      </c>
      <c r="E656" t="str">
        <f t="shared" si="20"/>
        <v>FT</v>
      </c>
      <c r="F656" t="str">
        <f t="shared" si="21"/>
        <v>FT</v>
      </c>
      <c r="G656">
        <f>IF(COUNTIFS(Factory_Components!$A$2:$A$61,VLOOKUP(A656,Runs!$A$2:$B$9,2,FALSE()),Factory_Components!$B$2:$B$61,"a",Factory_Components!$D$2:$D$61,F656)&gt;0,1,0)</f>
        <v>1</v>
      </c>
    </row>
    <row r="657" spans="1:7" ht="15" customHeight="1" x14ac:dyDescent="0.25">
      <c r="A657" t="s">
        <v>7</v>
      </c>
      <c r="B657" t="s">
        <v>548</v>
      </c>
      <c r="C657" t="s">
        <v>354</v>
      </c>
      <c r="D657" t="s">
        <v>1189</v>
      </c>
      <c r="E657" t="str">
        <f t="shared" si="20"/>
        <v>BAT</v>
      </c>
      <c r="F657" t="str">
        <f t="shared" si="21"/>
        <v>BAT</v>
      </c>
      <c r="G657">
        <f>IF(COUNTIFS(Factory_Components!$A$2:$A$61,VLOOKUP(A657,Runs!$A$2:$B$9,2,FALSE()),Factory_Components!$B$2:$B$61,"a",Factory_Components!$D$2:$D$61,F657)&gt;0,1,0)</f>
        <v>1</v>
      </c>
    </row>
    <row r="658" spans="1:7" ht="15" customHeight="1" x14ac:dyDescent="0.25">
      <c r="A658" t="s">
        <v>7</v>
      </c>
      <c r="B658" t="s">
        <v>389</v>
      </c>
      <c r="C658" t="s">
        <v>355</v>
      </c>
      <c r="D658" t="s">
        <v>1190</v>
      </c>
      <c r="E658" t="str">
        <f t="shared" si="20"/>
        <v>RT</v>
      </c>
      <c r="F658" t="str">
        <f t="shared" si="21"/>
        <v>RT</v>
      </c>
      <c r="G658">
        <f>IF(COUNTIFS(Factory_Components!$A$2:$A$61,VLOOKUP(A658,Runs!$A$2:$B$9,2,FALSE()),Factory_Components!$B$2:$B$61,"a",Factory_Components!$D$2:$D$61,F658)&gt;0,1,0)</f>
        <v>1</v>
      </c>
    </row>
    <row r="659" spans="1:7" ht="15" customHeight="1" x14ac:dyDescent="0.25">
      <c r="A659" t="s">
        <v>7</v>
      </c>
      <c r="B659" t="s">
        <v>411</v>
      </c>
      <c r="C659" t="s">
        <v>354</v>
      </c>
      <c r="D659" t="s">
        <v>1191</v>
      </c>
      <c r="E659" t="str">
        <f t="shared" si="20"/>
        <v>BOSP</v>
      </c>
      <c r="F659" t="str">
        <f t="shared" si="21"/>
        <v>BOSP</v>
      </c>
      <c r="G659">
        <f>IF(COUNTIFS(Factory_Components!$A$2:$A$61,VLOOKUP(A659,Runs!$A$2:$B$9,2,FALSE()),Factory_Components!$B$2:$B$61,"a",Factory_Components!$D$2:$D$61,F659)&gt;0,1,0)</f>
        <v>1</v>
      </c>
    </row>
    <row r="660" spans="1:7" ht="15" customHeight="1" x14ac:dyDescent="0.25">
      <c r="A660" t="s">
        <v>7</v>
      </c>
      <c r="B660" t="s">
        <v>570</v>
      </c>
      <c r="C660" t="s">
        <v>349</v>
      </c>
      <c r="D660" t="s">
        <v>1192</v>
      </c>
      <c r="E660" t="str">
        <f t="shared" si="20"/>
        <v>SSA</v>
      </c>
      <c r="F660" t="str">
        <f t="shared" si="21"/>
        <v>SSA</v>
      </c>
      <c r="G660">
        <f>IF(COUNTIFS(Factory_Components!$A$2:$A$61,VLOOKUP(A660,Runs!$A$2:$B$9,2,FALSE()),Factory_Components!$B$2:$B$61,"a",Factory_Components!$D$2:$D$61,F660)&gt;0,1,0)</f>
        <v>1</v>
      </c>
    </row>
    <row r="661" spans="1:7" ht="15" customHeight="1" x14ac:dyDescent="0.25">
      <c r="A661" t="s">
        <v>7</v>
      </c>
      <c r="B661" t="s">
        <v>413</v>
      </c>
      <c r="C661" t="s">
        <v>354</v>
      </c>
      <c r="D661" t="s">
        <v>1193</v>
      </c>
      <c r="E661" t="str">
        <f t="shared" si="20"/>
        <v>BOSP</v>
      </c>
      <c r="F661" t="str">
        <f t="shared" si="21"/>
        <v>BOSP</v>
      </c>
      <c r="G661">
        <f>IF(COUNTIFS(Factory_Components!$A$2:$A$61,VLOOKUP(A661,Runs!$A$2:$B$9,2,FALSE()),Factory_Components!$B$2:$B$61,"a",Factory_Components!$D$2:$D$61,F661)&gt;0,1,0)</f>
        <v>1</v>
      </c>
    </row>
    <row r="662" spans="1:7" ht="15" customHeight="1" x14ac:dyDescent="0.25">
      <c r="A662" t="s">
        <v>7</v>
      </c>
      <c r="B662" t="s">
        <v>393</v>
      </c>
      <c r="C662" t="s">
        <v>355</v>
      </c>
      <c r="D662" t="s">
        <v>1194</v>
      </c>
      <c r="E662" t="str">
        <f t="shared" si="20"/>
        <v>RT</v>
      </c>
      <c r="F662" t="str">
        <f t="shared" si="21"/>
        <v>RT</v>
      </c>
      <c r="G662">
        <f>IF(COUNTIFS(Factory_Components!$A$2:$A$61,VLOOKUP(A662,Runs!$A$2:$B$9,2,FALSE()),Factory_Components!$B$2:$B$61,"a",Factory_Components!$D$2:$D$61,F662)&gt;0,1,0)</f>
        <v>1</v>
      </c>
    </row>
    <row r="663" spans="1:7" ht="15" customHeight="1" x14ac:dyDescent="0.25">
      <c r="A663" t="s">
        <v>7</v>
      </c>
      <c r="B663" t="s">
        <v>574</v>
      </c>
      <c r="C663" t="s">
        <v>349</v>
      </c>
      <c r="D663" t="s">
        <v>1195</v>
      </c>
      <c r="E663" t="str">
        <f t="shared" si="20"/>
        <v>SSA</v>
      </c>
      <c r="F663" t="str">
        <f t="shared" si="21"/>
        <v>SSA</v>
      </c>
      <c r="G663">
        <f>IF(COUNTIFS(Factory_Components!$A$2:$A$61,VLOOKUP(A663,Runs!$A$2:$B$9,2,FALSE()),Factory_Components!$B$2:$B$61,"a",Factory_Components!$D$2:$D$61,F663)&gt;0,1,0)</f>
        <v>1</v>
      </c>
    </row>
    <row r="664" spans="1:7" ht="15" customHeight="1" x14ac:dyDescent="0.25">
      <c r="A664" t="s">
        <v>7</v>
      </c>
      <c r="B664" t="s">
        <v>423</v>
      </c>
      <c r="C664" t="s">
        <v>354</v>
      </c>
      <c r="D664" t="s">
        <v>1196</v>
      </c>
      <c r="E664" t="str">
        <f t="shared" si="20"/>
        <v>BAT</v>
      </c>
      <c r="F664" t="str">
        <f t="shared" si="21"/>
        <v>BAT</v>
      </c>
      <c r="G664">
        <f>IF(COUNTIFS(Factory_Components!$A$2:$A$61,VLOOKUP(A664,Runs!$A$2:$B$9,2,FALSE()),Factory_Components!$B$2:$B$61,"a",Factory_Components!$D$2:$D$61,F664)&gt;0,1,0)</f>
        <v>1</v>
      </c>
    </row>
    <row r="665" spans="1:7" ht="15" customHeight="1" x14ac:dyDescent="0.25">
      <c r="A665" t="s">
        <v>7</v>
      </c>
      <c r="B665" t="s">
        <v>449</v>
      </c>
      <c r="C665" t="s">
        <v>354</v>
      </c>
      <c r="D665" t="s">
        <v>1197</v>
      </c>
      <c r="E665" t="str">
        <f t="shared" si="20"/>
        <v>BOSP</v>
      </c>
      <c r="F665" t="str">
        <f t="shared" si="21"/>
        <v>BOSP</v>
      </c>
      <c r="G665">
        <f>IF(COUNTIFS(Factory_Components!$A$2:$A$61,VLOOKUP(A665,Runs!$A$2:$B$9,2,FALSE()),Factory_Components!$B$2:$B$61,"a",Factory_Components!$D$2:$D$61,F665)&gt;0,1,0)</f>
        <v>1</v>
      </c>
    </row>
    <row r="666" spans="1:7" ht="15" customHeight="1" x14ac:dyDescent="0.25">
      <c r="A666" t="s">
        <v>7</v>
      </c>
      <c r="B666" t="s">
        <v>401</v>
      </c>
      <c r="C666" t="s">
        <v>355</v>
      </c>
      <c r="D666" t="s">
        <v>1198</v>
      </c>
      <c r="E666" t="str">
        <f t="shared" si="20"/>
        <v>RT</v>
      </c>
      <c r="F666" t="str">
        <f t="shared" si="21"/>
        <v>RT</v>
      </c>
      <c r="G666">
        <f>IF(COUNTIFS(Factory_Components!$A$2:$A$61,VLOOKUP(A666,Runs!$A$2:$B$9,2,FALSE()),Factory_Components!$B$2:$B$61,"a",Factory_Components!$D$2:$D$61,F666)&gt;0,1,0)</f>
        <v>1</v>
      </c>
    </row>
    <row r="667" spans="1:7" ht="15" customHeight="1" x14ac:dyDescent="0.25">
      <c r="A667" t="s">
        <v>7</v>
      </c>
      <c r="B667" t="s">
        <v>397</v>
      </c>
      <c r="C667" t="s">
        <v>349</v>
      </c>
      <c r="D667" t="s">
        <v>1199</v>
      </c>
      <c r="E667" t="str">
        <f t="shared" si="20"/>
        <v>BSA</v>
      </c>
      <c r="F667" t="str">
        <f t="shared" si="21"/>
        <v>BSA</v>
      </c>
      <c r="G667">
        <f>IF(COUNTIFS(Factory_Components!$A$2:$A$61,VLOOKUP(A667,Runs!$A$2:$B$9,2,FALSE()),Factory_Components!$B$2:$B$61,"a",Factory_Components!$D$2:$D$61,F667)&gt;0,1,0)</f>
        <v>1</v>
      </c>
    </row>
    <row r="668" spans="1:7" ht="15" customHeight="1" x14ac:dyDescent="0.25">
      <c r="A668" t="s">
        <v>7</v>
      </c>
      <c r="B668" t="s">
        <v>451</v>
      </c>
      <c r="C668" t="s">
        <v>354</v>
      </c>
      <c r="D668" t="s">
        <v>1200</v>
      </c>
      <c r="E668" t="str">
        <f t="shared" si="20"/>
        <v>BOSP</v>
      </c>
      <c r="F668" t="str">
        <f t="shared" si="21"/>
        <v>BOSP</v>
      </c>
      <c r="G668">
        <f>IF(COUNTIFS(Factory_Components!$A$2:$A$61,VLOOKUP(A668,Runs!$A$2:$B$9,2,FALSE()),Factory_Components!$B$2:$B$61,"a",Factory_Components!$D$2:$D$61,F668)&gt;0,1,0)</f>
        <v>1</v>
      </c>
    </row>
    <row r="669" spans="1:7" ht="15" customHeight="1" x14ac:dyDescent="0.25">
      <c r="A669" t="s">
        <v>7</v>
      </c>
      <c r="B669" t="s">
        <v>403</v>
      </c>
      <c r="C669" t="s">
        <v>349</v>
      </c>
      <c r="D669" t="s">
        <v>1201</v>
      </c>
      <c r="E669" t="str">
        <f t="shared" si="20"/>
        <v>BSA</v>
      </c>
      <c r="F669" t="str">
        <f t="shared" si="21"/>
        <v>BSA</v>
      </c>
      <c r="G669">
        <f>IF(COUNTIFS(Factory_Components!$A$2:$A$61,VLOOKUP(A669,Runs!$A$2:$B$9,2,FALSE()),Factory_Components!$B$2:$B$61,"a",Factory_Components!$D$2:$D$61,F669)&gt;0,1,0)</f>
        <v>1</v>
      </c>
    </row>
    <row r="670" spans="1:7" ht="15" customHeight="1" x14ac:dyDescent="0.25">
      <c r="A670" t="s">
        <v>7</v>
      </c>
      <c r="B670" t="s">
        <v>1202</v>
      </c>
      <c r="C670" t="s">
        <v>349</v>
      </c>
      <c r="D670" t="s">
        <v>1203</v>
      </c>
      <c r="E670" t="str">
        <f t="shared" si="20"/>
        <v>CSEB-NABS</v>
      </c>
      <c r="F670" t="str">
        <f t="shared" si="21"/>
        <v>CSEB-NABS</v>
      </c>
      <c r="G670">
        <f>IF(COUNTIFS(Factory_Components!$A$2:$A$61,VLOOKUP(A670,Runs!$A$2:$B$9,2,FALSE()),Factory_Components!$B$2:$B$61,"a",Factory_Components!$D$2:$D$61,F670)&gt;0,1,0)</f>
        <v>0</v>
      </c>
    </row>
    <row r="671" spans="1:7" ht="15" customHeight="1" x14ac:dyDescent="0.25">
      <c r="A671" t="s">
        <v>7</v>
      </c>
      <c r="B671" t="s">
        <v>409</v>
      </c>
      <c r="C671" t="s">
        <v>355</v>
      </c>
      <c r="D671" t="s">
        <v>1204</v>
      </c>
      <c r="E671" t="str">
        <f t="shared" si="20"/>
        <v>RT</v>
      </c>
      <c r="F671" t="str">
        <f t="shared" si="21"/>
        <v>RT</v>
      </c>
      <c r="G671">
        <f>IF(COUNTIFS(Factory_Components!$A$2:$A$61,VLOOKUP(A671,Runs!$A$2:$B$9,2,FALSE()),Factory_Components!$B$2:$B$61,"a",Factory_Components!$D$2:$D$61,F671)&gt;0,1,0)</f>
        <v>1</v>
      </c>
    </row>
    <row r="672" spans="1:7" ht="15" customHeight="1" x14ac:dyDescent="0.25">
      <c r="A672" t="s">
        <v>7</v>
      </c>
      <c r="B672" t="s">
        <v>407</v>
      </c>
      <c r="C672" t="s">
        <v>357</v>
      </c>
      <c r="D672" t="s">
        <v>1205</v>
      </c>
      <c r="E672" t="str">
        <f t="shared" si="20"/>
        <v>CORE</v>
      </c>
      <c r="F672" t="str">
        <f t="shared" si="21"/>
        <v>CHS</v>
      </c>
      <c r="G672">
        <f>IF(COUNTIFS(Factory_Components!$A$2:$A$61,VLOOKUP(A672,Runs!$A$2:$B$9,2,FALSE()),Factory_Components!$B$2:$B$61,"a",Factory_Components!$D$2:$D$61,F672)&gt;0,1,0)</f>
        <v>1</v>
      </c>
    </row>
    <row r="673" spans="1:7" ht="15" customHeight="1" x14ac:dyDescent="0.25">
      <c r="A673" t="s">
        <v>7</v>
      </c>
      <c r="B673" t="s">
        <v>632</v>
      </c>
      <c r="C673" t="s">
        <v>354</v>
      </c>
      <c r="D673" t="s">
        <v>1206</v>
      </c>
      <c r="E673" t="str">
        <f t="shared" si="20"/>
        <v>BAT</v>
      </c>
      <c r="F673" t="str">
        <f t="shared" si="21"/>
        <v>BAT</v>
      </c>
      <c r="G673">
        <f>IF(COUNTIFS(Factory_Components!$A$2:$A$61,VLOOKUP(A673,Runs!$A$2:$B$9,2,FALSE()),Factory_Components!$B$2:$B$61,"a",Factory_Components!$D$2:$D$61,F673)&gt;0,1,0)</f>
        <v>1</v>
      </c>
    </row>
    <row r="674" spans="1:7" ht="15" customHeight="1" x14ac:dyDescent="0.25">
      <c r="A674" t="s">
        <v>7</v>
      </c>
      <c r="B674" t="s">
        <v>461</v>
      </c>
      <c r="C674" t="s">
        <v>354</v>
      </c>
      <c r="D674" t="s">
        <v>1207</v>
      </c>
      <c r="E674" t="str">
        <f t="shared" si="20"/>
        <v>BOSP</v>
      </c>
      <c r="F674" t="str">
        <f t="shared" si="21"/>
        <v>BOSP</v>
      </c>
      <c r="G674">
        <f>IF(COUNTIFS(Factory_Components!$A$2:$A$61,VLOOKUP(A674,Runs!$A$2:$B$9,2,FALSE()),Factory_Components!$B$2:$B$61,"a",Factory_Components!$D$2:$D$61,F674)&gt;0,1,0)</f>
        <v>1</v>
      </c>
    </row>
    <row r="675" spans="1:7" ht="15" customHeight="1" x14ac:dyDescent="0.25">
      <c r="A675" t="s">
        <v>7</v>
      </c>
      <c r="B675" t="s">
        <v>563</v>
      </c>
      <c r="C675" t="s">
        <v>355</v>
      </c>
      <c r="D675" t="s">
        <v>1208</v>
      </c>
      <c r="E675" t="str">
        <f t="shared" si="20"/>
        <v>FT</v>
      </c>
      <c r="F675" t="str">
        <f t="shared" si="21"/>
        <v>FT</v>
      </c>
      <c r="G675">
        <f>IF(COUNTIFS(Factory_Components!$A$2:$A$61,VLOOKUP(A675,Runs!$A$2:$B$9,2,FALSE()),Factory_Components!$B$2:$B$61,"a",Factory_Components!$D$2:$D$61,F675)&gt;0,1,0)</f>
        <v>1</v>
      </c>
    </row>
    <row r="676" spans="1:7" ht="15" customHeight="1" x14ac:dyDescent="0.25">
      <c r="A676" t="s">
        <v>7</v>
      </c>
      <c r="B676" t="s">
        <v>415</v>
      </c>
      <c r="C676" t="s">
        <v>349</v>
      </c>
      <c r="D676" t="s">
        <v>1209</v>
      </c>
      <c r="E676" t="str">
        <f t="shared" si="20"/>
        <v>BSA</v>
      </c>
      <c r="F676" t="str">
        <f t="shared" si="21"/>
        <v>BSA</v>
      </c>
      <c r="G676">
        <f>IF(COUNTIFS(Factory_Components!$A$2:$A$61,VLOOKUP(A676,Runs!$A$2:$B$9,2,FALSE()),Factory_Components!$B$2:$B$61,"a",Factory_Components!$D$2:$D$61,F676)&gt;0,1,0)</f>
        <v>1</v>
      </c>
    </row>
    <row r="677" spans="1:7" ht="15" customHeight="1" x14ac:dyDescent="0.25">
      <c r="A677" t="s">
        <v>7</v>
      </c>
      <c r="B677" t="s">
        <v>465</v>
      </c>
      <c r="C677" t="s">
        <v>354</v>
      </c>
      <c r="D677" t="s">
        <v>1210</v>
      </c>
      <c r="E677" t="str">
        <f t="shared" si="20"/>
        <v>BOSP</v>
      </c>
      <c r="F677" t="str">
        <f t="shared" si="21"/>
        <v>BOSP</v>
      </c>
      <c r="G677">
        <f>IF(COUNTIFS(Factory_Components!$A$2:$A$61,VLOOKUP(A677,Runs!$A$2:$B$9,2,FALSE()),Factory_Components!$B$2:$B$61,"a",Factory_Components!$D$2:$D$61,F677)&gt;0,1,0)</f>
        <v>1</v>
      </c>
    </row>
    <row r="678" spans="1:7" ht="15" customHeight="1" x14ac:dyDescent="0.25">
      <c r="A678" t="s">
        <v>7</v>
      </c>
      <c r="B678" t="s">
        <v>566</v>
      </c>
      <c r="C678" t="s">
        <v>355</v>
      </c>
      <c r="D678" t="s">
        <v>1211</v>
      </c>
      <c r="E678" t="str">
        <f t="shared" si="20"/>
        <v>FT</v>
      </c>
      <c r="F678" t="str">
        <f t="shared" si="21"/>
        <v>FT</v>
      </c>
      <c r="G678">
        <f>IF(COUNTIFS(Factory_Components!$A$2:$A$61,VLOOKUP(A678,Runs!$A$2:$B$9,2,FALSE()),Factory_Components!$B$2:$B$61,"a",Factory_Components!$D$2:$D$61,F678)&gt;0,1,0)</f>
        <v>1</v>
      </c>
    </row>
    <row r="679" spans="1:7" ht="15" customHeight="1" x14ac:dyDescent="0.25">
      <c r="A679" t="s">
        <v>7</v>
      </c>
      <c r="B679" t="s">
        <v>477</v>
      </c>
      <c r="C679" t="s">
        <v>354</v>
      </c>
      <c r="D679" t="s">
        <v>1212</v>
      </c>
      <c r="E679" t="str">
        <f t="shared" si="20"/>
        <v>BOSP</v>
      </c>
      <c r="F679" t="str">
        <f t="shared" si="21"/>
        <v>BOSP</v>
      </c>
      <c r="G679">
        <f>IF(COUNTIFS(Factory_Components!$A$2:$A$61,VLOOKUP(A679,Runs!$A$2:$B$9,2,FALSE()),Factory_Components!$B$2:$B$61,"a",Factory_Components!$D$2:$D$61,F679)&gt;0,1,0)</f>
        <v>1</v>
      </c>
    </row>
    <row r="680" spans="1:7" ht="15" customHeight="1" x14ac:dyDescent="0.25">
      <c r="A680" t="s">
        <v>7</v>
      </c>
      <c r="B680" t="s">
        <v>419</v>
      </c>
      <c r="C680" t="s">
        <v>349</v>
      </c>
      <c r="D680" t="s">
        <v>1213</v>
      </c>
      <c r="E680" t="str">
        <f t="shared" si="20"/>
        <v>BSA</v>
      </c>
      <c r="F680" t="str">
        <f t="shared" si="21"/>
        <v>BSA</v>
      </c>
      <c r="G680">
        <f>IF(COUNTIFS(Factory_Components!$A$2:$A$61,VLOOKUP(A680,Runs!$A$2:$B$9,2,FALSE()),Factory_Components!$B$2:$B$61,"a",Factory_Components!$D$2:$D$61,F680)&gt;0,1,0)</f>
        <v>1</v>
      </c>
    </row>
    <row r="681" spans="1:7" ht="15" customHeight="1" x14ac:dyDescent="0.25">
      <c r="A681" t="s">
        <v>7</v>
      </c>
      <c r="B681" t="s">
        <v>421</v>
      </c>
      <c r="C681" t="s">
        <v>349</v>
      </c>
      <c r="D681" t="s">
        <v>1214</v>
      </c>
      <c r="E681" t="str">
        <f t="shared" si="20"/>
        <v>RAX_RD</v>
      </c>
      <c r="F681" t="str">
        <f t="shared" si="21"/>
        <v>RAX_RD</v>
      </c>
      <c r="G681">
        <f>IF(COUNTIFS(Factory_Components!$A$2:$A$61,VLOOKUP(A681,Runs!$A$2:$B$9,2,FALSE()),Factory_Components!$B$2:$B$61,"a",Factory_Components!$D$2:$D$61,F681)&gt;0,1,0)</f>
        <v>0</v>
      </c>
    </row>
    <row r="682" spans="1:7" ht="15" customHeight="1" x14ac:dyDescent="0.25">
      <c r="A682" t="s">
        <v>7</v>
      </c>
      <c r="B682" t="s">
        <v>481</v>
      </c>
      <c r="C682" t="s">
        <v>354</v>
      </c>
      <c r="D682" t="s">
        <v>1215</v>
      </c>
      <c r="E682" t="str">
        <f t="shared" si="20"/>
        <v>BOSP</v>
      </c>
      <c r="F682" t="str">
        <f t="shared" si="21"/>
        <v>BOSP</v>
      </c>
      <c r="G682">
        <f>IF(COUNTIFS(Factory_Components!$A$2:$A$61,VLOOKUP(A682,Runs!$A$2:$B$9,2,FALSE()),Factory_Components!$B$2:$B$61,"a",Factory_Components!$D$2:$D$61,F682)&gt;0,1,0)</f>
        <v>1</v>
      </c>
    </row>
    <row r="683" spans="1:7" ht="15" customHeight="1" x14ac:dyDescent="0.25">
      <c r="A683" t="s">
        <v>7</v>
      </c>
      <c r="B683" t="s">
        <v>441</v>
      </c>
      <c r="C683" t="s">
        <v>355</v>
      </c>
      <c r="D683" t="s">
        <v>1216</v>
      </c>
      <c r="E683" t="str">
        <f t="shared" si="20"/>
        <v>RT</v>
      </c>
      <c r="F683" t="str">
        <f t="shared" si="21"/>
        <v>RT</v>
      </c>
      <c r="G683">
        <f>IF(COUNTIFS(Factory_Components!$A$2:$A$61,VLOOKUP(A683,Runs!$A$2:$B$9,2,FALSE()),Factory_Components!$B$2:$B$61,"a",Factory_Components!$D$2:$D$61,F683)&gt;0,1,0)</f>
        <v>1</v>
      </c>
    </row>
    <row r="684" spans="1:7" ht="15" customHeight="1" x14ac:dyDescent="0.25">
      <c r="A684" t="s">
        <v>7</v>
      </c>
      <c r="B684" t="s">
        <v>489</v>
      </c>
      <c r="C684" t="s">
        <v>354</v>
      </c>
      <c r="D684" t="s">
        <v>1217</v>
      </c>
      <c r="E684" t="str">
        <f t="shared" si="20"/>
        <v>BAT</v>
      </c>
      <c r="F684" t="str">
        <f t="shared" si="21"/>
        <v>BAT</v>
      </c>
      <c r="G684">
        <f>IF(COUNTIFS(Factory_Components!$A$2:$A$61,VLOOKUP(A684,Runs!$A$2:$B$9,2,FALSE()),Factory_Components!$B$2:$B$61,"a",Factory_Components!$D$2:$D$61,F684)&gt;0,1,0)</f>
        <v>1</v>
      </c>
    </row>
    <row r="685" spans="1:7" ht="15" customHeight="1" x14ac:dyDescent="0.25">
      <c r="A685" t="s">
        <v>7</v>
      </c>
      <c r="B685" t="s">
        <v>507</v>
      </c>
      <c r="C685" t="s">
        <v>354</v>
      </c>
      <c r="D685" t="s">
        <v>1218</v>
      </c>
      <c r="E685" t="str">
        <f t="shared" si="20"/>
        <v>BOSP</v>
      </c>
      <c r="F685" t="str">
        <f t="shared" si="21"/>
        <v>BOSP</v>
      </c>
      <c r="G685">
        <f>IF(COUNTIFS(Factory_Components!$A$2:$A$61,VLOOKUP(A685,Runs!$A$2:$B$9,2,FALSE()),Factory_Components!$B$2:$B$61,"a",Factory_Components!$D$2:$D$61,F685)&gt;0,1,0)</f>
        <v>1</v>
      </c>
    </row>
    <row r="686" spans="1:7" ht="15" customHeight="1" x14ac:dyDescent="0.25">
      <c r="A686" t="s">
        <v>7</v>
      </c>
      <c r="B686" t="s">
        <v>443</v>
      </c>
      <c r="C686" t="s">
        <v>355</v>
      </c>
      <c r="D686" t="s">
        <v>1219</v>
      </c>
      <c r="E686" t="str">
        <f t="shared" si="20"/>
        <v>RT</v>
      </c>
      <c r="F686" t="str">
        <f t="shared" si="21"/>
        <v>RT</v>
      </c>
      <c r="G686">
        <f>IF(COUNTIFS(Factory_Components!$A$2:$A$61,VLOOKUP(A686,Runs!$A$2:$B$9,2,FALSE()),Factory_Components!$B$2:$B$61,"a",Factory_Components!$D$2:$D$61,F686)&gt;0,1,0)</f>
        <v>1</v>
      </c>
    </row>
    <row r="687" spans="1:7" ht="15" customHeight="1" x14ac:dyDescent="0.25">
      <c r="A687" t="s">
        <v>7</v>
      </c>
      <c r="B687" t="s">
        <v>509</v>
      </c>
      <c r="C687" t="s">
        <v>354</v>
      </c>
      <c r="D687" t="s">
        <v>1220</v>
      </c>
      <c r="E687" t="str">
        <f t="shared" si="20"/>
        <v>BOSP</v>
      </c>
      <c r="F687" t="str">
        <f t="shared" si="21"/>
        <v>BOSP</v>
      </c>
      <c r="G687">
        <f>IF(COUNTIFS(Factory_Components!$A$2:$A$61,VLOOKUP(A687,Runs!$A$2:$B$9,2,FALSE()),Factory_Components!$B$2:$B$61,"a",Factory_Components!$D$2:$D$61,F687)&gt;0,1,0)</f>
        <v>1</v>
      </c>
    </row>
    <row r="688" spans="1:7" ht="15" customHeight="1" x14ac:dyDescent="0.25">
      <c r="A688" t="s">
        <v>7</v>
      </c>
      <c r="B688" t="s">
        <v>445</v>
      </c>
      <c r="C688" t="s">
        <v>355</v>
      </c>
      <c r="D688" t="s">
        <v>1221</v>
      </c>
      <c r="E688" t="str">
        <f t="shared" si="20"/>
        <v>FT</v>
      </c>
      <c r="F688" t="str">
        <f t="shared" si="21"/>
        <v>FT</v>
      </c>
      <c r="G688">
        <f>IF(COUNTIFS(Factory_Components!$A$2:$A$61,VLOOKUP(A688,Runs!$A$2:$B$9,2,FALSE()),Factory_Components!$B$2:$B$61,"a",Factory_Components!$D$2:$D$61,F688)&gt;0,1,0)</f>
        <v>1</v>
      </c>
    </row>
    <row r="689" spans="1:7" ht="15" customHeight="1" x14ac:dyDescent="0.25">
      <c r="A689" t="s">
        <v>7</v>
      </c>
      <c r="B689" t="s">
        <v>578</v>
      </c>
      <c r="C689" t="s">
        <v>349</v>
      </c>
      <c r="D689" t="s">
        <v>1222</v>
      </c>
      <c r="E689" t="str">
        <f t="shared" si="20"/>
        <v>SSA</v>
      </c>
      <c r="F689" t="str">
        <f t="shared" si="21"/>
        <v>SSA</v>
      </c>
      <c r="G689">
        <f>IF(COUNTIFS(Factory_Components!$A$2:$A$61,VLOOKUP(A689,Runs!$A$2:$B$9,2,FALSE()),Factory_Components!$B$2:$B$61,"a",Factory_Components!$D$2:$D$61,F689)&gt;0,1,0)</f>
        <v>1</v>
      </c>
    </row>
    <row r="690" spans="1:7" ht="15" customHeight="1" x14ac:dyDescent="0.25">
      <c r="A690" t="s">
        <v>7</v>
      </c>
      <c r="B690" t="s">
        <v>447</v>
      </c>
      <c r="C690" t="s">
        <v>355</v>
      </c>
      <c r="D690" t="s">
        <v>1223</v>
      </c>
      <c r="E690" t="str">
        <f t="shared" si="20"/>
        <v>FT</v>
      </c>
      <c r="F690" t="str">
        <f t="shared" si="21"/>
        <v>FT</v>
      </c>
      <c r="G690">
        <f>IF(COUNTIFS(Factory_Components!$A$2:$A$61,VLOOKUP(A690,Runs!$A$2:$B$9,2,FALSE()),Factory_Components!$B$2:$B$61,"a",Factory_Components!$D$2:$D$61,F690)&gt;0,1,0)</f>
        <v>1</v>
      </c>
    </row>
    <row r="691" spans="1:7" ht="15" customHeight="1" x14ac:dyDescent="0.25">
      <c r="A691" t="s">
        <v>7</v>
      </c>
      <c r="B691" t="s">
        <v>599</v>
      </c>
      <c r="C691" t="s">
        <v>357</v>
      </c>
      <c r="D691" t="s">
        <v>1224</v>
      </c>
      <c r="E691" t="str">
        <f t="shared" si="20"/>
        <v>CHS</v>
      </c>
      <c r="F691" t="str">
        <f t="shared" si="21"/>
        <v>CHS</v>
      </c>
      <c r="G691">
        <f>IF(COUNTIFS(Factory_Components!$A$2:$A$61,VLOOKUP(A691,Runs!$A$2:$B$9,2,FALSE()),Factory_Components!$B$2:$B$61,"a",Factory_Components!$D$2:$D$61,F691)&gt;0,1,0)</f>
        <v>1</v>
      </c>
    </row>
    <row r="692" spans="1:7" ht="15" customHeight="1" x14ac:dyDescent="0.25">
      <c r="A692" t="s">
        <v>7</v>
      </c>
      <c r="B692" t="s">
        <v>586</v>
      </c>
      <c r="C692" t="s">
        <v>349</v>
      </c>
      <c r="D692" t="s">
        <v>1225</v>
      </c>
      <c r="E692" t="str">
        <f t="shared" si="20"/>
        <v>SSA</v>
      </c>
      <c r="F692" t="str">
        <f t="shared" si="21"/>
        <v>SSA</v>
      </c>
      <c r="G692">
        <f>IF(COUNTIFS(Factory_Components!$A$2:$A$61,VLOOKUP(A692,Runs!$A$2:$B$9,2,FALSE()),Factory_Components!$B$2:$B$61,"a",Factory_Components!$D$2:$D$61,F692)&gt;0,1,0)</f>
        <v>1</v>
      </c>
    </row>
    <row r="693" spans="1:7" ht="15" customHeight="1" x14ac:dyDescent="0.25">
      <c r="A693" t="s">
        <v>7</v>
      </c>
      <c r="B693" t="s">
        <v>588</v>
      </c>
      <c r="C693" t="s">
        <v>349</v>
      </c>
      <c r="D693" t="s">
        <v>1226</v>
      </c>
      <c r="E693" t="str">
        <f t="shared" si="20"/>
        <v>FAX</v>
      </c>
      <c r="F693" t="str">
        <f t="shared" si="21"/>
        <v>FAX</v>
      </c>
      <c r="G693">
        <f>IF(COUNTIFS(Factory_Components!$A$2:$A$61,VLOOKUP(A693,Runs!$A$2:$B$9,2,FALSE()),Factory_Components!$B$2:$B$61,"a",Factory_Components!$D$2:$D$61,F693)&gt;0,1,0)</f>
        <v>1</v>
      </c>
    </row>
    <row r="694" spans="1:7" ht="15" customHeight="1" x14ac:dyDescent="0.25">
      <c r="A694" t="s">
        <v>7</v>
      </c>
      <c r="B694" t="s">
        <v>427</v>
      </c>
      <c r="C694" t="s">
        <v>355</v>
      </c>
      <c r="D694" t="s">
        <v>1227</v>
      </c>
      <c r="E694" t="str">
        <f t="shared" si="20"/>
        <v>RT</v>
      </c>
      <c r="F694" t="str">
        <f t="shared" si="21"/>
        <v>RT</v>
      </c>
      <c r="G694">
        <f>IF(COUNTIFS(Factory_Components!$A$2:$A$61,VLOOKUP(A694,Runs!$A$2:$B$9,2,FALSE()),Factory_Components!$B$2:$B$61,"a",Factory_Components!$D$2:$D$61,F694)&gt;0,1,0)</f>
        <v>1</v>
      </c>
    </row>
    <row r="695" spans="1:7" ht="15" customHeight="1" x14ac:dyDescent="0.25">
      <c r="A695" t="s">
        <v>7</v>
      </c>
      <c r="B695" t="s">
        <v>429</v>
      </c>
      <c r="C695" t="s">
        <v>355</v>
      </c>
      <c r="D695" t="s">
        <v>1228</v>
      </c>
      <c r="E695" t="str">
        <f t="shared" si="20"/>
        <v>RT</v>
      </c>
      <c r="F695" t="str">
        <f t="shared" si="21"/>
        <v>RT</v>
      </c>
      <c r="G695">
        <f>IF(COUNTIFS(Factory_Components!$A$2:$A$61,VLOOKUP(A695,Runs!$A$2:$B$9,2,FALSE()),Factory_Components!$B$2:$B$61,"a",Factory_Components!$D$2:$D$61,F695)&gt;0,1,0)</f>
        <v>1</v>
      </c>
    </row>
    <row r="696" spans="1:7" ht="15" customHeight="1" x14ac:dyDescent="0.25">
      <c r="A696" t="s">
        <v>7</v>
      </c>
      <c r="B696" t="s">
        <v>453</v>
      </c>
      <c r="C696" t="s">
        <v>349</v>
      </c>
      <c r="D696" t="s">
        <v>1229</v>
      </c>
      <c r="E696" t="str">
        <f t="shared" si="20"/>
        <v>SSA</v>
      </c>
      <c r="F696" t="str">
        <f t="shared" si="21"/>
        <v>SSA</v>
      </c>
      <c r="G696">
        <f>IF(COUNTIFS(Factory_Components!$A$2:$A$61,VLOOKUP(A696,Runs!$A$2:$B$9,2,FALSE()),Factory_Components!$B$2:$B$61,"a",Factory_Components!$D$2:$D$61,F696)&gt;0,1,0)</f>
        <v>1</v>
      </c>
    </row>
    <row r="697" spans="1:7" ht="15" customHeight="1" x14ac:dyDescent="0.25">
      <c r="A697" t="s">
        <v>7</v>
      </c>
      <c r="B697" t="s">
        <v>435</v>
      </c>
      <c r="C697" t="s">
        <v>355</v>
      </c>
      <c r="D697" t="s">
        <v>1230</v>
      </c>
      <c r="E697" t="str">
        <f t="shared" si="20"/>
        <v>FT</v>
      </c>
      <c r="F697" t="str">
        <f t="shared" si="21"/>
        <v>FT</v>
      </c>
      <c r="G697">
        <f>IF(COUNTIFS(Factory_Components!$A$2:$A$61,VLOOKUP(A697,Runs!$A$2:$B$9,2,FALSE()),Factory_Components!$B$2:$B$61,"a",Factory_Components!$D$2:$D$61,F697)&gt;0,1,0)</f>
        <v>1</v>
      </c>
    </row>
    <row r="698" spans="1:7" ht="15" customHeight="1" x14ac:dyDescent="0.25">
      <c r="A698" t="s">
        <v>7</v>
      </c>
      <c r="B698" t="s">
        <v>457</v>
      </c>
      <c r="C698" t="s">
        <v>349</v>
      </c>
      <c r="D698" t="s">
        <v>1231</v>
      </c>
      <c r="E698" t="str">
        <f t="shared" si="20"/>
        <v>SSA</v>
      </c>
      <c r="F698" t="str">
        <f t="shared" si="21"/>
        <v>SSA</v>
      </c>
      <c r="G698">
        <f>IF(COUNTIFS(Factory_Components!$A$2:$A$61,VLOOKUP(A698,Runs!$A$2:$B$9,2,FALSE()),Factory_Components!$B$2:$B$61,"a",Factory_Components!$D$2:$D$61,F698)&gt;0,1,0)</f>
        <v>1</v>
      </c>
    </row>
    <row r="699" spans="1:7" ht="15" customHeight="1" x14ac:dyDescent="0.25">
      <c r="A699" t="s">
        <v>7</v>
      </c>
      <c r="B699" t="s">
        <v>437</v>
      </c>
      <c r="C699" t="s">
        <v>355</v>
      </c>
      <c r="D699" t="s">
        <v>1232</v>
      </c>
      <c r="E699" t="str">
        <f t="shared" si="20"/>
        <v>FT</v>
      </c>
      <c r="F699" t="str">
        <f t="shared" si="21"/>
        <v>FT</v>
      </c>
      <c r="G699">
        <f>IF(COUNTIFS(Factory_Components!$A$2:$A$61,VLOOKUP(A699,Runs!$A$2:$B$9,2,FALSE()),Factory_Components!$B$2:$B$61,"a",Factory_Components!$D$2:$D$61,F699)&gt;0,1,0)</f>
        <v>1</v>
      </c>
    </row>
    <row r="700" spans="1:7" ht="15" customHeight="1" x14ac:dyDescent="0.25">
      <c r="A700" t="s">
        <v>7</v>
      </c>
      <c r="B700" t="s">
        <v>439</v>
      </c>
      <c r="C700" t="s">
        <v>355</v>
      </c>
      <c r="D700" t="s">
        <v>1233</v>
      </c>
      <c r="E700" t="str">
        <f t="shared" si="20"/>
        <v>CRE</v>
      </c>
      <c r="F700" t="str">
        <f t="shared" si="21"/>
        <v>CRE</v>
      </c>
      <c r="G700">
        <f>IF(COUNTIFS(Factory_Components!$A$2:$A$61,VLOOKUP(A700,Runs!$A$2:$B$9,2,FALSE()),Factory_Components!$B$2:$B$61,"a",Factory_Components!$D$2:$D$61,F700)&gt;0,1,0)</f>
        <v>0</v>
      </c>
    </row>
    <row r="701" spans="1:7" ht="15" customHeight="1" x14ac:dyDescent="0.25">
      <c r="A701" t="s">
        <v>7</v>
      </c>
      <c r="B701" t="s">
        <v>463</v>
      </c>
      <c r="C701" t="s">
        <v>349</v>
      </c>
      <c r="D701" t="s">
        <v>1234</v>
      </c>
      <c r="E701" t="str">
        <f t="shared" si="20"/>
        <v>BSA</v>
      </c>
      <c r="F701" t="str">
        <f t="shared" si="21"/>
        <v>BSA</v>
      </c>
      <c r="G701">
        <f>IF(COUNTIFS(Factory_Components!$A$2:$A$61,VLOOKUP(A701,Runs!$A$2:$B$9,2,FALSE()),Factory_Components!$B$2:$B$61,"a",Factory_Components!$D$2:$D$61,F701)&gt;0,1,0)</f>
        <v>1</v>
      </c>
    </row>
    <row r="702" spans="1:7" ht="15" customHeight="1" x14ac:dyDescent="0.25">
      <c r="A702" t="s">
        <v>7</v>
      </c>
      <c r="B702" t="s">
        <v>455</v>
      </c>
      <c r="C702" t="s">
        <v>355</v>
      </c>
      <c r="D702" t="s">
        <v>1235</v>
      </c>
      <c r="E702" t="str">
        <f t="shared" si="20"/>
        <v>RT</v>
      </c>
      <c r="F702" t="str">
        <f t="shared" si="21"/>
        <v>RT</v>
      </c>
      <c r="G702">
        <f>IF(COUNTIFS(Factory_Components!$A$2:$A$61,VLOOKUP(A702,Runs!$A$2:$B$9,2,FALSE()),Factory_Components!$B$2:$B$61,"a",Factory_Components!$D$2:$D$61,F702)&gt;0,1,0)</f>
        <v>1</v>
      </c>
    </row>
    <row r="703" spans="1:7" ht="15" customHeight="1" x14ac:dyDescent="0.25">
      <c r="A703" t="s">
        <v>7</v>
      </c>
      <c r="B703" t="s">
        <v>467</v>
      </c>
      <c r="C703" t="s">
        <v>349</v>
      </c>
      <c r="D703" t="s">
        <v>1236</v>
      </c>
      <c r="E703" t="str">
        <f t="shared" si="20"/>
        <v>BSA</v>
      </c>
      <c r="F703" t="str">
        <f t="shared" si="21"/>
        <v>BSA</v>
      </c>
      <c r="G703">
        <f>IF(COUNTIFS(Factory_Components!$A$2:$A$61,VLOOKUP(A703,Runs!$A$2:$B$9,2,FALSE()),Factory_Components!$B$2:$B$61,"a",Factory_Components!$D$2:$D$61,F703)&gt;0,1,0)</f>
        <v>1</v>
      </c>
    </row>
    <row r="704" spans="1:7" ht="15" customHeight="1" x14ac:dyDescent="0.25">
      <c r="A704" t="s">
        <v>7</v>
      </c>
      <c r="B704" t="s">
        <v>469</v>
      </c>
      <c r="C704" t="s">
        <v>349</v>
      </c>
      <c r="D704" t="s">
        <v>1237</v>
      </c>
      <c r="E704" t="str">
        <f t="shared" si="20"/>
        <v>CSEB-NABS</v>
      </c>
      <c r="F704" t="str">
        <f t="shared" si="21"/>
        <v>CSEB-NABS</v>
      </c>
      <c r="G704">
        <f>IF(COUNTIFS(Factory_Components!$A$2:$A$61,VLOOKUP(A704,Runs!$A$2:$B$9,2,FALSE()),Factory_Components!$B$2:$B$61,"a",Factory_Components!$D$2:$D$61,F704)&gt;0,1,0)</f>
        <v>0</v>
      </c>
    </row>
    <row r="705" spans="1:7" ht="15" customHeight="1" x14ac:dyDescent="0.25">
      <c r="A705" t="s">
        <v>7</v>
      </c>
      <c r="B705" t="s">
        <v>425</v>
      </c>
      <c r="C705" t="s">
        <v>349</v>
      </c>
      <c r="D705" t="s">
        <v>1238</v>
      </c>
      <c r="E705" t="str">
        <f t="shared" si="20"/>
        <v>BSA</v>
      </c>
      <c r="F705" t="str">
        <f t="shared" si="21"/>
        <v>BSA</v>
      </c>
      <c r="G705">
        <f>IF(COUNTIFS(Factory_Components!$A$2:$A$61,VLOOKUP(A705,Runs!$A$2:$B$9,2,FALSE()),Factory_Components!$B$2:$B$61,"a",Factory_Components!$D$2:$D$61,F705)&gt;0,1,0)</f>
        <v>1</v>
      </c>
    </row>
    <row r="706" spans="1:7" ht="15" customHeight="1" x14ac:dyDescent="0.25">
      <c r="A706" t="s">
        <v>7</v>
      </c>
      <c r="B706" t="s">
        <v>459</v>
      </c>
      <c r="C706" t="s">
        <v>355</v>
      </c>
      <c r="D706" t="s">
        <v>1239</v>
      </c>
      <c r="E706" t="str">
        <f t="shared" ref="E706:E769" si="22">IF(ISNUMBER(--RIGHT(B706,1)),MID(B706,10,LEN(B706)-11),MID(B706,10,100))</f>
        <v>RT</v>
      </c>
      <c r="F706" t="str">
        <f t="shared" ref="F706:F769" si="23">IF(E706="CORE","CHS",E706)</f>
        <v>RT</v>
      </c>
      <c r="G706">
        <f>IF(COUNTIFS(Factory_Components!$A$2:$A$61,VLOOKUP(A706,Runs!$A$2:$B$9,2,FALSE()),Factory_Components!$B$2:$B$61,"a",Factory_Components!$D$2:$D$61,F706)&gt;0,1,0)</f>
        <v>1</v>
      </c>
    </row>
    <row r="707" spans="1:7" ht="15" customHeight="1" x14ac:dyDescent="0.25">
      <c r="A707" t="s">
        <v>7</v>
      </c>
      <c r="B707" t="s">
        <v>431</v>
      </c>
      <c r="C707" t="s">
        <v>349</v>
      </c>
      <c r="D707" t="s">
        <v>1240</v>
      </c>
      <c r="E707" t="str">
        <f t="shared" si="22"/>
        <v>BSA</v>
      </c>
      <c r="F707" t="str">
        <f t="shared" si="23"/>
        <v>BSA</v>
      </c>
      <c r="G707">
        <f>IF(COUNTIFS(Factory_Components!$A$2:$A$61,VLOOKUP(A707,Runs!$A$2:$B$9,2,FALSE()),Factory_Components!$B$2:$B$61,"a",Factory_Components!$D$2:$D$61,F707)&gt;0,1,0)</f>
        <v>1</v>
      </c>
    </row>
    <row r="708" spans="1:7" ht="15" customHeight="1" x14ac:dyDescent="0.25">
      <c r="A708" t="s">
        <v>7</v>
      </c>
      <c r="B708" t="s">
        <v>619</v>
      </c>
      <c r="C708" t="s">
        <v>349</v>
      </c>
      <c r="D708" t="s">
        <v>1241</v>
      </c>
      <c r="E708" t="str">
        <f t="shared" si="22"/>
        <v>RAX_HD</v>
      </c>
      <c r="F708" t="str">
        <f t="shared" si="23"/>
        <v>RAX_HD</v>
      </c>
      <c r="G708">
        <f>IF(COUNTIFS(Factory_Components!$A$2:$A$61,VLOOKUP(A708,Runs!$A$2:$B$9,2,FALSE()),Factory_Components!$B$2:$B$61,"a",Factory_Components!$D$2:$D$61,F708)&gt;0,1,0)</f>
        <v>0</v>
      </c>
    </row>
    <row r="709" spans="1:7" ht="15" customHeight="1" x14ac:dyDescent="0.25">
      <c r="A709" t="s">
        <v>7</v>
      </c>
      <c r="B709" t="s">
        <v>644</v>
      </c>
      <c r="C709" t="s">
        <v>355</v>
      </c>
      <c r="D709" t="s">
        <v>1242</v>
      </c>
      <c r="E709" t="str">
        <f t="shared" si="22"/>
        <v>FT</v>
      </c>
      <c r="F709" t="str">
        <f t="shared" si="23"/>
        <v>FT</v>
      </c>
      <c r="G709">
        <f>IF(COUNTIFS(Factory_Components!$A$2:$A$61,VLOOKUP(A709,Runs!$A$2:$B$9,2,FALSE()),Factory_Components!$B$2:$B$61,"a",Factory_Components!$D$2:$D$61,F709)&gt;0,1,0)</f>
        <v>1</v>
      </c>
    </row>
    <row r="710" spans="1:7" ht="15" customHeight="1" x14ac:dyDescent="0.25">
      <c r="A710" t="s">
        <v>7</v>
      </c>
      <c r="B710" t="s">
        <v>648</v>
      </c>
      <c r="C710" t="s">
        <v>355</v>
      </c>
      <c r="D710" t="s">
        <v>1243</v>
      </c>
      <c r="E710" t="str">
        <f t="shared" si="22"/>
        <v>FT</v>
      </c>
      <c r="F710" t="str">
        <f t="shared" si="23"/>
        <v>FT</v>
      </c>
      <c r="G710">
        <f>IF(COUNTIFS(Factory_Components!$A$2:$A$61,VLOOKUP(A710,Runs!$A$2:$B$9,2,FALSE()),Factory_Components!$B$2:$B$61,"a",Factory_Components!$D$2:$D$61,F710)&gt;0,1,0)</f>
        <v>1</v>
      </c>
    </row>
    <row r="711" spans="1:7" ht="15" customHeight="1" x14ac:dyDescent="0.25">
      <c r="A711" t="s">
        <v>7</v>
      </c>
      <c r="B711" t="s">
        <v>471</v>
      </c>
      <c r="C711" t="s">
        <v>355</v>
      </c>
      <c r="D711" t="s">
        <v>1244</v>
      </c>
      <c r="E711" t="str">
        <f t="shared" si="22"/>
        <v>RT</v>
      </c>
      <c r="F711" t="str">
        <f t="shared" si="23"/>
        <v>RT</v>
      </c>
      <c r="G711">
        <f>IF(COUNTIFS(Factory_Components!$A$2:$A$61,VLOOKUP(A711,Runs!$A$2:$B$9,2,FALSE()),Factory_Components!$B$2:$B$61,"a",Factory_Components!$D$2:$D$61,F711)&gt;0,1,0)</f>
        <v>1</v>
      </c>
    </row>
    <row r="712" spans="1:7" ht="15" customHeight="1" x14ac:dyDescent="0.25">
      <c r="A712" t="s">
        <v>7</v>
      </c>
      <c r="B712" t="s">
        <v>475</v>
      </c>
      <c r="C712" t="s">
        <v>355</v>
      </c>
      <c r="D712" t="s">
        <v>1245</v>
      </c>
      <c r="E712" t="str">
        <f t="shared" si="22"/>
        <v>RT</v>
      </c>
      <c r="F712" t="str">
        <f t="shared" si="23"/>
        <v>RT</v>
      </c>
      <c r="G712">
        <f>IF(COUNTIFS(Factory_Components!$A$2:$A$61,VLOOKUP(A712,Runs!$A$2:$B$9,2,FALSE()),Factory_Components!$B$2:$B$61,"a",Factory_Components!$D$2:$D$61,F712)&gt;0,1,0)</f>
        <v>1</v>
      </c>
    </row>
    <row r="713" spans="1:7" ht="15" customHeight="1" x14ac:dyDescent="0.25">
      <c r="A713" t="s">
        <v>7</v>
      </c>
      <c r="B713" t="s">
        <v>515</v>
      </c>
      <c r="C713" t="s">
        <v>355</v>
      </c>
      <c r="D713" t="s">
        <v>1246</v>
      </c>
      <c r="E713" t="str">
        <f t="shared" si="22"/>
        <v>RT</v>
      </c>
      <c r="F713" t="str">
        <f t="shared" si="23"/>
        <v>RT</v>
      </c>
      <c r="G713">
        <f>IF(COUNTIFS(Factory_Components!$A$2:$A$61,VLOOKUP(A713,Runs!$A$2:$B$9,2,FALSE()),Factory_Components!$B$2:$B$61,"a",Factory_Components!$D$2:$D$61,F713)&gt;0,1,0)</f>
        <v>1</v>
      </c>
    </row>
    <row r="714" spans="1:7" ht="15" customHeight="1" x14ac:dyDescent="0.25">
      <c r="A714" t="s">
        <v>7</v>
      </c>
      <c r="B714" t="s">
        <v>658</v>
      </c>
      <c r="C714" t="s">
        <v>349</v>
      </c>
      <c r="D714" t="s">
        <v>1247</v>
      </c>
      <c r="E714" t="str">
        <f t="shared" si="22"/>
        <v>SSA</v>
      </c>
      <c r="F714" t="str">
        <f t="shared" si="23"/>
        <v>SSA</v>
      </c>
      <c r="G714">
        <f>IF(COUNTIFS(Factory_Components!$A$2:$A$61,VLOOKUP(A714,Runs!$A$2:$B$9,2,FALSE()),Factory_Components!$B$2:$B$61,"a",Factory_Components!$D$2:$D$61,F714)&gt;0,1,0)</f>
        <v>1</v>
      </c>
    </row>
    <row r="715" spans="1:7" ht="15" customHeight="1" x14ac:dyDescent="0.25">
      <c r="A715" t="s">
        <v>7</v>
      </c>
      <c r="B715" t="s">
        <v>487</v>
      </c>
      <c r="C715" t="s">
        <v>357</v>
      </c>
      <c r="D715" t="s">
        <v>1248</v>
      </c>
      <c r="E715" t="str">
        <f t="shared" si="22"/>
        <v>CORE</v>
      </c>
      <c r="F715" t="str">
        <f t="shared" si="23"/>
        <v>CHS</v>
      </c>
      <c r="G715">
        <f>IF(COUNTIFS(Factory_Components!$A$2:$A$61,VLOOKUP(A715,Runs!$A$2:$B$9,2,FALSE()),Factory_Components!$B$2:$B$61,"a",Factory_Components!$D$2:$D$61,F715)&gt;0,1,0)</f>
        <v>1</v>
      </c>
    </row>
    <row r="716" spans="1:7" ht="15" customHeight="1" x14ac:dyDescent="0.25">
      <c r="A716" t="s">
        <v>7</v>
      </c>
      <c r="B716" t="s">
        <v>517</v>
      </c>
      <c r="C716" t="s">
        <v>355</v>
      </c>
      <c r="D716" t="s">
        <v>1249</v>
      </c>
      <c r="E716" t="str">
        <f t="shared" si="22"/>
        <v>RT</v>
      </c>
      <c r="F716" t="str">
        <f t="shared" si="23"/>
        <v>RT</v>
      </c>
      <c r="G716">
        <f>IF(COUNTIFS(Factory_Components!$A$2:$A$61,VLOOKUP(A716,Runs!$A$2:$B$9,2,FALSE()),Factory_Components!$B$2:$B$61,"a",Factory_Components!$D$2:$D$61,F716)&gt;0,1,0)</f>
        <v>1</v>
      </c>
    </row>
    <row r="717" spans="1:7" ht="15" customHeight="1" x14ac:dyDescent="0.25">
      <c r="A717" t="s">
        <v>7</v>
      </c>
      <c r="B717" t="s">
        <v>665</v>
      </c>
      <c r="C717" t="s">
        <v>349</v>
      </c>
      <c r="D717" t="s">
        <v>1250</v>
      </c>
      <c r="E717" t="str">
        <f t="shared" si="22"/>
        <v>SSA</v>
      </c>
      <c r="F717" t="str">
        <f t="shared" si="23"/>
        <v>SSA</v>
      </c>
      <c r="G717">
        <f>IF(COUNTIFS(Factory_Components!$A$2:$A$61,VLOOKUP(A717,Runs!$A$2:$B$9,2,FALSE()),Factory_Components!$B$2:$B$61,"a",Factory_Components!$D$2:$D$61,F717)&gt;0,1,0)</f>
        <v>1</v>
      </c>
    </row>
    <row r="718" spans="1:7" ht="15" customHeight="1" x14ac:dyDescent="0.25">
      <c r="A718" t="s">
        <v>7</v>
      </c>
      <c r="B718" t="s">
        <v>667</v>
      </c>
      <c r="C718" t="s">
        <v>349</v>
      </c>
      <c r="D718" t="s">
        <v>1251</v>
      </c>
      <c r="E718" t="str">
        <f t="shared" si="22"/>
        <v>FAX</v>
      </c>
      <c r="F718" t="str">
        <f t="shared" si="23"/>
        <v>FAX</v>
      </c>
      <c r="G718">
        <f>IF(COUNTIFS(Factory_Components!$A$2:$A$61,VLOOKUP(A718,Runs!$A$2:$B$9,2,FALSE()),Factory_Components!$B$2:$B$61,"a",Factory_Components!$D$2:$D$61,F718)&gt;0,1,0)</f>
        <v>1</v>
      </c>
    </row>
    <row r="719" spans="1:7" ht="15" customHeight="1" x14ac:dyDescent="0.25">
      <c r="A719" t="s">
        <v>7</v>
      </c>
      <c r="B719" t="s">
        <v>519</v>
      </c>
      <c r="C719" t="s">
        <v>355</v>
      </c>
      <c r="D719" t="s">
        <v>1252</v>
      </c>
      <c r="E719" t="str">
        <f t="shared" si="22"/>
        <v>FT</v>
      </c>
      <c r="F719" t="str">
        <f t="shared" si="23"/>
        <v>FT</v>
      </c>
      <c r="G719">
        <f>IF(COUNTIFS(Factory_Components!$A$2:$A$61,VLOOKUP(A719,Runs!$A$2:$B$9,2,FALSE()),Factory_Components!$B$2:$B$61,"a",Factory_Components!$D$2:$D$61,F719)&gt;0,1,0)</f>
        <v>1</v>
      </c>
    </row>
    <row r="720" spans="1:7" ht="15" customHeight="1" x14ac:dyDescent="0.25">
      <c r="A720" t="s">
        <v>7</v>
      </c>
      <c r="B720" t="s">
        <v>491</v>
      </c>
      <c r="C720" t="s">
        <v>349</v>
      </c>
      <c r="D720" t="s">
        <v>1253</v>
      </c>
      <c r="E720" t="str">
        <f t="shared" si="22"/>
        <v>BSA</v>
      </c>
      <c r="F720" t="str">
        <f t="shared" si="23"/>
        <v>BSA</v>
      </c>
      <c r="G720">
        <f>IF(COUNTIFS(Factory_Components!$A$2:$A$61,VLOOKUP(A720,Runs!$A$2:$B$9,2,FALSE()),Factory_Components!$B$2:$B$61,"a",Factory_Components!$D$2:$D$61,F720)&gt;0,1,0)</f>
        <v>1</v>
      </c>
    </row>
    <row r="721" spans="1:7" ht="15" customHeight="1" x14ac:dyDescent="0.25">
      <c r="A721" t="s">
        <v>7</v>
      </c>
      <c r="B721" t="s">
        <v>523</v>
      </c>
      <c r="C721" t="s">
        <v>355</v>
      </c>
      <c r="D721" t="s">
        <v>1254</v>
      </c>
      <c r="E721" t="str">
        <f t="shared" si="22"/>
        <v>FT</v>
      </c>
      <c r="F721" t="str">
        <f t="shared" si="23"/>
        <v>FT</v>
      </c>
      <c r="G721">
        <f>IF(COUNTIFS(Factory_Components!$A$2:$A$61,VLOOKUP(A721,Runs!$A$2:$B$9,2,FALSE()),Factory_Components!$B$2:$B$61,"a",Factory_Components!$D$2:$D$61,F721)&gt;0,1,0)</f>
        <v>1</v>
      </c>
    </row>
    <row r="722" spans="1:7" ht="15" customHeight="1" x14ac:dyDescent="0.25">
      <c r="A722" t="s">
        <v>7</v>
      </c>
      <c r="B722" t="s">
        <v>681</v>
      </c>
      <c r="C722" t="s">
        <v>357</v>
      </c>
      <c r="D722" t="s">
        <v>1255</v>
      </c>
      <c r="E722" t="str">
        <f t="shared" si="22"/>
        <v>CHS</v>
      </c>
      <c r="F722" t="str">
        <f t="shared" si="23"/>
        <v>CHS</v>
      </c>
      <c r="G722">
        <f>IF(COUNTIFS(Factory_Components!$A$2:$A$61,VLOOKUP(A722,Runs!$A$2:$B$9,2,FALSE()),Factory_Components!$B$2:$B$61,"a",Factory_Components!$D$2:$D$61,F722)&gt;0,1,0)</f>
        <v>1</v>
      </c>
    </row>
    <row r="723" spans="1:7" ht="15" customHeight="1" x14ac:dyDescent="0.25">
      <c r="A723" t="s">
        <v>7</v>
      </c>
      <c r="B723" t="s">
        <v>497</v>
      </c>
      <c r="C723" t="s">
        <v>349</v>
      </c>
      <c r="D723" t="s">
        <v>1256</v>
      </c>
      <c r="E723" t="str">
        <f t="shared" si="22"/>
        <v>BSA</v>
      </c>
      <c r="F723" t="str">
        <f t="shared" si="23"/>
        <v>BSA</v>
      </c>
      <c r="G723">
        <f>IF(COUNTIFS(Factory_Components!$A$2:$A$61,VLOOKUP(A723,Runs!$A$2:$B$9,2,FALSE()),Factory_Components!$B$2:$B$61,"a",Factory_Components!$D$2:$D$61,F723)&gt;0,1,0)</f>
        <v>1</v>
      </c>
    </row>
    <row r="724" spans="1:7" ht="15" customHeight="1" x14ac:dyDescent="0.25">
      <c r="A724" t="s">
        <v>7</v>
      </c>
      <c r="B724" t="s">
        <v>499</v>
      </c>
      <c r="C724" t="s">
        <v>349</v>
      </c>
      <c r="D724" t="s">
        <v>1257</v>
      </c>
      <c r="E724" t="str">
        <f t="shared" si="22"/>
        <v>RAX_RD</v>
      </c>
      <c r="F724" t="str">
        <f t="shared" si="23"/>
        <v>RAX_RD</v>
      </c>
      <c r="G724">
        <f>IF(COUNTIFS(Factory_Components!$A$2:$A$61,VLOOKUP(A724,Runs!$A$2:$B$9,2,FALSE()),Factory_Components!$B$2:$B$61,"a",Factory_Components!$D$2:$D$61,F724)&gt;0,1,0)</f>
        <v>0</v>
      </c>
    </row>
    <row r="725" spans="1:7" ht="15" customHeight="1" x14ac:dyDescent="0.25">
      <c r="A725" t="s">
        <v>7</v>
      </c>
      <c r="B725" t="s">
        <v>493</v>
      </c>
      <c r="C725" t="s">
        <v>355</v>
      </c>
      <c r="D725" t="s">
        <v>1258</v>
      </c>
      <c r="E725" t="str">
        <f t="shared" si="22"/>
        <v>RT</v>
      </c>
      <c r="F725" t="str">
        <f t="shared" si="23"/>
        <v>RT</v>
      </c>
      <c r="G725">
        <f>IF(COUNTIFS(Factory_Components!$A$2:$A$61,VLOOKUP(A725,Runs!$A$2:$B$9,2,FALSE()),Factory_Components!$B$2:$B$61,"a",Factory_Components!$D$2:$D$61,F725)&gt;0,1,0)</f>
        <v>1</v>
      </c>
    </row>
    <row r="726" spans="1:7" ht="15" customHeight="1" x14ac:dyDescent="0.25">
      <c r="A726" t="s">
        <v>7</v>
      </c>
      <c r="B726" t="s">
        <v>531</v>
      </c>
      <c r="C726" t="s">
        <v>349</v>
      </c>
      <c r="D726" t="s">
        <v>1259</v>
      </c>
      <c r="E726" t="str">
        <f t="shared" si="22"/>
        <v>SSA</v>
      </c>
      <c r="F726" t="str">
        <f t="shared" si="23"/>
        <v>SSA</v>
      </c>
      <c r="G726">
        <f>IF(COUNTIFS(Factory_Components!$A$2:$A$61,VLOOKUP(A726,Runs!$A$2:$B$9,2,FALSE()),Factory_Components!$B$2:$B$61,"a",Factory_Components!$D$2:$D$61,F726)&gt;0,1,0)</f>
        <v>1</v>
      </c>
    </row>
    <row r="727" spans="1:7" ht="15" customHeight="1" x14ac:dyDescent="0.25">
      <c r="A727" t="s">
        <v>7</v>
      </c>
      <c r="B727" t="s">
        <v>495</v>
      </c>
      <c r="C727" t="s">
        <v>355</v>
      </c>
      <c r="D727" t="s">
        <v>1260</v>
      </c>
      <c r="E727" t="str">
        <f t="shared" si="22"/>
        <v>RT</v>
      </c>
      <c r="F727" t="str">
        <f t="shared" si="23"/>
        <v>RT</v>
      </c>
      <c r="G727">
        <f>IF(COUNTIFS(Factory_Components!$A$2:$A$61,VLOOKUP(A727,Runs!$A$2:$B$9,2,FALSE()),Factory_Components!$B$2:$B$61,"a",Factory_Components!$D$2:$D$61,F727)&gt;0,1,0)</f>
        <v>1</v>
      </c>
    </row>
    <row r="728" spans="1:7" ht="15" customHeight="1" x14ac:dyDescent="0.25">
      <c r="A728" t="s">
        <v>7</v>
      </c>
      <c r="B728" t="s">
        <v>1141</v>
      </c>
      <c r="C728" t="s">
        <v>349</v>
      </c>
      <c r="D728" t="s">
        <v>1261</v>
      </c>
      <c r="E728" t="str">
        <f t="shared" si="22"/>
        <v>SSA</v>
      </c>
      <c r="F728" t="str">
        <f t="shared" si="23"/>
        <v>SSA</v>
      </c>
      <c r="G728">
        <f>IF(COUNTIFS(Factory_Components!$A$2:$A$61,VLOOKUP(A728,Runs!$A$2:$B$9,2,FALSE()),Factory_Components!$B$2:$B$61,"a",Factory_Components!$D$2:$D$61,F728)&gt;0,1,0)</f>
        <v>1</v>
      </c>
    </row>
    <row r="729" spans="1:7" ht="15" customHeight="1" x14ac:dyDescent="0.25">
      <c r="A729" t="s">
        <v>7</v>
      </c>
      <c r="B729" t="s">
        <v>501</v>
      </c>
      <c r="C729" t="s">
        <v>355</v>
      </c>
      <c r="D729" t="s">
        <v>1262</v>
      </c>
      <c r="E729" t="str">
        <f t="shared" si="22"/>
        <v>FT</v>
      </c>
      <c r="F729" t="str">
        <f t="shared" si="23"/>
        <v>FT</v>
      </c>
      <c r="G729">
        <f>IF(COUNTIFS(Factory_Components!$A$2:$A$61,VLOOKUP(A729,Runs!$A$2:$B$9,2,FALSE()),Factory_Components!$B$2:$B$61,"a",Factory_Components!$D$2:$D$61,F729)&gt;0,1,0)</f>
        <v>1</v>
      </c>
    </row>
    <row r="730" spans="1:7" ht="15" customHeight="1" x14ac:dyDescent="0.25">
      <c r="A730" t="s">
        <v>7</v>
      </c>
      <c r="B730" t="s">
        <v>1160</v>
      </c>
      <c r="C730" t="s">
        <v>349</v>
      </c>
      <c r="D730" t="s">
        <v>1263</v>
      </c>
      <c r="E730" t="str">
        <f t="shared" si="22"/>
        <v>BSA</v>
      </c>
      <c r="F730" t="str">
        <f t="shared" si="23"/>
        <v>BSA</v>
      </c>
      <c r="G730">
        <f>IF(COUNTIFS(Factory_Components!$A$2:$A$61,VLOOKUP(A730,Runs!$A$2:$B$9,2,FALSE()),Factory_Components!$B$2:$B$61,"a",Factory_Components!$D$2:$D$61,F730)&gt;0,1,0)</f>
        <v>1</v>
      </c>
    </row>
    <row r="731" spans="1:7" ht="15" customHeight="1" x14ac:dyDescent="0.25">
      <c r="A731" t="s">
        <v>7</v>
      </c>
      <c r="B731" t="s">
        <v>503</v>
      </c>
      <c r="C731" t="s">
        <v>355</v>
      </c>
      <c r="D731" t="s">
        <v>1264</v>
      </c>
      <c r="E731" t="str">
        <f t="shared" si="22"/>
        <v>FT</v>
      </c>
      <c r="F731" t="str">
        <f t="shared" si="23"/>
        <v>FT</v>
      </c>
      <c r="G731">
        <f>IF(COUNTIFS(Factory_Components!$A$2:$A$61,VLOOKUP(A731,Runs!$A$2:$B$9,2,FALSE()),Factory_Components!$B$2:$B$61,"a",Factory_Components!$D$2:$D$61,F731)&gt;0,1,0)</f>
        <v>1</v>
      </c>
    </row>
    <row r="732" spans="1:7" ht="15" customHeight="1" x14ac:dyDescent="0.25">
      <c r="A732" t="s">
        <v>8</v>
      </c>
      <c r="B732" t="s">
        <v>381</v>
      </c>
      <c r="C732" t="s">
        <v>355</v>
      </c>
      <c r="D732" t="s">
        <v>1265</v>
      </c>
      <c r="E732" t="str">
        <f t="shared" si="22"/>
        <v>RT</v>
      </c>
      <c r="F732" t="str">
        <f t="shared" si="23"/>
        <v>RT</v>
      </c>
      <c r="G732">
        <f>IF(COUNTIFS(Factory_Components!$A$2:$A$61,VLOOKUP(A732,Runs!$A$2:$B$9,2,FALSE()),Factory_Components!$B$2:$B$61,"a",Factory_Components!$D$2:$D$61,F732)&gt;0,1,0)</f>
        <v>1</v>
      </c>
    </row>
    <row r="733" spans="1:7" ht="15" customHeight="1" x14ac:dyDescent="0.25">
      <c r="A733" t="s">
        <v>8</v>
      </c>
      <c r="B733" t="s">
        <v>383</v>
      </c>
      <c r="C733" t="s">
        <v>355</v>
      </c>
      <c r="D733" t="s">
        <v>1266</v>
      </c>
      <c r="E733" t="str">
        <f t="shared" si="22"/>
        <v>RT</v>
      </c>
      <c r="F733" t="str">
        <f t="shared" si="23"/>
        <v>RT</v>
      </c>
      <c r="G733">
        <f>IF(COUNTIFS(Factory_Components!$A$2:$A$61,VLOOKUP(A733,Runs!$A$2:$B$9,2,FALSE()),Factory_Components!$B$2:$B$61,"a",Factory_Components!$D$2:$D$61,F733)&gt;0,1,0)</f>
        <v>1</v>
      </c>
    </row>
    <row r="734" spans="1:7" ht="15" customHeight="1" x14ac:dyDescent="0.25">
      <c r="A734" t="s">
        <v>8</v>
      </c>
      <c r="B734" t="s">
        <v>385</v>
      </c>
      <c r="C734" t="s">
        <v>354</v>
      </c>
      <c r="D734" t="s">
        <v>1182</v>
      </c>
      <c r="E734" t="str">
        <f t="shared" si="22"/>
        <v>BOSP</v>
      </c>
      <c r="F734" t="str">
        <f t="shared" si="23"/>
        <v>BOSP</v>
      </c>
      <c r="G734">
        <f>IF(COUNTIFS(Factory_Components!$A$2:$A$61,VLOOKUP(A734,Runs!$A$2:$B$9,2,FALSE()),Factory_Components!$B$2:$B$61,"a",Factory_Components!$D$2:$D$61,F734)&gt;0,1,0)</f>
        <v>1</v>
      </c>
    </row>
    <row r="735" spans="1:7" ht="15" customHeight="1" x14ac:dyDescent="0.25">
      <c r="A735" t="s">
        <v>8</v>
      </c>
      <c r="B735" t="s">
        <v>387</v>
      </c>
      <c r="C735" t="s">
        <v>354</v>
      </c>
      <c r="D735" t="s">
        <v>1184</v>
      </c>
      <c r="E735" t="str">
        <f t="shared" si="22"/>
        <v>BOSP</v>
      </c>
      <c r="F735" t="str">
        <f t="shared" si="23"/>
        <v>BOSP</v>
      </c>
      <c r="G735">
        <f>IF(COUNTIFS(Factory_Components!$A$2:$A$61,VLOOKUP(A735,Runs!$A$2:$B$9,2,FALSE()),Factory_Components!$B$2:$B$61,"a",Factory_Components!$D$2:$D$61,F735)&gt;0,1,0)</f>
        <v>1</v>
      </c>
    </row>
    <row r="736" spans="1:7" ht="15" customHeight="1" x14ac:dyDescent="0.25">
      <c r="A736" t="s">
        <v>8</v>
      </c>
      <c r="B736" t="s">
        <v>550</v>
      </c>
      <c r="C736" t="s">
        <v>355</v>
      </c>
      <c r="D736" t="s">
        <v>1267</v>
      </c>
      <c r="E736" t="str">
        <f t="shared" si="22"/>
        <v>FT</v>
      </c>
      <c r="F736" t="str">
        <f t="shared" si="23"/>
        <v>FT</v>
      </c>
      <c r="G736">
        <f>IF(COUNTIFS(Factory_Components!$A$2:$A$61,VLOOKUP(A736,Runs!$A$2:$B$9,2,FALSE()),Factory_Components!$B$2:$B$61,"a",Factory_Components!$D$2:$D$61,F736)&gt;0,1,0)</f>
        <v>1</v>
      </c>
    </row>
    <row r="737" spans="1:7" ht="15" customHeight="1" x14ac:dyDescent="0.25">
      <c r="A737" t="s">
        <v>8</v>
      </c>
      <c r="B737" t="s">
        <v>395</v>
      </c>
      <c r="C737" t="s">
        <v>354</v>
      </c>
      <c r="D737" t="s">
        <v>1268</v>
      </c>
      <c r="E737" t="str">
        <f t="shared" si="22"/>
        <v>BOSP</v>
      </c>
      <c r="F737" t="str">
        <f t="shared" si="23"/>
        <v>BOSP</v>
      </c>
      <c r="G737">
        <f>IF(COUNTIFS(Factory_Components!$A$2:$A$61,VLOOKUP(A737,Runs!$A$2:$B$9,2,FALSE()),Factory_Components!$B$2:$B$61,"a",Factory_Components!$D$2:$D$61,F737)&gt;0,1,0)</f>
        <v>1</v>
      </c>
    </row>
    <row r="738" spans="1:7" ht="15" customHeight="1" x14ac:dyDescent="0.25">
      <c r="A738" t="s">
        <v>8</v>
      </c>
      <c r="B738" t="s">
        <v>555</v>
      </c>
      <c r="C738" t="s">
        <v>355</v>
      </c>
      <c r="D738" t="s">
        <v>1269</v>
      </c>
      <c r="E738" t="str">
        <f t="shared" si="22"/>
        <v>FT</v>
      </c>
      <c r="F738" t="str">
        <f t="shared" si="23"/>
        <v>FT</v>
      </c>
      <c r="G738">
        <f>IF(COUNTIFS(Factory_Components!$A$2:$A$61,VLOOKUP(A738,Runs!$A$2:$B$9,2,FALSE()),Factory_Components!$B$2:$B$61,"a",Factory_Components!$D$2:$D$61,F738)&gt;0,1,0)</f>
        <v>1</v>
      </c>
    </row>
    <row r="739" spans="1:7" ht="15" customHeight="1" x14ac:dyDescent="0.25">
      <c r="A739" t="s">
        <v>8</v>
      </c>
      <c r="B739" t="s">
        <v>399</v>
      </c>
      <c r="C739" t="s">
        <v>354</v>
      </c>
      <c r="D739" t="s">
        <v>1270</v>
      </c>
      <c r="E739" t="str">
        <f t="shared" si="22"/>
        <v>BOSP</v>
      </c>
      <c r="F739" t="str">
        <f t="shared" si="23"/>
        <v>BOSP</v>
      </c>
      <c r="G739">
        <f>IF(COUNTIFS(Factory_Components!$A$2:$A$61,VLOOKUP(A739,Runs!$A$2:$B$9,2,FALSE()),Factory_Components!$B$2:$B$61,"a",Factory_Components!$D$2:$D$61,F739)&gt;0,1,0)</f>
        <v>1</v>
      </c>
    </row>
    <row r="740" spans="1:7" ht="15" customHeight="1" x14ac:dyDescent="0.25">
      <c r="A740" t="s">
        <v>8</v>
      </c>
      <c r="B740" t="s">
        <v>389</v>
      </c>
      <c r="C740" t="s">
        <v>355</v>
      </c>
      <c r="D740" t="s">
        <v>1271</v>
      </c>
      <c r="E740" t="str">
        <f t="shared" si="22"/>
        <v>RT</v>
      </c>
      <c r="F740" t="str">
        <f t="shared" si="23"/>
        <v>RT</v>
      </c>
      <c r="G740">
        <f>IF(COUNTIFS(Factory_Components!$A$2:$A$61,VLOOKUP(A740,Runs!$A$2:$B$9,2,FALSE()),Factory_Components!$B$2:$B$61,"a",Factory_Components!$D$2:$D$61,F740)&gt;0,1,0)</f>
        <v>1</v>
      </c>
    </row>
    <row r="741" spans="1:7" ht="15" customHeight="1" x14ac:dyDescent="0.25">
      <c r="A741" t="s">
        <v>8</v>
      </c>
      <c r="B741" t="s">
        <v>570</v>
      </c>
      <c r="C741" t="s">
        <v>349</v>
      </c>
      <c r="D741" t="s">
        <v>1272</v>
      </c>
      <c r="E741" t="str">
        <f t="shared" si="22"/>
        <v>SSA</v>
      </c>
      <c r="F741" t="str">
        <f t="shared" si="23"/>
        <v>SSA</v>
      </c>
      <c r="G741">
        <f>IF(COUNTIFS(Factory_Components!$A$2:$A$61,VLOOKUP(A741,Runs!$A$2:$B$9,2,FALSE()),Factory_Components!$B$2:$B$61,"a",Factory_Components!$D$2:$D$61,F741)&gt;0,1,0)</f>
        <v>1</v>
      </c>
    </row>
    <row r="742" spans="1:7" ht="15" customHeight="1" x14ac:dyDescent="0.25">
      <c r="A742" t="s">
        <v>8</v>
      </c>
      <c r="B742" t="s">
        <v>548</v>
      </c>
      <c r="C742" t="s">
        <v>354</v>
      </c>
      <c r="D742" t="s">
        <v>1273</v>
      </c>
      <c r="E742" t="str">
        <f t="shared" si="22"/>
        <v>BAT</v>
      </c>
      <c r="F742" t="str">
        <f t="shared" si="23"/>
        <v>BAT</v>
      </c>
      <c r="G742">
        <f>IF(COUNTIFS(Factory_Components!$A$2:$A$61,VLOOKUP(A742,Runs!$A$2:$B$9,2,FALSE()),Factory_Components!$B$2:$B$61,"a",Factory_Components!$D$2:$D$61,F742)&gt;0,1,0)</f>
        <v>1</v>
      </c>
    </row>
    <row r="743" spans="1:7" ht="15" customHeight="1" x14ac:dyDescent="0.25">
      <c r="A743" t="s">
        <v>8</v>
      </c>
      <c r="B743" t="s">
        <v>393</v>
      </c>
      <c r="C743" t="s">
        <v>355</v>
      </c>
      <c r="D743" t="s">
        <v>1274</v>
      </c>
      <c r="E743" t="str">
        <f t="shared" si="22"/>
        <v>RT</v>
      </c>
      <c r="F743" t="str">
        <f t="shared" si="23"/>
        <v>RT</v>
      </c>
      <c r="G743">
        <f>IF(COUNTIFS(Factory_Components!$A$2:$A$61,VLOOKUP(A743,Runs!$A$2:$B$9,2,FALSE()),Factory_Components!$B$2:$B$61,"a",Factory_Components!$D$2:$D$61,F743)&gt;0,1,0)</f>
        <v>1</v>
      </c>
    </row>
    <row r="744" spans="1:7" ht="15" customHeight="1" x14ac:dyDescent="0.25">
      <c r="A744" t="s">
        <v>8</v>
      </c>
      <c r="B744" t="s">
        <v>411</v>
      </c>
      <c r="C744" t="s">
        <v>354</v>
      </c>
      <c r="D744" t="s">
        <v>1275</v>
      </c>
      <c r="E744" t="str">
        <f t="shared" si="22"/>
        <v>BOSP</v>
      </c>
      <c r="F744" t="str">
        <f t="shared" si="23"/>
        <v>BOSP</v>
      </c>
      <c r="G744">
        <f>IF(COUNTIFS(Factory_Components!$A$2:$A$61,VLOOKUP(A744,Runs!$A$2:$B$9,2,FALSE()),Factory_Components!$B$2:$B$61,"a",Factory_Components!$D$2:$D$61,F744)&gt;0,1,0)</f>
        <v>1</v>
      </c>
    </row>
    <row r="745" spans="1:7" ht="15" customHeight="1" x14ac:dyDescent="0.25">
      <c r="A745" t="s">
        <v>8</v>
      </c>
      <c r="B745" t="s">
        <v>413</v>
      </c>
      <c r="C745" t="s">
        <v>354</v>
      </c>
      <c r="D745" t="s">
        <v>1276</v>
      </c>
      <c r="E745" t="str">
        <f t="shared" si="22"/>
        <v>BOSP</v>
      </c>
      <c r="F745" t="str">
        <f t="shared" si="23"/>
        <v>BOSP</v>
      </c>
      <c r="G745">
        <f>IF(COUNTIFS(Factory_Components!$A$2:$A$61,VLOOKUP(A745,Runs!$A$2:$B$9,2,FALSE()),Factory_Components!$B$2:$B$61,"a",Factory_Components!$D$2:$D$61,F745)&gt;0,1,0)</f>
        <v>1</v>
      </c>
    </row>
    <row r="746" spans="1:7" ht="15" customHeight="1" x14ac:dyDescent="0.25">
      <c r="A746" t="s">
        <v>8</v>
      </c>
      <c r="B746" t="s">
        <v>574</v>
      </c>
      <c r="C746" t="s">
        <v>349</v>
      </c>
      <c r="D746" t="s">
        <v>1277</v>
      </c>
      <c r="E746" t="str">
        <f t="shared" si="22"/>
        <v>SSA</v>
      </c>
      <c r="F746" t="str">
        <f t="shared" si="23"/>
        <v>SSA</v>
      </c>
      <c r="G746">
        <f>IF(COUNTIFS(Factory_Components!$A$2:$A$61,VLOOKUP(A746,Runs!$A$2:$B$9,2,FALSE()),Factory_Components!$B$2:$B$61,"a",Factory_Components!$D$2:$D$61,F746)&gt;0,1,0)</f>
        <v>1</v>
      </c>
    </row>
    <row r="747" spans="1:7" ht="15" customHeight="1" x14ac:dyDescent="0.25">
      <c r="A747" t="s">
        <v>8</v>
      </c>
      <c r="B747" t="s">
        <v>401</v>
      </c>
      <c r="C747" t="s">
        <v>355</v>
      </c>
      <c r="D747" t="s">
        <v>1278</v>
      </c>
      <c r="E747" t="str">
        <f t="shared" si="22"/>
        <v>RT</v>
      </c>
      <c r="F747" t="str">
        <f t="shared" si="23"/>
        <v>RT</v>
      </c>
      <c r="G747">
        <f>IF(COUNTIFS(Factory_Components!$A$2:$A$61,VLOOKUP(A747,Runs!$A$2:$B$9,2,FALSE()),Factory_Components!$B$2:$B$61,"a",Factory_Components!$D$2:$D$61,F747)&gt;0,1,0)</f>
        <v>1</v>
      </c>
    </row>
    <row r="748" spans="1:7" ht="15" customHeight="1" x14ac:dyDescent="0.25">
      <c r="A748" t="s">
        <v>8</v>
      </c>
      <c r="B748" t="s">
        <v>397</v>
      </c>
      <c r="C748" t="s">
        <v>349</v>
      </c>
      <c r="D748" t="s">
        <v>1279</v>
      </c>
      <c r="E748" t="str">
        <f t="shared" si="22"/>
        <v>BSA</v>
      </c>
      <c r="F748" t="str">
        <f t="shared" si="23"/>
        <v>BSA</v>
      </c>
      <c r="G748">
        <f>IF(COUNTIFS(Factory_Components!$A$2:$A$61,VLOOKUP(A748,Runs!$A$2:$B$9,2,FALSE()),Factory_Components!$B$2:$B$61,"a",Factory_Components!$D$2:$D$61,F748)&gt;0,1,0)</f>
        <v>1</v>
      </c>
    </row>
    <row r="749" spans="1:7" ht="15" customHeight="1" x14ac:dyDescent="0.25">
      <c r="A749" t="s">
        <v>8</v>
      </c>
      <c r="B749" t="s">
        <v>423</v>
      </c>
      <c r="C749" t="s">
        <v>354</v>
      </c>
      <c r="D749" t="s">
        <v>1280</v>
      </c>
      <c r="E749" t="str">
        <f t="shared" si="22"/>
        <v>BAT</v>
      </c>
      <c r="F749" t="str">
        <f t="shared" si="23"/>
        <v>BAT</v>
      </c>
      <c r="G749">
        <f>IF(COUNTIFS(Factory_Components!$A$2:$A$61,VLOOKUP(A749,Runs!$A$2:$B$9,2,FALSE()),Factory_Components!$B$2:$B$61,"a",Factory_Components!$D$2:$D$61,F749)&gt;0,1,0)</f>
        <v>1</v>
      </c>
    </row>
    <row r="750" spans="1:7" ht="15" customHeight="1" x14ac:dyDescent="0.25">
      <c r="A750" t="s">
        <v>8</v>
      </c>
      <c r="B750" t="s">
        <v>409</v>
      </c>
      <c r="C750" t="s">
        <v>355</v>
      </c>
      <c r="D750" t="s">
        <v>1281</v>
      </c>
      <c r="E750" t="str">
        <f t="shared" si="22"/>
        <v>RT</v>
      </c>
      <c r="F750" t="str">
        <f t="shared" si="23"/>
        <v>RT</v>
      </c>
      <c r="G750">
        <f>IF(COUNTIFS(Factory_Components!$A$2:$A$61,VLOOKUP(A750,Runs!$A$2:$B$9,2,FALSE()),Factory_Components!$B$2:$B$61,"a",Factory_Components!$D$2:$D$61,F750)&gt;0,1,0)</f>
        <v>1</v>
      </c>
    </row>
    <row r="751" spans="1:7" ht="15" customHeight="1" x14ac:dyDescent="0.25">
      <c r="A751" t="s">
        <v>8</v>
      </c>
      <c r="B751" t="s">
        <v>449</v>
      </c>
      <c r="C751" t="s">
        <v>354</v>
      </c>
      <c r="D751" t="s">
        <v>1282</v>
      </c>
      <c r="E751" t="str">
        <f t="shared" si="22"/>
        <v>BOSP</v>
      </c>
      <c r="F751" t="str">
        <f t="shared" si="23"/>
        <v>BOSP</v>
      </c>
      <c r="G751">
        <f>IF(COUNTIFS(Factory_Components!$A$2:$A$61,VLOOKUP(A751,Runs!$A$2:$B$9,2,FALSE()),Factory_Components!$B$2:$B$61,"a",Factory_Components!$D$2:$D$61,F751)&gt;0,1,0)</f>
        <v>1</v>
      </c>
    </row>
    <row r="752" spans="1:7" ht="15" customHeight="1" x14ac:dyDescent="0.25">
      <c r="A752" t="s">
        <v>8</v>
      </c>
      <c r="B752" t="s">
        <v>403</v>
      </c>
      <c r="C752" t="s">
        <v>349</v>
      </c>
      <c r="D752" t="s">
        <v>1283</v>
      </c>
      <c r="E752" t="str">
        <f t="shared" si="22"/>
        <v>BSA</v>
      </c>
      <c r="F752" t="str">
        <f t="shared" si="23"/>
        <v>BSA</v>
      </c>
      <c r="G752">
        <f>IF(COUNTIFS(Factory_Components!$A$2:$A$61,VLOOKUP(A752,Runs!$A$2:$B$9,2,FALSE()),Factory_Components!$B$2:$B$61,"a",Factory_Components!$D$2:$D$61,F752)&gt;0,1,0)</f>
        <v>1</v>
      </c>
    </row>
    <row r="753" spans="1:7" ht="15" customHeight="1" x14ac:dyDescent="0.25">
      <c r="A753" t="s">
        <v>8</v>
      </c>
      <c r="B753" t="s">
        <v>1202</v>
      </c>
      <c r="C753" t="s">
        <v>349</v>
      </c>
      <c r="D753" t="s">
        <v>1284</v>
      </c>
      <c r="E753" t="str">
        <f t="shared" si="22"/>
        <v>CSEB-NABS</v>
      </c>
      <c r="F753" t="str">
        <f t="shared" si="23"/>
        <v>CSEB-NABS</v>
      </c>
      <c r="G753">
        <f>IF(COUNTIFS(Factory_Components!$A$2:$A$61,VLOOKUP(A753,Runs!$A$2:$B$9,2,FALSE()),Factory_Components!$B$2:$B$61,"a",Factory_Components!$D$2:$D$61,F753)&gt;0,1,0)</f>
        <v>0</v>
      </c>
    </row>
    <row r="754" spans="1:7" ht="15" customHeight="1" x14ac:dyDescent="0.25">
      <c r="A754" t="s">
        <v>8</v>
      </c>
      <c r="B754" t="s">
        <v>407</v>
      </c>
      <c r="C754" t="s">
        <v>357</v>
      </c>
      <c r="D754" t="s">
        <v>1285</v>
      </c>
      <c r="E754" t="str">
        <f t="shared" si="22"/>
        <v>CORE</v>
      </c>
      <c r="F754" t="str">
        <f t="shared" si="23"/>
        <v>CHS</v>
      </c>
      <c r="G754">
        <f>IF(COUNTIFS(Factory_Components!$A$2:$A$61,VLOOKUP(A754,Runs!$A$2:$B$9,2,FALSE()),Factory_Components!$B$2:$B$61,"a",Factory_Components!$D$2:$D$61,F754)&gt;0,1,0)</f>
        <v>1</v>
      </c>
    </row>
    <row r="755" spans="1:7" ht="15" customHeight="1" x14ac:dyDescent="0.25">
      <c r="A755" t="s">
        <v>8</v>
      </c>
      <c r="B755" t="s">
        <v>563</v>
      </c>
      <c r="C755" t="s">
        <v>355</v>
      </c>
      <c r="D755" t="s">
        <v>1286</v>
      </c>
      <c r="E755" t="str">
        <f t="shared" si="22"/>
        <v>FT</v>
      </c>
      <c r="F755" t="str">
        <f t="shared" si="23"/>
        <v>FT</v>
      </c>
      <c r="G755">
        <f>IF(COUNTIFS(Factory_Components!$A$2:$A$61,VLOOKUP(A755,Runs!$A$2:$B$9,2,FALSE()),Factory_Components!$B$2:$B$61,"a",Factory_Components!$D$2:$D$61,F755)&gt;0,1,0)</f>
        <v>1</v>
      </c>
    </row>
    <row r="756" spans="1:7" ht="15" customHeight="1" x14ac:dyDescent="0.25">
      <c r="A756" t="s">
        <v>8</v>
      </c>
      <c r="B756" t="s">
        <v>451</v>
      </c>
      <c r="C756" t="s">
        <v>354</v>
      </c>
      <c r="D756" t="s">
        <v>1287</v>
      </c>
      <c r="E756" t="str">
        <f t="shared" si="22"/>
        <v>BOSP</v>
      </c>
      <c r="F756" t="str">
        <f t="shared" si="23"/>
        <v>BOSP</v>
      </c>
      <c r="G756">
        <f>IF(COUNTIFS(Factory_Components!$A$2:$A$61,VLOOKUP(A756,Runs!$A$2:$B$9,2,FALSE()),Factory_Components!$B$2:$B$61,"a",Factory_Components!$D$2:$D$61,F756)&gt;0,1,0)</f>
        <v>1</v>
      </c>
    </row>
    <row r="757" spans="1:7" ht="15" customHeight="1" x14ac:dyDescent="0.25">
      <c r="A757" t="s">
        <v>8</v>
      </c>
      <c r="B757" t="s">
        <v>566</v>
      </c>
      <c r="C757" t="s">
        <v>355</v>
      </c>
      <c r="D757" t="s">
        <v>1288</v>
      </c>
      <c r="E757" t="str">
        <f t="shared" si="22"/>
        <v>FT</v>
      </c>
      <c r="F757" t="str">
        <f t="shared" si="23"/>
        <v>FT</v>
      </c>
      <c r="G757">
        <f>IF(COUNTIFS(Factory_Components!$A$2:$A$61,VLOOKUP(A757,Runs!$A$2:$B$9,2,FALSE()),Factory_Components!$B$2:$B$61,"a",Factory_Components!$D$2:$D$61,F757)&gt;0,1,0)</f>
        <v>1</v>
      </c>
    </row>
    <row r="758" spans="1:7" ht="15" customHeight="1" x14ac:dyDescent="0.25">
      <c r="A758" t="s">
        <v>8</v>
      </c>
      <c r="B758" t="s">
        <v>632</v>
      </c>
      <c r="C758" t="s">
        <v>354</v>
      </c>
      <c r="D758" t="s">
        <v>1289</v>
      </c>
      <c r="E758" t="str">
        <f t="shared" si="22"/>
        <v>BAT</v>
      </c>
      <c r="F758" t="str">
        <f t="shared" si="23"/>
        <v>BAT</v>
      </c>
      <c r="G758">
        <f>IF(COUNTIFS(Factory_Components!$A$2:$A$61,VLOOKUP(A758,Runs!$A$2:$B$9,2,FALSE()),Factory_Components!$B$2:$B$61,"a",Factory_Components!$D$2:$D$61,F758)&gt;0,1,0)</f>
        <v>1</v>
      </c>
    </row>
    <row r="759" spans="1:7" ht="15" customHeight="1" x14ac:dyDescent="0.25">
      <c r="A759" t="s">
        <v>8</v>
      </c>
      <c r="B759" t="s">
        <v>415</v>
      </c>
      <c r="C759" t="s">
        <v>349</v>
      </c>
      <c r="D759" t="s">
        <v>1290</v>
      </c>
      <c r="E759" t="str">
        <f t="shared" si="22"/>
        <v>BSA</v>
      </c>
      <c r="F759" t="str">
        <f t="shared" si="23"/>
        <v>BSA</v>
      </c>
      <c r="G759">
        <f>IF(COUNTIFS(Factory_Components!$A$2:$A$61,VLOOKUP(A759,Runs!$A$2:$B$9,2,FALSE()),Factory_Components!$B$2:$B$61,"a",Factory_Components!$D$2:$D$61,F759)&gt;0,1,0)</f>
        <v>1</v>
      </c>
    </row>
    <row r="760" spans="1:7" ht="15" customHeight="1" x14ac:dyDescent="0.25">
      <c r="A760" t="s">
        <v>8</v>
      </c>
      <c r="B760" t="s">
        <v>441</v>
      </c>
      <c r="C760" t="s">
        <v>355</v>
      </c>
      <c r="D760" t="s">
        <v>1291</v>
      </c>
      <c r="E760" t="str">
        <f t="shared" si="22"/>
        <v>RT</v>
      </c>
      <c r="F760" t="str">
        <f t="shared" si="23"/>
        <v>RT</v>
      </c>
      <c r="G760">
        <f>IF(COUNTIFS(Factory_Components!$A$2:$A$61,VLOOKUP(A760,Runs!$A$2:$B$9,2,FALSE()),Factory_Components!$B$2:$B$61,"a",Factory_Components!$D$2:$D$61,F760)&gt;0,1,0)</f>
        <v>1</v>
      </c>
    </row>
    <row r="761" spans="1:7" ht="15" customHeight="1" x14ac:dyDescent="0.25">
      <c r="A761" t="s">
        <v>8</v>
      </c>
      <c r="B761" t="s">
        <v>461</v>
      </c>
      <c r="C761" t="s">
        <v>354</v>
      </c>
      <c r="D761" t="s">
        <v>1292</v>
      </c>
      <c r="E761" t="str">
        <f t="shared" si="22"/>
        <v>BOSP</v>
      </c>
      <c r="F761" t="str">
        <f t="shared" si="23"/>
        <v>BOSP</v>
      </c>
      <c r="G761">
        <f>IF(COUNTIFS(Factory_Components!$A$2:$A$61,VLOOKUP(A761,Runs!$A$2:$B$9,2,FALSE()),Factory_Components!$B$2:$B$61,"a",Factory_Components!$D$2:$D$61,F761)&gt;0,1,0)</f>
        <v>1</v>
      </c>
    </row>
    <row r="762" spans="1:7" ht="15" customHeight="1" x14ac:dyDescent="0.25">
      <c r="A762" t="s">
        <v>8</v>
      </c>
      <c r="B762" t="s">
        <v>419</v>
      </c>
      <c r="C762" t="s">
        <v>349</v>
      </c>
      <c r="D762" t="s">
        <v>1293</v>
      </c>
      <c r="E762" t="str">
        <f t="shared" si="22"/>
        <v>BSA</v>
      </c>
      <c r="F762" t="str">
        <f t="shared" si="23"/>
        <v>BSA</v>
      </c>
      <c r="G762">
        <f>IF(COUNTIFS(Factory_Components!$A$2:$A$61,VLOOKUP(A762,Runs!$A$2:$B$9,2,FALSE()),Factory_Components!$B$2:$B$61,"a",Factory_Components!$D$2:$D$61,F762)&gt;0,1,0)</f>
        <v>1</v>
      </c>
    </row>
    <row r="763" spans="1:7" ht="15" customHeight="1" x14ac:dyDescent="0.25">
      <c r="A763" t="s">
        <v>8</v>
      </c>
      <c r="B763" t="s">
        <v>421</v>
      </c>
      <c r="C763" t="s">
        <v>349</v>
      </c>
      <c r="D763" t="s">
        <v>1294</v>
      </c>
      <c r="E763" t="str">
        <f t="shared" si="22"/>
        <v>RAX_RD</v>
      </c>
      <c r="F763" t="str">
        <f t="shared" si="23"/>
        <v>RAX_RD</v>
      </c>
      <c r="G763">
        <f>IF(COUNTIFS(Factory_Components!$A$2:$A$61,VLOOKUP(A763,Runs!$A$2:$B$9,2,FALSE()),Factory_Components!$B$2:$B$61,"a",Factory_Components!$D$2:$D$61,F763)&gt;0,1,0)</f>
        <v>0</v>
      </c>
    </row>
    <row r="764" spans="1:7" ht="15" customHeight="1" x14ac:dyDescent="0.25">
      <c r="A764" t="s">
        <v>8</v>
      </c>
      <c r="B764" t="s">
        <v>465</v>
      </c>
      <c r="C764" t="s">
        <v>354</v>
      </c>
      <c r="D764" t="s">
        <v>1295</v>
      </c>
      <c r="E764" t="str">
        <f t="shared" si="22"/>
        <v>BOSP</v>
      </c>
      <c r="F764" t="str">
        <f t="shared" si="23"/>
        <v>BOSP</v>
      </c>
      <c r="G764">
        <f>IF(COUNTIFS(Factory_Components!$A$2:$A$61,VLOOKUP(A764,Runs!$A$2:$B$9,2,FALSE()),Factory_Components!$B$2:$B$61,"a",Factory_Components!$D$2:$D$61,F764)&gt;0,1,0)</f>
        <v>1</v>
      </c>
    </row>
    <row r="765" spans="1:7" ht="15" customHeight="1" x14ac:dyDescent="0.25">
      <c r="A765" t="s">
        <v>8</v>
      </c>
      <c r="B765" t="s">
        <v>443</v>
      </c>
      <c r="C765" t="s">
        <v>355</v>
      </c>
      <c r="D765" t="s">
        <v>1296</v>
      </c>
      <c r="E765" t="str">
        <f t="shared" si="22"/>
        <v>RT</v>
      </c>
      <c r="F765" t="str">
        <f t="shared" si="23"/>
        <v>RT</v>
      </c>
      <c r="G765">
        <f>IF(COUNTIFS(Factory_Components!$A$2:$A$61,VLOOKUP(A765,Runs!$A$2:$B$9,2,FALSE()),Factory_Components!$B$2:$B$61,"a",Factory_Components!$D$2:$D$61,F765)&gt;0,1,0)</f>
        <v>1</v>
      </c>
    </row>
    <row r="766" spans="1:7" ht="15" customHeight="1" x14ac:dyDescent="0.25">
      <c r="A766" t="s">
        <v>8</v>
      </c>
      <c r="B766" t="s">
        <v>477</v>
      </c>
      <c r="C766" t="s">
        <v>354</v>
      </c>
      <c r="D766" t="s">
        <v>1297</v>
      </c>
      <c r="E766" t="str">
        <f t="shared" si="22"/>
        <v>BOSP</v>
      </c>
      <c r="F766" t="str">
        <f t="shared" si="23"/>
        <v>BOSP</v>
      </c>
      <c r="G766">
        <f>IF(COUNTIFS(Factory_Components!$A$2:$A$61,VLOOKUP(A766,Runs!$A$2:$B$9,2,FALSE()),Factory_Components!$B$2:$B$61,"a",Factory_Components!$D$2:$D$61,F766)&gt;0,1,0)</f>
        <v>1</v>
      </c>
    </row>
    <row r="767" spans="1:7" ht="15" customHeight="1" x14ac:dyDescent="0.25">
      <c r="A767" t="s">
        <v>8</v>
      </c>
      <c r="B767" t="s">
        <v>445</v>
      </c>
      <c r="C767" t="s">
        <v>355</v>
      </c>
      <c r="D767" t="s">
        <v>1298</v>
      </c>
      <c r="E767" t="str">
        <f t="shared" si="22"/>
        <v>FT</v>
      </c>
      <c r="F767" t="str">
        <f t="shared" si="23"/>
        <v>FT</v>
      </c>
      <c r="G767">
        <f>IF(COUNTIFS(Factory_Components!$A$2:$A$61,VLOOKUP(A767,Runs!$A$2:$B$9,2,FALSE()),Factory_Components!$B$2:$B$61,"a",Factory_Components!$D$2:$D$61,F767)&gt;0,1,0)</f>
        <v>1</v>
      </c>
    </row>
    <row r="768" spans="1:7" ht="15" customHeight="1" x14ac:dyDescent="0.25">
      <c r="A768" t="s">
        <v>8</v>
      </c>
      <c r="B768" t="s">
        <v>481</v>
      </c>
      <c r="C768" t="s">
        <v>354</v>
      </c>
      <c r="D768" t="s">
        <v>1299</v>
      </c>
      <c r="E768" t="str">
        <f t="shared" si="22"/>
        <v>BOSP</v>
      </c>
      <c r="F768" t="str">
        <f t="shared" si="23"/>
        <v>BOSP</v>
      </c>
      <c r="G768">
        <f>IF(COUNTIFS(Factory_Components!$A$2:$A$61,VLOOKUP(A768,Runs!$A$2:$B$9,2,FALSE()),Factory_Components!$B$2:$B$61,"a",Factory_Components!$D$2:$D$61,F768)&gt;0,1,0)</f>
        <v>1</v>
      </c>
    </row>
    <row r="769" spans="1:7" ht="15" customHeight="1" x14ac:dyDescent="0.25">
      <c r="A769" t="s">
        <v>8</v>
      </c>
      <c r="B769" t="s">
        <v>447</v>
      </c>
      <c r="C769" t="s">
        <v>355</v>
      </c>
      <c r="D769" t="s">
        <v>1300</v>
      </c>
      <c r="E769" t="str">
        <f t="shared" si="22"/>
        <v>FT</v>
      </c>
      <c r="F769" t="str">
        <f t="shared" si="23"/>
        <v>FT</v>
      </c>
      <c r="G769">
        <f>IF(COUNTIFS(Factory_Components!$A$2:$A$61,VLOOKUP(A769,Runs!$A$2:$B$9,2,FALSE()),Factory_Components!$B$2:$B$61,"a",Factory_Components!$D$2:$D$61,F769)&gt;0,1,0)</f>
        <v>1</v>
      </c>
    </row>
    <row r="770" spans="1:7" ht="15" customHeight="1" x14ac:dyDescent="0.25">
      <c r="A770" t="s">
        <v>8</v>
      </c>
      <c r="B770" t="s">
        <v>489</v>
      </c>
      <c r="C770" t="s">
        <v>354</v>
      </c>
      <c r="D770" t="s">
        <v>1301</v>
      </c>
      <c r="E770" t="str">
        <f t="shared" ref="E770:E826" si="24">IF(ISNUMBER(--RIGHT(B770,1)),MID(B770,10,LEN(B770)-11),MID(B770,10,100))</f>
        <v>BAT</v>
      </c>
      <c r="F770" t="str">
        <f t="shared" ref="F770:F826" si="25">IF(E770="CORE","CHS",E770)</f>
        <v>BAT</v>
      </c>
      <c r="G770">
        <f>IF(COUNTIFS(Factory_Components!$A$2:$A$61,VLOOKUP(A770,Runs!$A$2:$B$9,2,FALSE()),Factory_Components!$B$2:$B$61,"a",Factory_Components!$D$2:$D$61,F770)&gt;0,1,0)</f>
        <v>1</v>
      </c>
    </row>
    <row r="771" spans="1:7" ht="15" customHeight="1" x14ac:dyDescent="0.25">
      <c r="A771" t="s">
        <v>8</v>
      </c>
      <c r="B771" t="s">
        <v>578</v>
      </c>
      <c r="C771" t="s">
        <v>349</v>
      </c>
      <c r="D771" t="s">
        <v>1302</v>
      </c>
      <c r="E771" t="str">
        <f t="shared" si="24"/>
        <v>SSA</v>
      </c>
      <c r="F771" t="str">
        <f t="shared" si="25"/>
        <v>SSA</v>
      </c>
      <c r="G771">
        <f>IF(COUNTIFS(Factory_Components!$A$2:$A$61,VLOOKUP(A771,Runs!$A$2:$B$9,2,FALSE()),Factory_Components!$B$2:$B$61,"a",Factory_Components!$D$2:$D$61,F771)&gt;0,1,0)</f>
        <v>1</v>
      </c>
    </row>
    <row r="772" spans="1:7" ht="15" customHeight="1" x14ac:dyDescent="0.25">
      <c r="A772" t="s">
        <v>8</v>
      </c>
      <c r="B772" t="s">
        <v>427</v>
      </c>
      <c r="C772" t="s">
        <v>355</v>
      </c>
      <c r="D772" t="s">
        <v>1303</v>
      </c>
      <c r="E772" t="str">
        <f t="shared" si="24"/>
        <v>RT</v>
      </c>
      <c r="F772" t="str">
        <f t="shared" si="25"/>
        <v>RT</v>
      </c>
      <c r="G772">
        <f>IF(COUNTIFS(Factory_Components!$A$2:$A$61,VLOOKUP(A772,Runs!$A$2:$B$9,2,FALSE()),Factory_Components!$B$2:$B$61,"a",Factory_Components!$D$2:$D$61,F772)&gt;0,1,0)</f>
        <v>1</v>
      </c>
    </row>
    <row r="773" spans="1:7" ht="15" customHeight="1" x14ac:dyDescent="0.25">
      <c r="A773" t="s">
        <v>8</v>
      </c>
      <c r="B773" t="s">
        <v>507</v>
      </c>
      <c r="C773" t="s">
        <v>354</v>
      </c>
      <c r="D773" t="s">
        <v>1304</v>
      </c>
      <c r="E773" t="str">
        <f t="shared" si="24"/>
        <v>BOSP</v>
      </c>
      <c r="F773" t="str">
        <f t="shared" si="25"/>
        <v>BOSP</v>
      </c>
      <c r="G773">
        <f>IF(COUNTIFS(Factory_Components!$A$2:$A$61,VLOOKUP(A773,Runs!$A$2:$B$9,2,FALSE()),Factory_Components!$B$2:$B$61,"a",Factory_Components!$D$2:$D$61,F773)&gt;0,1,0)</f>
        <v>1</v>
      </c>
    </row>
    <row r="774" spans="1:7" ht="15" customHeight="1" x14ac:dyDescent="0.25">
      <c r="A774" t="s">
        <v>8</v>
      </c>
      <c r="B774" t="s">
        <v>599</v>
      </c>
      <c r="C774" t="s">
        <v>357</v>
      </c>
      <c r="D774" t="s">
        <v>1305</v>
      </c>
      <c r="E774" t="str">
        <f t="shared" si="24"/>
        <v>CHS</v>
      </c>
      <c r="F774" t="str">
        <f t="shared" si="25"/>
        <v>CHS</v>
      </c>
      <c r="G774">
        <f>IF(COUNTIFS(Factory_Components!$A$2:$A$61,VLOOKUP(A774,Runs!$A$2:$B$9,2,FALSE()),Factory_Components!$B$2:$B$61,"a",Factory_Components!$D$2:$D$61,F774)&gt;0,1,0)</f>
        <v>1</v>
      </c>
    </row>
    <row r="775" spans="1:7" ht="15" customHeight="1" x14ac:dyDescent="0.25">
      <c r="A775" t="s">
        <v>8</v>
      </c>
      <c r="B775" t="s">
        <v>509</v>
      </c>
      <c r="C775" t="s">
        <v>354</v>
      </c>
      <c r="D775" t="s">
        <v>1306</v>
      </c>
      <c r="E775" t="str">
        <f t="shared" si="24"/>
        <v>BOSP</v>
      </c>
      <c r="F775" t="str">
        <f t="shared" si="25"/>
        <v>BOSP</v>
      </c>
      <c r="G775">
        <f>IF(COUNTIFS(Factory_Components!$A$2:$A$61,VLOOKUP(A775,Runs!$A$2:$B$9,2,FALSE()),Factory_Components!$B$2:$B$61,"a",Factory_Components!$D$2:$D$61,F775)&gt;0,1,0)</f>
        <v>1</v>
      </c>
    </row>
    <row r="776" spans="1:7" ht="15" customHeight="1" x14ac:dyDescent="0.25">
      <c r="A776" t="s">
        <v>8</v>
      </c>
      <c r="B776" t="s">
        <v>429</v>
      </c>
      <c r="C776" t="s">
        <v>355</v>
      </c>
      <c r="D776" t="s">
        <v>1307</v>
      </c>
      <c r="E776" t="str">
        <f t="shared" si="24"/>
        <v>RT</v>
      </c>
      <c r="F776" t="str">
        <f t="shared" si="25"/>
        <v>RT</v>
      </c>
      <c r="G776">
        <f>IF(COUNTIFS(Factory_Components!$A$2:$A$61,VLOOKUP(A776,Runs!$A$2:$B$9,2,FALSE()),Factory_Components!$B$2:$B$61,"a",Factory_Components!$D$2:$D$61,F776)&gt;0,1,0)</f>
        <v>1</v>
      </c>
    </row>
    <row r="777" spans="1:7" ht="15" customHeight="1" x14ac:dyDescent="0.25">
      <c r="A777" t="s">
        <v>8</v>
      </c>
      <c r="B777" t="s">
        <v>586</v>
      </c>
      <c r="C777" t="s">
        <v>349</v>
      </c>
      <c r="D777" t="s">
        <v>1308</v>
      </c>
      <c r="E777" t="str">
        <f t="shared" si="24"/>
        <v>SSA</v>
      </c>
      <c r="F777" t="str">
        <f t="shared" si="25"/>
        <v>SSA</v>
      </c>
      <c r="G777">
        <f>IF(COUNTIFS(Factory_Components!$A$2:$A$61,VLOOKUP(A777,Runs!$A$2:$B$9,2,FALSE()),Factory_Components!$B$2:$B$61,"a",Factory_Components!$D$2:$D$61,F777)&gt;0,1,0)</f>
        <v>1</v>
      </c>
    </row>
    <row r="778" spans="1:7" ht="15" customHeight="1" x14ac:dyDescent="0.25">
      <c r="A778" t="s">
        <v>8</v>
      </c>
      <c r="B778" t="s">
        <v>588</v>
      </c>
      <c r="C778" t="s">
        <v>349</v>
      </c>
      <c r="D778" t="s">
        <v>1309</v>
      </c>
      <c r="E778" t="str">
        <f t="shared" si="24"/>
        <v>FAX</v>
      </c>
      <c r="F778" t="str">
        <f t="shared" si="25"/>
        <v>FAX</v>
      </c>
      <c r="G778">
        <f>IF(COUNTIFS(Factory_Components!$A$2:$A$61,VLOOKUP(A778,Runs!$A$2:$B$9,2,FALSE()),Factory_Components!$B$2:$B$61,"a",Factory_Components!$D$2:$D$61,F778)&gt;0,1,0)</f>
        <v>1</v>
      </c>
    </row>
    <row r="779" spans="1:7" ht="15" customHeight="1" x14ac:dyDescent="0.25">
      <c r="A779" t="s">
        <v>8</v>
      </c>
      <c r="B779" t="s">
        <v>435</v>
      </c>
      <c r="C779" t="s">
        <v>355</v>
      </c>
      <c r="D779" t="s">
        <v>1310</v>
      </c>
      <c r="E779" t="str">
        <f t="shared" si="24"/>
        <v>FT</v>
      </c>
      <c r="F779" t="str">
        <f t="shared" si="25"/>
        <v>FT</v>
      </c>
      <c r="G779">
        <f>IF(COUNTIFS(Factory_Components!$A$2:$A$61,VLOOKUP(A779,Runs!$A$2:$B$9,2,FALSE()),Factory_Components!$B$2:$B$61,"a",Factory_Components!$D$2:$D$61,F779)&gt;0,1,0)</f>
        <v>1</v>
      </c>
    </row>
    <row r="780" spans="1:7" ht="15" customHeight="1" x14ac:dyDescent="0.25">
      <c r="A780" t="s">
        <v>8</v>
      </c>
      <c r="B780" t="s">
        <v>453</v>
      </c>
      <c r="C780" t="s">
        <v>349</v>
      </c>
      <c r="D780" t="s">
        <v>1311</v>
      </c>
      <c r="E780" t="str">
        <f t="shared" si="24"/>
        <v>SSA</v>
      </c>
      <c r="F780" t="str">
        <f t="shared" si="25"/>
        <v>SSA</v>
      </c>
      <c r="G780">
        <f>IF(COUNTIFS(Factory_Components!$A$2:$A$61,VLOOKUP(A780,Runs!$A$2:$B$9,2,FALSE()),Factory_Components!$B$2:$B$61,"a",Factory_Components!$D$2:$D$61,F780)&gt;0,1,0)</f>
        <v>1</v>
      </c>
    </row>
    <row r="781" spans="1:7" ht="15" customHeight="1" x14ac:dyDescent="0.25">
      <c r="A781" t="s">
        <v>8</v>
      </c>
      <c r="B781" t="s">
        <v>437</v>
      </c>
      <c r="C781" t="s">
        <v>355</v>
      </c>
      <c r="D781" t="s">
        <v>1312</v>
      </c>
      <c r="E781" t="str">
        <f t="shared" si="24"/>
        <v>FT</v>
      </c>
      <c r="F781" t="str">
        <f t="shared" si="25"/>
        <v>FT</v>
      </c>
      <c r="G781">
        <f>IF(COUNTIFS(Factory_Components!$A$2:$A$61,VLOOKUP(A781,Runs!$A$2:$B$9,2,FALSE()),Factory_Components!$B$2:$B$61,"a",Factory_Components!$D$2:$D$61,F781)&gt;0,1,0)</f>
        <v>1</v>
      </c>
    </row>
    <row r="782" spans="1:7" ht="15" customHeight="1" x14ac:dyDescent="0.25">
      <c r="A782" t="s">
        <v>8</v>
      </c>
      <c r="B782" t="s">
        <v>439</v>
      </c>
      <c r="C782" t="s">
        <v>355</v>
      </c>
      <c r="D782" t="s">
        <v>1313</v>
      </c>
      <c r="E782" t="str">
        <f t="shared" si="24"/>
        <v>CRE</v>
      </c>
      <c r="F782" t="str">
        <f t="shared" si="25"/>
        <v>CRE</v>
      </c>
      <c r="G782">
        <f>IF(COUNTIFS(Factory_Components!$A$2:$A$61,VLOOKUP(A782,Runs!$A$2:$B$9,2,FALSE()),Factory_Components!$B$2:$B$61,"a",Factory_Components!$D$2:$D$61,F782)&gt;0,1,0)</f>
        <v>0</v>
      </c>
    </row>
    <row r="783" spans="1:7" ht="15" customHeight="1" x14ac:dyDescent="0.25">
      <c r="A783" t="s">
        <v>8</v>
      </c>
      <c r="B783" t="s">
        <v>455</v>
      </c>
      <c r="C783" t="s">
        <v>355</v>
      </c>
      <c r="D783" t="s">
        <v>1314</v>
      </c>
      <c r="E783" t="str">
        <f t="shared" si="24"/>
        <v>RT</v>
      </c>
      <c r="F783" t="str">
        <f t="shared" si="25"/>
        <v>RT</v>
      </c>
      <c r="G783">
        <f>IF(COUNTIFS(Factory_Components!$A$2:$A$61,VLOOKUP(A783,Runs!$A$2:$B$9,2,FALSE()),Factory_Components!$B$2:$B$61,"a",Factory_Components!$D$2:$D$61,F783)&gt;0,1,0)</f>
        <v>1</v>
      </c>
    </row>
    <row r="784" spans="1:7" ht="15" customHeight="1" x14ac:dyDescent="0.25">
      <c r="A784" t="s">
        <v>8</v>
      </c>
      <c r="B784" t="s">
        <v>457</v>
      </c>
      <c r="C784" t="s">
        <v>349</v>
      </c>
      <c r="D784" t="s">
        <v>1315</v>
      </c>
      <c r="E784" t="str">
        <f t="shared" si="24"/>
        <v>SSA</v>
      </c>
      <c r="F784" t="str">
        <f t="shared" si="25"/>
        <v>SSA</v>
      </c>
      <c r="G784">
        <f>IF(COUNTIFS(Factory_Components!$A$2:$A$61,VLOOKUP(A784,Runs!$A$2:$B$9,2,FALSE()),Factory_Components!$B$2:$B$61,"a",Factory_Components!$D$2:$D$61,F784)&gt;0,1,0)</f>
        <v>1</v>
      </c>
    </row>
    <row r="785" spans="1:7" ht="15" customHeight="1" x14ac:dyDescent="0.25">
      <c r="A785" t="s">
        <v>8</v>
      </c>
      <c r="B785" t="s">
        <v>459</v>
      </c>
      <c r="C785" t="s">
        <v>355</v>
      </c>
      <c r="D785" t="s">
        <v>1316</v>
      </c>
      <c r="E785" t="str">
        <f t="shared" si="24"/>
        <v>RT</v>
      </c>
      <c r="F785" t="str">
        <f t="shared" si="25"/>
        <v>RT</v>
      </c>
      <c r="G785">
        <f>IF(COUNTIFS(Factory_Components!$A$2:$A$61,VLOOKUP(A785,Runs!$A$2:$B$9,2,FALSE()),Factory_Components!$B$2:$B$61,"a",Factory_Components!$D$2:$D$61,F785)&gt;0,1,0)</f>
        <v>1</v>
      </c>
    </row>
    <row r="786" spans="1:7" ht="15" customHeight="1" x14ac:dyDescent="0.25">
      <c r="A786" t="s">
        <v>8</v>
      </c>
      <c r="B786" t="s">
        <v>463</v>
      </c>
      <c r="C786" t="s">
        <v>349</v>
      </c>
      <c r="D786" t="s">
        <v>1317</v>
      </c>
      <c r="E786" t="str">
        <f t="shared" si="24"/>
        <v>BSA</v>
      </c>
      <c r="F786" t="str">
        <f t="shared" si="25"/>
        <v>BSA</v>
      </c>
      <c r="G786">
        <f>IF(COUNTIFS(Factory_Components!$A$2:$A$61,VLOOKUP(A786,Runs!$A$2:$B$9,2,FALSE()),Factory_Components!$B$2:$B$61,"a",Factory_Components!$D$2:$D$61,F786)&gt;0,1,0)</f>
        <v>1</v>
      </c>
    </row>
    <row r="787" spans="1:7" ht="15" customHeight="1" x14ac:dyDescent="0.25">
      <c r="A787" t="s">
        <v>8</v>
      </c>
      <c r="B787" t="s">
        <v>644</v>
      </c>
      <c r="C787" t="s">
        <v>355</v>
      </c>
      <c r="D787" t="s">
        <v>1318</v>
      </c>
      <c r="E787" t="str">
        <f t="shared" si="24"/>
        <v>FT</v>
      </c>
      <c r="F787" t="str">
        <f t="shared" si="25"/>
        <v>FT</v>
      </c>
      <c r="G787">
        <f>IF(COUNTIFS(Factory_Components!$A$2:$A$61,VLOOKUP(A787,Runs!$A$2:$B$9,2,FALSE()),Factory_Components!$B$2:$B$61,"a",Factory_Components!$D$2:$D$61,F787)&gt;0,1,0)</f>
        <v>1</v>
      </c>
    </row>
    <row r="788" spans="1:7" ht="15" customHeight="1" x14ac:dyDescent="0.25">
      <c r="A788" t="s">
        <v>8</v>
      </c>
      <c r="B788" t="s">
        <v>467</v>
      </c>
      <c r="C788" t="s">
        <v>349</v>
      </c>
      <c r="D788" t="s">
        <v>1319</v>
      </c>
      <c r="E788" t="str">
        <f t="shared" si="24"/>
        <v>BSA</v>
      </c>
      <c r="F788" t="str">
        <f t="shared" si="25"/>
        <v>BSA</v>
      </c>
      <c r="G788">
        <f>IF(COUNTIFS(Factory_Components!$A$2:$A$61,VLOOKUP(A788,Runs!$A$2:$B$9,2,FALSE()),Factory_Components!$B$2:$B$61,"a",Factory_Components!$D$2:$D$61,F788)&gt;0,1,0)</f>
        <v>1</v>
      </c>
    </row>
    <row r="789" spans="1:7" ht="15" customHeight="1" x14ac:dyDescent="0.25">
      <c r="A789" t="s">
        <v>8</v>
      </c>
      <c r="B789" t="s">
        <v>469</v>
      </c>
      <c r="C789" t="s">
        <v>349</v>
      </c>
      <c r="D789" t="s">
        <v>1320</v>
      </c>
      <c r="E789" t="str">
        <f t="shared" si="24"/>
        <v>CSEB-NABS</v>
      </c>
      <c r="F789" t="str">
        <f t="shared" si="25"/>
        <v>CSEB-NABS</v>
      </c>
      <c r="G789">
        <f>IF(COUNTIFS(Factory_Components!$A$2:$A$61,VLOOKUP(A789,Runs!$A$2:$B$9,2,FALSE()),Factory_Components!$B$2:$B$61,"a",Factory_Components!$D$2:$D$61,F789)&gt;0,1,0)</f>
        <v>0</v>
      </c>
    </row>
    <row r="790" spans="1:7" ht="15" customHeight="1" x14ac:dyDescent="0.25">
      <c r="A790" t="s">
        <v>8</v>
      </c>
      <c r="B790" t="s">
        <v>648</v>
      </c>
      <c r="C790" t="s">
        <v>355</v>
      </c>
      <c r="D790" t="s">
        <v>1321</v>
      </c>
      <c r="E790" t="str">
        <f t="shared" si="24"/>
        <v>FT</v>
      </c>
      <c r="F790" t="str">
        <f t="shared" si="25"/>
        <v>FT</v>
      </c>
      <c r="G790">
        <f>IF(COUNTIFS(Factory_Components!$A$2:$A$61,VLOOKUP(A790,Runs!$A$2:$B$9,2,FALSE()),Factory_Components!$B$2:$B$61,"a",Factory_Components!$D$2:$D$61,F790)&gt;0,1,0)</f>
        <v>1</v>
      </c>
    </row>
    <row r="791" spans="1:7" ht="15" customHeight="1" x14ac:dyDescent="0.25">
      <c r="A791" t="s">
        <v>8</v>
      </c>
      <c r="B791" t="s">
        <v>425</v>
      </c>
      <c r="C791" t="s">
        <v>349</v>
      </c>
      <c r="D791" t="s">
        <v>1322</v>
      </c>
      <c r="E791" t="str">
        <f t="shared" si="24"/>
        <v>BSA</v>
      </c>
      <c r="F791" t="str">
        <f t="shared" si="25"/>
        <v>BSA</v>
      </c>
      <c r="G791">
        <f>IF(COUNTIFS(Factory_Components!$A$2:$A$61,VLOOKUP(A791,Runs!$A$2:$B$9,2,FALSE()),Factory_Components!$B$2:$B$61,"a",Factory_Components!$D$2:$D$61,F791)&gt;0,1,0)</f>
        <v>1</v>
      </c>
    </row>
    <row r="792" spans="1:7" ht="15" customHeight="1" x14ac:dyDescent="0.25">
      <c r="A792" t="s">
        <v>8</v>
      </c>
      <c r="B792" t="s">
        <v>471</v>
      </c>
      <c r="C792" t="s">
        <v>355</v>
      </c>
      <c r="D792" t="s">
        <v>1323</v>
      </c>
      <c r="E792" t="str">
        <f t="shared" si="24"/>
        <v>RT</v>
      </c>
      <c r="F792" t="str">
        <f t="shared" si="25"/>
        <v>RT</v>
      </c>
      <c r="G792">
        <f>IF(COUNTIFS(Factory_Components!$A$2:$A$61,VLOOKUP(A792,Runs!$A$2:$B$9,2,FALSE()),Factory_Components!$B$2:$B$61,"a",Factory_Components!$D$2:$D$61,F792)&gt;0,1,0)</f>
        <v>1</v>
      </c>
    </row>
    <row r="793" spans="1:7" ht="15" customHeight="1" x14ac:dyDescent="0.25">
      <c r="A793" t="s">
        <v>8</v>
      </c>
      <c r="B793" t="s">
        <v>431</v>
      </c>
      <c r="C793" t="s">
        <v>349</v>
      </c>
      <c r="D793" t="s">
        <v>1324</v>
      </c>
      <c r="E793" t="str">
        <f t="shared" si="24"/>
        <v>BSA</v>
      </c>
      <c r="F793" t="str">
        <f t="shared" si="25"/>
        <v>BSA</v>
      </c>
      <c r="G793">
        <f>IF(COUNTIFS(Factory_Components!$A$2:$A$61,VLOOKUP(A793,Runs!$A$2:$B$9,2,FALSE()),Factory_Components!$B$2:$B$61,"a",Factory_Components!$D$2:$D$61,F793)&gt;0,1,0)</f>
        <v>1</v>
      </c>
    </row>
    <row r="794" spans="1:7" ht="15" customHeight="1" x14ac:dyDescent="0.25">
      <c r="A794" t="s">
        <v>8</v>
      </c>
      <c r="B794" t="s">
        <v>619</v>
      </c>
      <c r="C794" t="s">
        <v>349</v>
      </c>
      <c r="D794" t="s">
        <v>1325</v>
      </c>
      <c r="E794" t="str">
        <f t="shared" si="24"/>
        <v>RAX_HD</v>
      </c>
      <c r="F794" t="str">
        <f t="shared" si="25"/>
        <v>RAX_HD</v>
      </c>
      <c r="G794">
        <f>IF(COUNTIFS(Factory_Components!$A$2:$A$61,VLOOKUP(A794,Runs!$A$2:$B$9,2,FALSE()),Factory_Components!$B$2:$B$61,"a",Factory_Components!$D$2:$D$61,F794)&gt;0,1,0)</f>
        <v>0</v>
      </c>
    </row>
    <row r="795" spans="1:7" ht="15" customHeight="1" x14ac:dyDescent="0.25">
      <c r="A795" t="s">
        <v>8</v>
      </c>
      <c r="B795" t="s">
        <v>475</v>
      </c>
      <c r="C795" t="s">
        <v>355</v>
      </c>
      <c r="D795" t="s">
        <v>1326</v>
      </c>
      <c r="E795" t="str">
        <f t="shared" si="24"/>
        <v>RT</v>
      </c>
      <c r="F795" t="str">
        <f t="shared" si="25"/>
        <v>RT</v>
      </c>
      <c r="G795">
        <f>IF(COUNTIFS(Factory_Components!$A$2:$A$61,VLOOKUP(A795,Runs!$A$2:$B$9,2,FALSE()),Factory_Components!$B$2:$B$61,"a",Factory_Components!$D$2:$D$61,F795)&gt;0,1,0)</f>
        <v>1</v>
      </c>
    </row>
    <row r="796" spans="1:7" ht="15" customHeight="1" x14ac:dyDescent="0.25">
      <c r="A796" t="s">
        <v>8</v>
      </c>
      <c r="B796" t="s">
        <v>515</v>
      </c>
      <c r="C796" t="s">
        <v>355</v>
      </c>
      <c r="D796" t="s">
        <v>1327</v>
      </c>
      <c r="E796" t="str">
        <f t="shared" si="24"/>
        <v>RT</v>
      </c>
      <c r="F796" t="str">
        <f t="shared" si="25"/>
        <v>RT</v>
      </c>
      <c r="G796">
        <f>IF(COUNTIFS(Factory_Components!$A$2:$A$61,VLOOKUP(A796,Runs!$A$2:$B$9,2,FALSE()),Factory_Components!$B$2:$B$61,"a",Factory_Components!$D$2:$D$61,F796)&gt;0,1,0)</f>
        <v>1</v>
      </c>
    </row>
    <row r="797" spans="1:7" ht="15" customHeight="1" x14ac:dyDescent="0.25">
      <c r="A797" t="s">
        <v>8</v>
      </c>
      <c r="B797" t="s">
        <v>517</v>
      </c>
      <c r="C797" t="s">
        <v>355</v>
      </c>
      <c r="D797" t="s">
        <v>1328</v>
      </c>
      <c r="E797" t="str">
        <f t="shared" si="24"/>
        <v>RT</v>
      </c>
      <c r="F797" t="str">
        <f t="shared" si="25"/>
        <v>RT</v>
      </c>
      <c r="G797">
        <f>IF(COUNTIFS(Factory_Components!$A$2:$A$61,VLOOKUP(A797,Runs!$A$2:$B$9,2,FALSE()),Factory_Components!$B$2:$B$61,"a",Factory_Components!$D$2:$D$61,F797)&gt;0,1,0)</f>
        <v>1</v>
      </c>
    </row>
    <row r="798" spans="1:7" ht="15" customHeight="1" x14ac:dyDescent="0.25">
      <c r="A798" t="s">
        <v>8</v>
      </c>
      <c r="B798" t="s">
        <v>658</v>
      </c>
      <c r="C798" t="s">
        <v>349</v>
      </c>
      <c r="D798" t="s">
        <v>1329</v>
      </c>
      <c r="E798" t="str">
        <f t="shared" si="24"/>
        <v>SSA</v>
      </c>
      <c r="F798" t="str">
        <f t="shared" si="25"/>
        <v>SSA</v>
      </c>
      <c r="G798">
        <f>IF(COUNTIFS(Factory_Components!$A$2:$A$61,VLOOKUP(A798,Runs!$A$2:$B$9,2,FALSE()),Factory_Components!$B$2:$B$61,"a",Factory_Components!$D$2:$D$61,F798)&gt;0,1,0)</f>
        <v>1</v>
      </c>
    </row>
    <row r="799" spans="1:7" ht="15" customHeight="1" x14ac:dyDescent="0.25">
      <c r="A799" t="s">
        <v>8</v>
      </c>
      <c r="B799" t="s">
        <v>487</v>
      </c>
      <c r="C799" t="s">
        <v>357</v>
      </c>
      <c r="D799" t="s">
        <v>1330</v>
      </c>
      <c r="E799" t="str">
        <f t="shared" si="24"/>
        <v>CORE</v>
      </c>
      <c r="F799" t="str">
        <f t="shared" si="25"/>
        <v>CHS</v>
      </c>
      <c r="G799">
        <f>IF(COUNTIFS(Factory_Components!$A$2:$A$61,VLOOKUP(A799,Runs!$A$2:$B$9,2,FALSE()),Factory_Components!$B$2:$B$61,"a",Factory_Components!$D$2:$D$61,F799)&gt;0,1,0)</f>
        <v>1</v>
      </c>
    </row>
    <row r="800" spans="1:7" ht="15" customHeight="1" x14ac:dyDescent="0.25">
      <c r="A800" t="s">
        <v>8</v>
      </c>
      <c r="B800" t="s">
        <v>519</v>
      </c>
      <c r="C800" t="s">
        <v>355</v>
      </c>
      <c r="D800" t="s">
        <v>1331</v>
      </c>
      <c r="E800" t="str">
        <f t="shared" si="24"/>
        <v>FT</v>
      </c>
      <c r="F800" t="str">
        <f t="shared" si="25"/>
        <v>FT</v>
      </c>
      <c r="G800">
        <f>IF(COUNTIFS(Factory_Components!$A$2:$A$61,VLOOKUP(A800,Runs!$A$2:$B$9,2,FALSE()),Factory_Components!$B$2:$B$61,"a",Factory_Components!$D$2:$D$61,F800)&gt;0,1,0)</f>
        <v>1</v>
      </c>
    </row>
    <row r="801" spans="1:7" ht="15" customHeight="1" x14ac:dyDescent="0.25">
      <c r="A801" t="s">
        <v>8</v>
      </c>
      <c r="B801" t="s">
        <v>665</v>
      </c>
      <c r="C801" t="s">
        <v>349</v>
      </c>
      <c r="D801" t="s">
        <v>1332</v>
      </c>
      <c r="E801" t="str">
        <f t="shared" si="24"/>
        <v>SSA</v>
      </c>
      <c r="F801" t="str">
        <f t="shared" si="25"/>
        <v>SSA</v>
      </c>
      <c r="G801">
        <f>IF(COUNTIFS(Factory_Components!$A$2:$A$61,VLOOKUP(A801,Runs!$A$2:$B$9,2,FALSE()),Factory_Components!$B$2:$B$61,"a",Factory_Components!$D$2:$D$61,F801)&gt;0,1,0)</f>
        <v>1</v>
      </c>
    </row>
    <row r="802" spans="1:7" ht="15" customHeight="1" x14ac:dyDescent="0.25">
      <c r="A802" t="s">
        <v>8</v>
      </c>
      <c r="B802" t="s">
        <v>667</v>
      </c>
      <c r="C802" t="s">
        <v>349</v>
      </c>
      <c r="D802" t="s">
        <v>1333</v>
      </c>
      <c r="E802" t="str">
        <f t="shared" si="24"/>
        <v>FAX</v>
      </c>
      <c r="F802" t="str">
        <f t="shared" si="25"/>
        <v>FAX</v>
      </c>
      <c r="G802">
        <f>IF(COUNTIFS(Factory_Components!$A$2:$A$61,VLOOKUP(A802,Runs!$A$2:$B$9,2,FALSE()),Factory_Components!$B$2:$B$61,"a",Factory_Components!$D$2:$D$61,F802)&gt;0,1,0)</f>
        <v>1</v>
      </c>
    </row>
    <row r="803" spans="1:7" ht="15" customHeight="1" x14ac:dyDescent="0.25">
      <c r="A803" t="s">
        <v>8</v>
      </c>
      <c r="B803" t="s">
        <v>523</v>
      </c>
      <c r="C803" t="s">
        <v>355</v>
      </c>
      <c r="D803" t="s">
        <v>1334</v>
      </c>
      <c r="E803" t="str">
        <f t="shared" si="24"/>
        <v>FT</v>
      </c>
      <c r="F803" t="str">
        <f t="shared" si="25"/>
        <v>FT</v>
      </c>
      <c r="G803">
        <f>IF(COUNTIFS(Factory_Components!$A$2:$A$61,VLOOKUP(A803,Runs!$A$2:$B$9,2,FALSE()),Factory_Components!$B$2:$B$61,"a",Factory_Components!$D$2:$D$61,F803)&gt;0,1,0)</f>
        <v>1</v>
      </c>
    </row>
    <row r="804" spans="1:7" ht="15" customHeight="1" x14ac:dyDescent="0.25">
      <c r="A804" t="s">
        <v>8</v>
      </c>
      <c r="B804" t="s">
        <v>491</v>
      </c>
      <c r="C804" t="s">
        <v>349</v>
      </c>
      <c r="D804" t="s">
        <v>1335</v>
      </c>
      <c r="E804" t="str">
        <f t="shared" si="24"/>
        <v>BSA</v>
      </c>
      <c r="F804" t="str">
        <f t="shared" si="25"/>
        <v>BSA</v>
      </c>
      <c r="G804">
        <f>IF(COUNTIFS(Factory_Components!$A$2:$A$61,VLOOKUP(A804,Runs!$A$2:$B$9,2,FALSE()),Factory_Components!$B$2:$B$61,"a",Factory_Components!$D$2:$D$61,F804)&gt;0,1,0)</f>
        <v>1</v>
      </c>
    </row>
    <row r="805" spans="1:7" ht="15" customHeight="1" x14ac:dyDescent="0.25">
      <c r="A805" t="s">
        <v>8</v>
      </c>
      <c r="B805" t="s">
        <v>493</v>
      </c>
      <c r="C805" t="s">
        <v>355</v>
      </c>
      <c r="D805" t="s">
        <v>1336</v>
      </c>
      <c r="E805" t="str">
        <f t="shared" si="24"/>
        <v>RT</v>
      </c>
      <c r="F805" t="str">
        <f t="shared" si="25"/>
        <v>RT</v>
      </c>
      <c r="G805">
        <f>IF(COUNTIFS(Factory_Components!$A$2:$A$61,VLOOKUP(A805,Runs!$A$2:$B$9,2,FALSE()),Factory_Components!$B$2:$B$61,"a",Factory_Components!$D$2:$D$61,F805)&gt;0,1,0)</f>
        <v>1</v>
      </c>
    </row>
    <row r="806" spans="1:7" ht="15" customHeight="1" x14ac:dyDescent="0.25">
      <c r="A806" t="s">
        <v>8</v>
      </c>
      <c r="B806" t="s">
        <v>681</v>
      </c>
      <c r="C806" t="s">
        <v>357</v>
      </c>
      <c r="D806" t="s">
        <v>1337</v>
      </c>
      <c r="E806" t="str">
        <f t="shared" si="24"/>
        <v>CHS</v>
      </c>
      <c r="F806" t="str">
        <f t="shared" si="25"/>
        <v>CHS</v>
      </c>
      <c r="G806">
        <f>IF(COUNTIFS(Factory_Components!$A$2:$A$61,VLOOKUP(A806,Runs!$A$2:$B$9,2,FALSE()),Factory_Components!$B$2:$B$61,"a",Factory_Components!$D$2:$D$61,F806)&gt;0,1,0)</f>
        <v>1</v>
      </c>
    </row>
    <row r="807" spans="1:7" ht="15" customHeight="1" x14ac:dyDescent="0.25">
      <c r="A807" t="s">
        <v>8</v>
      </c>
      <c r="B807" t="s">
        <v>497</v>
      </c>
      <c r="C807" t="s">
        <v>349</v>
      </c>
      <c r="D807" t="s">
        <v>1338</v>
      </c>
      <c r="E807" t="str">
        <f t="shared" si="24"/>
        <v>BSA</v>
      </c>
      <c r="F807" t="str">
        <f t="shared" si="25"/>
        <v>BSA</v>
      </c>
      <c r="G807">
        <f>IF(COUNTIFS(Factory_Components!$A$2:$A$61,VLOOKUP(A807,Runs!$A$2:$B$9,2,FALSE()),Factory_Components!$B$2:$B$61,"a",Factory_Components!$D$2:$D$61,F807)&gt;0,1,0)</f>
        <v>1</v>
      </c>
    </row>
    <row r="808" spans="1:7" ht="15" customHeight="1" x14ac:dyDescent="0.25">
      <c r="A808" t="s">
        <v>8</v>
      </c>
      <c r="B808" t="s">
        <v>499</v>
      </c>
      <c r="C808" t="s">
        <v>349</v>
      </c>
      <c r="D808" t="s">
        <v>1339</v>
      </c>
      <c r="E808" t="str">
        <f t="shared" si="24"/>
        <v>RAX_RD</v>
      </c>
      <c r="F808" t="str">
        <f t="shared" si="25"/>
        <v>RAX_RD</v>
      </c>
      <c r="G808">
        <f>IF(COUNTIFS(Factory_Components!$A$2:$A$61,VLOOKUP(A808,Runs!$A$2:$B$9,2,FALSE()),Factory_Components!$B$2:$B$61,"a",Factory_Components!$D$2:$D$61,F808)&gt;0,1,0)</f>
        <v>0</v>
      </c>
    </row>
    <row r="809" spans="1:7" ht="15" customHeight="1" x14ac:dyDescent="0.25">
      <c r="A809" t="s">
        <v>8</v>
      </c>
      <c r="B809" t="s">
        <v>495</v>
      </c>
      <c r="C809" t="s">
        <v>355</v>
      </c>
      <c r="D809" t="s">
        <v>1340</v>
      </c>
      <c r="E809" t="str">
        <f t="shared" si="24"/>
        <v>RT</v>
      </c>
      <c r="F809" t="str">
        <f t="shared" si="25"/>
        <v>RT</v>
      </c>
      <c r="G809">
        <f>IF(COUNTIFS(Factory_Components!$A$2:$A$61,VLOOKUP(A809,Runs!$A$2:$B$9,2,FALSE()),Factory_Components!$B$2:$B$61,"a",Factory_Components!$D$2:$D$61,F809)&gt;0,1,0)</f>
        <v>1</v>
      </c>
    </row>
    <row r="810" spans="1:7" ht="15" customHeight="1" x14ac:dyDescent="0.25">
      <c r="A810" t="s">
        <v>8</v>
      </c>
      <c r="B810" t="s">
        <v>501</v>
      </c>
      <c r="C810" t="s">
        <v>355</v>
      </c>
      <c r="D810" t="s">
        <v>1341</v>
      </c>
      <c r="E810" t="str">
        <f t="shared" si="24"/>
        <v>FT</v>
      </c>
      <c r="F810" t="str">
        <f t="shared" si="25"/>
        <v>FT</v>
      </c>
      <c r="G810">
        <f>IF(COUNTIFS(Factory_Components!$A$2:$A$61,VLOOKUP(A810,Runs!$A$2:$B$9,2,FALSE()),Factory_Components!$B$2:$B$61,"a",Factory_Components!$D$2:$D$61,F810)&gt;0,1,0)</f>
        <v>1</v>
      </c>
    </row>
    <row r="811" spans="1:7" ht="15" customHeight="1" x14ac:dyDescent="0.25">
      <c r="A811" t="s">
        <v>8</v>
      </c>
      <c r="B811" t="s">
        <v>531</v>
      </c>
      <c r="C811" t="s">
        <v>349</v>
      </c>
      <c r="D811" t="s">
        <v>1342</v>
      </c>
      <c r="E811" t="str">
        <f t="shared" si="24"/>
        <v>SSA</v>
      </c>
      <c r="F811" t="str">
        <f t="shared" si="25"/>
        <v>SSA</v>
      </c>
      <c r="G811">
        <f>IF(COUNTIFS(Factory_Components!$A$2:$A$61,VLOOKUP(A811,Runs!$A$2:$B$9,2,FALSE()),Factory_Components!$B$2:$B$61,"a",Factory_Components!$D$2:$D$61,F811)&gt;0,1,0)</f>
        <v>1</v>
      </c>
    </row>
    <row r="812" spans="1:7" ht="15" customHeight="1" x14ac:dyDescent="0.25">
      <c r="A812" t="s">
        <v>8</v>
      </c>
      <c r="B812" t="s">
        <v>503</v>
      </c>
      <c r="C812" t="s">
        <v>355</v>
      </c>
      <c r="D812" t="s">
        <v>1343</v>
      </c>
      <c r="E812" t="str">
        <f t="shared" si="24"/>
        <v>FT</v>
      </c>
      <c r="F812" t="str">
        <f t="shared" si="25"/>
        <v>FT</v>
      </c>
      <c r="G812">
        <f>IF(COUNTIFS(Factory_Components!$A$2:$A$61,VLOOKUP(A812,Runs!$A$2:$B$9,2,FALSE()),Factory_Components!$B$2:$B$61,"a",Factory_Components!$D$2:$D$61,F812)&gt;0,1,0)</f>
        <v>1</v>
      </c>
    </row>
    <row r="813" spans="1:7" ht="15" customHeight="1" x14ac:dyDescent="0.25">
      <c r="A813" t="s">
        <v>8</v>
      </c>
      <c r="B813" t="s">
        <v>1141</v>
      </c>
      <c r="C813" t="s">
        <v>349</v>
      </c>
      <c r="D813" t="s">
        <v>1344</v>
      </c>
      <c r="E813" t="str">
        <f t="shared" si="24"/>
        <v>SSA</v>
      </c>
      <c r="F813" t="str">
        <f t="shared" si="25"/>
        <v>SSA</v>
      </c>
      <c r="G813">
        <f>IF(COUNTIFS(Factory_Components!$A$2:$A$61,VLOOKUP(A813,Runs!$A$2:$B$9,2,FALSE()),Factory_Components!$B$2:$B$61,"a",Factory_Components!$D$2:$D$61,F813)&gt;0,1,0)</f>
        <v>1</v>
      </c>
    </row>
    <row r="814" spans="1:7" ht="15" customHeight="1" x14ac:dyDescent="0.25">
      <c r="A814" t="s">
        <v>8</v>
      </c>
      <c r="B814" t="s">
        <v>511</v>
      </c>
      <c r="C814" t="s">
        <v>355</v>
      </c>
      <c r="D814" t="s">
        <v>1345</v>
      </c>
      <c r="E814" t="str">
        <f t="shared" si="24"/>
        <v>RT</v>
      </c>
      <c r="F814" t="str">
        <f t="shared" si="25"/>
        <v>RT</v>
      </c>
      <c r="G814">
        <f>IF(COUNTIFS(Factory_Components!$A$2:$A$61,VLOOKUP(A814,Runs!$A$2:$B$9,2,FALSE()),Factory_Components!$B$2:$B$61,"a",Factory_Components!$D$2:$D$61,F814)&gt;0,1,0)</f>
        <v>1</v>
      </c>
    </row>
    <row r="815" spans="1:7" ht="15" customHeight="1" x14ac:dyDescent="0.25">
      <c r="A815" t="s">
        <v>8</v>
      </c>
      <c r="B815" t="s">
        <v>1160</v>
      </c>
      <c r="C815" t="s">
        <v>349</v>
      </c>
      <c r="D815" t="s">
        <v>1346</v>
      </c>
      <c r="E815" t="str">
        <f t="shared" si="24"/>
        <v>BSA</v>
      </c>
      <c r="F815" t="str">
        <f t="shared" si="25"/>
        <v>BSA</v>
      </c>
      <c r="G815">
        <f>IF(COUNTIFS(Factory_Components!$A$2:$A$61,VLOOKUP(A815,Runs!$A$2:$B$9,2,FALSE()),Factory_Components!$B$2:$B$61,"a",Factory_Components!$D$2:$D$61,F815)&gt;0,1,0)</f>
        <v>1</v>
      </c>
    </row>
    <row r="816" spans="1:7" ht="15" customHeight="1" x14ac:dyDescent="0.25">
      <c r="A816" t="s">
        <v>8</v>
      </c>
      <c r="B816" t="s">
        <v>513</v>
      </c>
      <c r="C816" t="s">
        <v>355</v>
      </c>
      <c r="D816" t="s">
        <v>1347</v>
      </c>
      <c r="E816" t="str">
        <f t="shared" si="24"/>
        <v>RT</v>
      </c>
      <c r="F816" t="str">
        <f t="shared" si="25"/>
        <v>RT</v>
      </c>
      <c r="G816">
        <f>IF(COUNTIFS(Factory_Components!$A$2:$A$61,VLOOKUP(A816,Runs!$A$2:$B$9,2,FALSE()),Factory_Components!$B$2:$B$61,"a",Factory_Components!$D$2:$D$61,F816)&gt;0,1,0)</f>
        <v>1</v>
      </c>
    </row>
    <row r="817" spans="1:7" ht="15" customHeight="1" x14ac:dyDescent="0.25">
      <c r="A817" t="s">
        <v>8</v>
      </c>
      <c r="B817" t="s">
        <v>1166</v>
      </c>
      <c r="C817" t="s">
        <v>349</v>
      </c>
      <c r="D817" t="s">
        <v>1348</v>
      </c>
      <c r="E817" t="str">
        <f t="shared" si="24"/>
        <v>BSA</v>
      </c>
      <c r="F817" t="str">
        <f t="shared" si="25"/>
        <v>BSA</v>
      </c>
      <c r="G817">
        <f>IF(COUNTIFS(Factory_Components!$A$2:$A$61,VLOOKUP(A817,Runs!$A$2:$B$9,2,FALSE()),Factory_Components!$B$2:$B$61,"a",Factory_Components!$D$2:$D$61,F817)&gt;0,1,0)</f>
        <v>1</v>
      </c>
    </row>
    <row r="818" spans="1:7" ht="15" customHeight="1" x14ac:dyDescent="0.25">
      <c r="A818" t="s">
        <v>8</v>
      </c>
      <c r="B818" t="s">
        <v>1349</v>
      </c>
      <c r="C818" t="s">
        <v>349</v>
      </c>
      <c r="D818" t="s">
        <v>1350</v>
      </c>
      <c r="E818" t="str">
        <f t="shared" si="24"/>
        <v>CSEB-NABS</v>
      </c>
      <c r="F818" t="str">
        <f t="shared" si="25"/>
        <v>CSEB-NABS</v>
      </c>
      <c r="G818">
        <f>IF(COUNTIFS(Factory_Components!$A$2:$A$61,VLOOKUP(A818,Runs!$A$2:$B$9,2,FALSE()),Factory_Components!$B$2:$B$61,"a",Factory_Components!$D$2:$D$61,F818)&gt;0,1,0)</f>
        <v>0</v>
      </c>
    </row>
    <row r="819" spans="1:7" ht="15" customHeight="1" x14ac:dyDescent="0.25">
      <c r="A819" t="s">
        <v>8</v>
      </c>
      <c r="B819" t="s">
        <v>479</v>
      </c>
      <c r="C819" t="s">
        <v>349</v>
      </c>
      <c r="D819" t="s">
        <v>1351</v>
      </c>
      <c r="E819" t="str">
        <f t="shared" si="24"/>
        <v>BSA</v>
      </c>
      <c r="F819" t="str">
        <f t="shared" si="25"/>
        <v>BSA</v>
      </c>
      <c r="G819">
        <f>IF(COUNTIFS(Factory_Components!$A$2:$A$61,VLOOKUP(A819,Runs!$A$2:$B$9,2,FALSE()),Factory_Components!$B$2:$B$61,"a",Factory_Components!$D$2:$D$61,F819)&gt;0,1,0)</f>
        <v>1</v>
      </c>
    </row>
    <row r="820" spans="1:7" ht="15" customHeight="1" x14ac:dyDescent="0.25">
      <c r="A820" t="s">
        <v>8</v>
      </c>
      <c r="B820" t="s">
        <v>521</v>
      </c>
      <c r="C820" t="s">
        <v>357</v>
      </c>
      <c r="D820" t="s">
        <v>1352</v>
      </c>
      <c r="E820" t="str">
        <f t="shared" si="24"/>
        <v>CORE</v>
      </c>
      <c r="F820" t="str">
        <f t="shared" si="25"/>
        <v>CHS</v>
      </c>
      <c r="G820">
        <f>IF(COUNTIFS(Factory_Components!$A$2:$A$61,VLOOKUP(A820,Runs!$A$2:$B$9,2,FALSE()),Factory_Components!$B$2:$B$61,"a",Factory_Components!$D$2:$D$61,F820)&gt;0,1,0)</f>
        <v>1</v>
      </c>
    </row>
    <row r="821" spans="1:7" ht="15" customHeight="1" x14ac:dyDescent="0.25">
      <c r="A821" t="s">
        <v>8</v>
      </c>
      <c r="B821" t="s">
        <v>483</v>
      </c>
      <c r="C821" t="s">
        <v>349</v>
      </c>
      <c r="D821" t="s">
        <v>1353</v>
      </c>
      <c r="E821" t="str">
        <f t="shared" si="24"/>
        <v>BSA</v>
      </c>
      <c r="F821" t="str">
        <f t="shared" si="25"/>
        <v>BSA</v>
      </c>
      <c r="G821">
        <f>IF(COUNTIFS(Factory_Components!$A$2:$A$61,VLOOKUP(A821,Runs!$A$2:$B$9,2,FALSE()),Factory_Components!$B$2:$B$61,"a",Factory_Components!$D$2:$D$61,F821)&gt;0,1,0)</f>
        <v>1</v>
      </c>
    </row>
    <row r="822" spans="1:7" ht="15" customHeight="1" x14ac:dyDescent="0.25">
      <c r="A822" t="s">
        <v>8</v>
      </c>
      <c r="B822" t="s">
        <v>695</v>
      </c>
      <c r="C822" t="s">
        <v>349</v>
      </c>
      <c r="D822" t="s">
        <v>1354</v>
      </c>
      <c r="E822" t="str">
        <f t="shared" si="24"/>
        <v>RAX_HD</v>
      </c>
      <c r="F822" t="str">
        <f t="shared" si="25"/>
        <v>RAX_HD</v>
      </c>
      <c r="G822">
        <f>IF(COUNTIFS(Factory_Components!$A$2:$A$61,VLOOKUP(A822,Runs!$A$2:$B$9,2,FALSE()),Factory_Components!$B$2:$B$61,"a",Factory_Components!$D$2:$D$61,F822)&gt;0,1,0)</f>
        <v>0</v>
      </c>
    </row>
    <row r="823" spans="1:7" ht="15" customHeight="1" x14ac:dyDescent="0.25">
      <c r="A823" t="s">
        <v>8</v>
      </c>
      <c r="B823" t="s">
        <v>669</v>
      </c>
      <c r="C823" t="s">
        <v>349</v>
      </c>
      <c r="D823" t="s">
        <v>1355</v>
      </c>
      <c r="E823" t="str">
        <f t="shared" si="24"/>
        <v>SSA</v>
      </c>
      <c r="F823" t="str">
        <f t="shared" si="25"/>
        <v>SSA</v>
      </c>
      <c r="G823">
        <f>IF(COUNTIFS(Factory_Components!$A$2:$A$61,VLOOKUP(A823,Runs!$A$2:$B$9,2,FALSE()),Factory_Components!$B$2:$B$61,"a",Factory_Components!$D$2:$D$61,F823)&gt;0,1,0)</f>
        <v>1</v>
      </c>
    </row>
    <row r="824" spans="1:7" ht="15" customHeight="1" x14ac:dyDescent="0.25">
      <c r="A824" t="s">
        <v>8</v>
      </c>
      <c r="B824" t="s">
        <v>690</v>
      </c>
      <c r="C824" t="s">
        <v>357</v>
      </c>
      <c r="D824" t="s">
        <v>1356</v>
      </c>
      <c r="E824" t="str">
        <f t="shared" si="24"/>
        <v>CHS</v>
      </c>
      <c r="F824" t="str">
        <f t="shared" si="25"/>
        <v>CHS</v>
      </c>
      <c r="G824">
        <f>IF(COUNTIFS(Factory_Components!$A$2:$A$61,VLOOKUP(A824,Runs!$A$2:$B$9,2,FALSE()),Factory_Components!$B$2:$B$61,"a",Factory_Components!$D$2:$D$61,F824)&gt;0,1,0)</f>
        <v>1</v>
      </c>
    </row>
    <row r="825" spans="1:7" ht="15" customHeight="1" x14ac:dyDescent="0.25">
      <c r="A825" t="s">
        <v>8</v>
      </c>
      <c r="B825" t="s">
        <v>677</v>
      </c>
      <c r="C825" t="s">
        <v>349</v>
      </c>
      <c r="D825" t="s">
        <v>1357</v>
      </c>
      <c r="E825" t="str">
        <f t="shared" si="24"/>
        <v>SSA</v>
      </c>
      <c r="F825" t="str">
        <f t="shared" si="25"/>
        <v>SSA</v>
      </c>
      <c r="G825">
        <f>IF(COUNTIFS(Factory_Components!$A$2:$A$61,VLOOKUP(A825,Runs!$A$2:$B$9,2,FALSE()),Factory_Components!$B$2:$B$61,"a",Factory_Components!$D$2:$D$61,F825)&gt;0,1,0)</f>
        <v>1</v>
      </c>
    </row>
    <row r="826" spans="1:7" ht="15" customHeight="1" x14ac:dyDescent="0.25">
      <c r="A826" t="s">
        <v>8</v>
      </c>
      <c r="B826" t="s">
        <v>679</v>
      </c>
      <c r="C826" t="s">
        <v>349</v>
      </c>
      <c r="D826" t="s">
        <v>1358</v>
      </c>
      <c r="E826" t="str">
        <f t="shared" si="24"/>
        <v>FAX</v>
      </c>
      <c r="F826" t="str">
        <f t="shared" si="25"/>
        <v>FAX</v>
      </c>
      <c r="G826">
        <f>IF(COUNTIFS(Factory_Components!$A$2:$A$61,VLOOKUP(A826,Runs!$A$2:$B$9,2,FALSE()),Factory_Components!$B$2:$B$61,"a",Factory_Components!$D$2:$D$61,F826)&gt;0,1,0)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E6BB0"/>
  </sheetPr>
  <dimension ref="A1:E61"/>
  <sheetViews>
    <sheetView zoomScaleNormal="100" workbookViewId="0">
      <selection activeCell="F1" sqref="F1:F1048576"/>
    </sheetView>
  </sheetViews>
  <sheetFormatPr baseColWidth="10" defaultColWidth="9.140625" defaultRowHeight="15" x14ac:dyDescent="0.25"/>
  <cols>
    <col min="1" max="2" width="12" customWidth="1"/>
    <col min="3" max="3" width="23" customWidth="1"/>
    <col min="4" max="4" width="19" customWidth="1"/>
    <col min="5" max="5" width="12" customWidth="1"/>
  </cols>
  <sheetData>
    <row r="1" spans="1:5" ht="15" customHeight="1" x14ac:dyDescent="0.25">
      <c r="A1" s="13" t="s">
        <v>10</v>
      </c>
      <c r="B1" s="13" t="s">
        <v>1359</v>
      </c>
      <c r="C1" s="13" t="s">
        <v>1360</v>
      </c>
      <c r="D1" s="13" t="s">
        <v>1361</v>
      </c>
      <c r="E1" s="2" t="s">
        <v>271</v>
      </c>
    </row>
    <row r="2" spans="1:5" ht="15" customHeight="1" x14ac:dyDescent="0.25">
      <c r="A2" t="s">
        <v>58</v>
      </c>
      <c r="B2">
        <v>1</v>
      </c>
      <c r="C2">
        <v>629</v>
      </c>
      <c r="D2">
        <v>586</v>
      </c>
      <c r="E2" t="str">
        <f t="shared" ref="E2:E33" si="0">A2&amp;"|"&amp;B2</f>
        <v>1|1</v>
      </c>
    </row>
    <row r="3" spans="1:5" ht="15" customHeight="1" x14ac:dyDescent="0.25">
      <c r="A3" t="s">
        <v>58</v>
      </c>
      <c r="B3">
        <v>2</v>
      </c>
      <c r="C3">
        <v>482</v>
      </c>
      <c r="D3">
        <v>721</v>
      </c>
      <c r="E3" t="str">
        <f t="shared" si="0"/>
        <v>1|2</v>
      </c>
    </row>
    <row r="4" spans="1:5" ht="15" customHeight="1" x14ac:dyDescent="0.25">
      <c r="A4" t="s">
        <v>58</v>
      </c>
      <c r="B4">
        <v>3</v>
      </c>
      <c r="C4">
        <v>360</v>
      </c>
      <c r="D4">
        <v>721</v>
      </c>
      <c r="E4" t="str">
        <f t="shared" si="0"/>
        <v>1|3</v>
      </c>
    </row>
    <row r="5" spans="1:5" ht="15" customHeight="1" x14ac:dyDescent="0.25">
      <c r="A5" t="s">
        <v>58</v>
      </c>
      <c r="B5">
        <v>4</v>
      </c>
      <c r="C5">
        <v>402</v>
      </c>
      <c r="D5">
        <v>530</v>
      </c>
      <c r="E5" t="str">
        <f t="shared" si="0"/>
        <v>1|4</v>
      </c>
    </row>
    <row r="6" spans="1:5" ht="15" customHeight="1" x14ac:dyDescent="0.25">
      <c r="A6" t="s">
        <v>58</v>
      </c>
      <c r="B6">
        <v>5</v>
      </c>
      <c r="C6">
        <v>555</v>
      </c>
      <c r="D6">
        <v>976</v>
      </c>
      <c r="E6" t="str">
        <f t="shared" si="0"/>
        <v>1|5</v>
      </c>
    </row>
    <row r="7" spans="1:5" ht="15" customHeight="1" x14ac:dyDescent="0.25">
      <c r="A7" t="s">
        <v>58</v>
      </c>
      <c r="B7">
        <v>6</v>
      </c>
      <c r="C7">
        <v>480</v>
      </c>
      <c r="D7">
        <v>1231</v>
      </c>
      <c r="E7" t="str">
        <f t="shared" si="0"/>
        <v>1|6</v>
      </c>
    </row>
    <row r="8" spans="1:5" ht="15" customHeight="1" x14ac:dyDescent="0.25">
      <c r="A8" t="s">
        <v>58</v>
      </c>
      <c r="B8">
        <v>7</v>
      </c>
      <c r="C8">
        <v>383</v>
      </c>
      <c r="D8">
        <v>941</v>
      </c>
      <c r="E8" t="str">
        <f t="shared" si="0"/>
        <v>1|7</v>
      </c>
    </row>
    <row r="9" spans="1:5" ht="15" customHeight="1" x14ac:dyDescent="0.25">
      <c r="A9" t="s">
        <v>58</v>
      </c>
      <c r="B9">
        <v>8</v>
      </c>
      <c r="C9">
        <v>403</v>
      </c>
      <c r="D9">
        <v>931</v>
      </c>
      <c r="E9" t="str">
        <f t="shared" si="0"/>
        <v>1|8</v>
      </c>
    </row>
    <row r="10" spans="1:5" ht="15" customHeight="1" x14ac:dyDescent="0.25">
      <c r="A10" t="s">
        <v>58</v>
      </c>
      <c r="B10">
        <v>9</v>
      </c>
      <c r="C10">
        <v>285</v>
      </c>
      <c r="D10">
        <v>1082</v>
      </c>
      <c r="E10" t="str">
        <f t="shared" si="0"/>
        <v>1|9</v>
      </c>
    </row>
    <row r="11" spans="1:5" ht="15" customHeight="1" x14ac:dyDescent="0.25">
      <c r="A11" t="s">
        <v>58</v>
      </c>
      <c r="B11">
        <v>10</v>
      </c>
      <c r="C11">
        <v>330</v>
      </c>
      <c r="D11">
        <v>616</v>
      </c>
      <c r="E11" t="str">
        <f t="shared" si="0"/>
        <v>1|10</v>
      </c>
    </row>
    <row r="12" spans="1:5" ht="15" customHeight="1" x14ac:dyDescent="0.25">
      <c r="A12" t="s">
        <v>60</v>
      </c>
      <c r="B12">
        <v>1</v>
      </c>
      <c r="C12">
        <v>1155</v>
      </c>
      <c r="D12">
        <v>1231</v>
      </c>
      <c r="E12" t="str">
        <f t="shared" si="0"/>
        <v>2|1</v>
      </c>
    </row>
    <row r="13" spans="1:5" ht="15" customHeight="1" x14ac:dyDescent="0.25">
      <c r="A13" t="s">
        <v>60</v>
      </c>
      <c r="B13">
        <v>2</v>
      </c>
      <c r="C13">
        <v>1325</v>
      </c>
      <c r="D13">
        <v>1051</v>
      </c>
      <c r="E13" t="str">
        <f t="shared" si="0"/>
        <v>2|2</v>
      </c>
    </row>
    <row r="14" spans="1:5" ht="15" customHeight="1" x14ac:dyDescent="0.25">
      <c r="A14" t="s">
        <v>60</v>
      </c>
      <c r="B14">
        <v>3</v>
      </c>
      <c r="C14">
        <v>1140</v>
      </c>
      <c r="D14">
        <v>1171</v>
      </c>
      <c r="E14" t="str">
        <f t="shared" si="0"/>
        <v>2|3</v>
      </c>
    </row>
    <row r="15" spans="1:5" ht="15" customHeight="1" x14ac:dyDescent="0.25">
      <c r="A15" t="s">
        <v>60</v>
      </c>
      <c r="B15">
        <v>4</v>
      </c>
      <c r="C15">
        <v>959</v>
      </c>
      <c r="D15">
        <v>1006</v>
      </c>
      <c r="E15" t="str">
        <f t="shared" si="0"/>
        <v>2|4</v>
      </c>
    </row>
    <row r="16" spans="1:5" ht="15" customHeight="1" x14ac:dyDescent="0.25">
      <c r="A16" t="s">
        <v>60</v>
      </c>
      <c r="B16">
        <v>5</v>
      </c>
      <c r="C16">
        <v>943</v>
      </c>
      <c r="D16">
        <v>1877</v>
      </c>
      <c r="E16" t="str">
        <f t="shared" si="0"/>
        <v>2|5</v>
      </c>
    </row>
    <row r="17" spans="1:5" ht="15" customHeight="1" x14ac:dyDescent="0.25">
      <c r="A17" t="s">
        <v>60</v>
      </c>
      <c r="B17">
        <v>6</v>
      </c>
      <c r="C17">
        <v>1125</v>
      </c>
      <c r="D17">
        <v>2041</v>
      </c>
      <c r="E17" t="str">
        <f t="shared" si="0"/>
        <v>2|6</v>
      </c>
    </row>
    <row r="18" spans="1:5" ht="15" customHeight="1" x14ac:dyDescent="0.25">
      <c r="A18" t="s">
        <v>60</v>
      </c>
      <c r="B18">
        <v>7</v>
      </c>
      <c r="C18">
        <v>1200</v>
      </c>
      <c r="D18">
        <v>1997</v>
      </c>
      <c r="E18" t="str">
        <f t="shared" si="0"/>
        <v>2|7</v>
      </c>
    </row>
    <row r="19" spans="1:5" ht="15" customHeight="1" x14ac:dyDescent="0.25">
      <c r="A19" t="s">
        <v>60</v>
      </c>
      <c r="B19">
        <v>8</v>
      </c>
      <c r="C19">
        <v>930</v>
      </c>
      <c r="D19">
        <v>1786</v>
      </c>
      <c r="E19" t="str">
        <f t="shared" si="0"/>
        <v>2|8</v>
      </c>
    </row>
    <row r="20" spans="1:5" ht="15" customHeight="1" x14ac:dyDescent="0.25">
      <c r="A20" t="s">
        <v>60</v>
      </c>
      <c r="B20">
        <v>9</v>
      </c>
      <c r="C20">
        <v>149</v>
      </c>
      <c r="E20" t="str">
        <f t="shared" si="0"/>
        <v>2|9</v>
      </c>
    </row>
    <row r="21" spans="1:5" ht="15" customHeight="1" x14ac:dyDescent="0.25">
      <c r="A21" t="s">
        <v>60</v>
      </c>
      <c r="B21">
        <v>10</v>
      </c>
      <c r="C21">
        <v>165</v>
      </c>
      <c r="E21" t="str">
        <f t="shared" si="0"/>
        <v>2|10</v>
      </c>
    </row>
    <row r="22" spans="1:5" ht="15" customHeight="1" x14ac:dyDescent="0.25">
      <c r="A22" t="s">
        <v>62</v>
      </c>
      <c r="B22">
        <v>1</v>
      </c>
      <c r="C22">
        <v>910</v>
      </c>
      <c r="D22">
        <v>1066</v>
      </c>
      <c r="E22" t="str">
        <f t="shared" si="0"/>
        <v>3|1</v>
      </c>
    </row>
    <row r="23" spans="1:5" ht="15" customHeight="1" x14ac:dyDescent="0.25">
      <c r="A23" t="s">
        <v>62</v>
      </c>
      <c r="B23">
        <v>2</v>
      </c>
      <c r="C23">
        <v>752</v>
      </c>
      <c r="D23">
        <v>1636</v>
      </c>
      <c r="E23" t="str">
        <f t="shared" si="0"/>
        <v>3|2</v>
      </c>
    </row>
    <row r="24" spans="1:5" ht="15" customHeight="1" x14ac:dyDescent="0.25">
      <c r="A24" t="s">
        <v>62</v>
      </c>
      <c r="B24">
        <v>3</v>
      </c>
      <c r="C24">
        <v>720</v>
      </c>
      <c r="D24">
        <v>1186</v>
      </c>
      <c r="E24" t="str">
        <f t="shared" si="0"/>
        <v>3|3</v>
      </c>
    </row>
    <row r="25" spans="1:5" ht="15" customHeight="1" x14ac:dyDescent="0.25">
      <c r="A25" t="s">
        <v>62</v>
      </c>
      <c r="B25">
        <v>4</v>
      </c>
      <c r="C25">
        <v>848</v>
      </c>
      <c r="D25">
        <v>2027</v>
      </c>
      <c r="E25" t="str">
        <f t="shared" si="0"/>
        <v>3|4</v>
      </c>
    </row>
    <row r="26" spans="1:5" ht="15" customHeight="1" x14ac:dyDescent="0.25">
      <c r="A26" t="s">
        <v>62</v>
      </c>
      <c r="B26">
        <v>5</v>
      </c>
      <c r="C26">
        <v>600</v>
      </c>
      <c r="D26">
        <v>2027</v>
      </c>
      <c r="E26" t="str">
        <f t="shared" si="0"/>
        <v>3|5</v>
      </c>
    </row>
    <row r="27" spans="1:5" ht="15" customHeight="1" x14ac:dyDescent="0.25">
      <c r="A27" t="s">
        <v>62</v>
      </c>
      <c r="B27">
        <v>6</v>
      </c>
      <c r="C27">
        <v>707</v>
      </c>
      <c r="E27" t="str">
        <f t="shared" si="0"/>
        <v>3|6</v>
      </c>
    </row>
    <row r="28" spans="1:5" ht="15" customHeight="1" x14ac:dyDescent="0.25">
      <c r="A28" t="s">
        <v>62</v>
      </c>
      <c r="B28">
        <v>7</v>
      </c>
      <c r="C28">
        <v>909</v>
      </c>
      <c r="E28" t="str">
        <f t="shared" si="0"/>
        <v>3|7</v>
      </c>
    </row>
    <row r="29" spans="1:5" ht="15" customHeight="1" x14ac:dyDescent="0.25">
      <c r="A29" t="s">
        <v>62</v>
      </c>
      <c r="B29">
        <v>8</v>
      </c>
      <c r="C29">
        <v>858</v>
      </c>
      <c r="E29" t="str">
        <f t="shared" si="0"/>
        <v>3|8</v>
      </c>
    </row>
    <row r="30" spans="1:5" ht="15" customHeight="1" x14ac:dyDescent="0.25">
      <c r="A30" t="s">
        <v>62</v>
      </c>
      <c r="B30">
        <v>9</v>
      </c>
      <c r="C30">
        <v>645</v>
      </c>
      <c r="E30" t="str">
        <f t="shared" si="0"/>
        <v>3|9</v>
      </c>
    </row>
    <row r="31" spans="1:5" ht="15" customHeight="1" x14ac:dyDescent="0.25">
      <c r="A31" t="s">
        <v>62</v>
      </c>
      <c r="B31">
        <v>10</v>
      </c>
      <c r="C31">
        <v>605</v>
      </c>
      <c r="E31" t="str">
        <f t="shared" si="0"/>
        <v>3|10</v>
      </c>
    </row>
    <row r="32" spans="1:5" ht="15" customHeight="1" x14ac:dyDescent="0.25">
      <c r="A32" t="s">
        <v>65</v>
      </c>
      <c r="B32">
        <v>1</v>
      </c>
      <c r="C32">
        <v>1333</v>
      </c>
      <c r="D32">
        <v>1396</v>
      </c>
      <c r="E32" t="str">
        <f t="shared" si="0"/>
        <v>4|1</v>
      </c>
    </row>
    <row r="33" spans="1:5" ht="15" customHeight="1" x14ac:dyDescent="0.25">
      <c r="A33" t="s">
        <v>65</v>
      </c>
      <c r="B33">
        <v>2</v>
      </c>
      <c r="C33">
        <v>1471</v>
      </c>
      <c r="D33">
        <v>1501</v>
      </c>
      <c r="E33" t="str">
        <f t="shared" si="0"/>
        <v>4|2</v>
      </c>
    </row>
    <row r="34" spans="1:5" ht="15" customHeight="1" x14ac:dyDescent="0.25">
      <c r="A34" t="s">
        <v>65</v>
      </c>
      <c r="B34">
        <v>3</v>
      </c>
      <c r="C34">
        <v>1341</v>
      </c>
      <c r="D34">
        <v>1546</v>
      </c>
      <c r="E34" t="str">
        <f t="shared" ref="E34:E61" si="1">A34&amp;"|"&amp;B34</f>
        <v>4|3</v>
      </c>
    </row>
    <row r="35" spans="1:5" ht="15" customHeight="1" x14ac:dyDescent="0.25">
      <c r="A35" t="s">
        <v>65</v>
      </c>
      <c r="B35">
        <v>4</v>
      </c>
      <c r="C35">
        <v>1200</v>
      </c>
      <c r="D35">
        <v>1411</v>
      </c>
      <c r="E35" t="str">
        <f t="shared" si="1"/>
        <v>4|4</v>
      </c>
    </row>
    <row r="36" spans="1:5" ht="15" customHeight="1" x14ac:dyDescent="0.25">
      <c r="A36" t="s">
        <v>65</v>
      </c>
      <c r="B36">
        <v>5</v>
      </c>
      <c r="C36">
        <v>1169</v>
      </c>
      <c r="D36">
        <v>1906</v>
      </c>
      <c r="E36" t="str">
        <f t="shared" si="1"/>
        <v>4|5</v>
      </c>
    </row>
    <row r="37" spans="1:5" ht="15" customHeight="1" x14ac:dyDescent="0.25">
      <c r="A37" t="s">
        <v>65</v>
      </c>
      <c r="B37">
        <v>6</v>
      </c>
      <c r="C37">
        <v>946</v>
      </c>
      <c r="D37">
        <v>1832</v>
      </c>
      <c r="E37" t="str">
        <f t="shared" si="1"/>
        <v>4|6</v>
      </c>
    </row>
    <row r="38" spans="1:5" ht="15" customHeight="1" x14ac:dyDescent="0.25">
      <c r="A38" t="s">
        <v>65</v>
      </c>
      <c r="B38">
        <v>7</v>
      </c>
      <c r="C38">
        <v>763</v>
      </c>
      <c r="E38" t="str">
        <f t="shared" si="1"/>
        <v>4|7</v>
      </c>
    </row>
    <row r="39" spans="1:5" ht="15" customHeight="1" x14ac:dyDescent="0.25">
      <c r="A39" t="s">
        <v>65</v>
      </c>
      <c r="B39">
        <v>8</v>
      </c>
      <c r="C39">
        <v>390</v>
      </c>
      <c r="E39" t="str">
        <f t="shared" si="1"/>
        <v>4|8</v>
      </c>
    </row>
    <row r="40" spans="1:5" ht="15" customHeight="1" x14ac:dyDescent="0.25">
      <c r="A40" t="s">
        <v>65</v>
      </c>
      <c r="B40">
        <v>9</v>
      </c>
      <c r="C40">
        <v>345</v>
      </c>
      <c r="E40" t="str">
        <f t="shared" si="1"/>
        <v>4|9</v>
      </c>
    </row>
    <row r="41" spans="1:5" ht="15" customHeight="1" x14ac:dyDescent="0.25">
      <c r="A41" t="s">
        <v>65</v>
      </c>
      <c r="B41">
        <v>10</v>
      </c>
      <c r="C41">
        <v>165</v>
      </c>
      <c r="E41" t="str">
        <f t="shared" si="1"/>
        <v>4|10</v>
      </c>
    </row>
    <row r="42" spans="1:5" ht="15" customHeight="1" x14ac:dyDescent="0.25">
      <c r="A42" t="s">
        <v>67</v>
      </c>
      <c r="B42">
        <v>1</v>
      </c>
      <c r="C42">
        <v>864</v>
      </c>
      <c r="D42">
        <v>812</v>
      </c>
      <c r="E42" t="str">
        <f t="shared" si="1"/>
        <v>5|1</v>
      </c>
    </row>
    <row r="43" spans="1:5" ht="15" customHeight="1" x14ac:dyDescent="0.25">
      <c r="A43" t="s">
        <v>67</v>
      </c>
      <c r="B43">
        <v>2</v>
      </c>
      <c r="C43">
        <v>421</v>
      </c>
      <c r="D43">
        <v>497</v>
      </c>
      <c r="E43" t="str">
        <f t="shared" si="1"/>
        <v>5|2</v>
      </c>
    </row>
    <row r="44" spans="1:5" ht="15" customHeight="1" x14ac:dyDescent="0.25">
      <c r="A44" t="s">
        <v>67</v>
      </c>
      <c r="B44">
        <v>3</v>
      </c>
      <c r="C44">
        <v>856</v>
      </c>
      <c r="D44">
        <v>797</v>
      </c>
      <c r="E44" t="str">
        <f t="shared" si="1"/>
        <v>5|3</v>
      </c>
    </row>
    <row r="45" spans="1:5" ht="15" customHeight="1" x14ac:dyDescent="0.25">
      <c r="A45" t="s">
        <v>67</v>
      </c>
      <c r="B45">
        <v>4</v>
      </c>
      <c r="C45">
        <v>1164</v>
      </c>
      <c r="D45">
        <v>1171</v>
      </c>
      <c r="E45" t="str">
        <f t="shared" si="1"/>
        <v>5|4</v>
      </c>
    </row>
    <row r="46" spans="1:5" ht="15" customHeight="1" x14ac:dyDescent="0.25">
      <c r="A46" t="s">
        <v>67</v>
      </c>
      <c r="B46">
        <v>5</v>
      </c>
      <c r="C46">
        <v>958</v>
      </c>
      <c r="D46">
        <v>766</v>
      </c>
      <c r="E46" t="str">
        <f t="shared" si="1"/>
        <v>5|5</v>
      </c>
    </row>
    <row r="47" spans="1:5" ht="15" customHeight="1" x14ac:dyDescent="0.25">
      <c r="A47" t="s">
        <v>67</v>
      </c>
      <c r="B47">
        <v>6</v>
      </c>
      <c r="C47">
        <v>524</v>
      </c>
      <c r="D47">
        <v>812</v>
      </c>
      <c r="E47" t="str">
        <f t="shared" si="1"/>
        <v>5|6</v>
      </c>
    </row>
    <row r="48" spans="1:5" ht="15" customHeight="1" x14ac:dyDescent="0.25">
      <c r="A48" t="s">
        <v>67</v>
      </c>
      <c r="B48">
        <v>7</v>
      </c>
      <c r="C48">
        <v>762</v>
      </c>
      <c r="D48">
        <v>1097</v>
      </c>
      <c r="E48" t="str">
        <f t="shared" si="1"/>
        <v>5|7</v>
      </c>
    </row>
    <row r="49" spans="1:5" ht="15" customHeight="1" x14ac:dyDescent="0.25">
      <c r="A49" t="s">
        <v>67</v>
      </c>
      <c r="B49">
        <v>8</v>
      </c>
      <c r="C49">
        <v>405</v>
      </c>
      <c r="D49">
        <v>947</v>
      </c>
      <c r="E49" t="str">
        <f t="shared" si="1"/>
        <v>5|8</v>
      </c>
    </row>
    <row r="50" spans="1:5" ht="15" customHeight="1" x14ac:dyDescent="0.25">
      <c r="A50" t="s">
        <v>67</v>
      </c>
      <c r="B50">
        <v>9</v>
      </c>
      <c r="C50">
        <v>1137</v>
      </c>
      <c r="D50">
        <v>1456</v>
      </c>
      <c r="E50" t="str">
        <f t="shared" si="1"/>
        <v>5|9</v>
      </c>
    </row>
    <row r="51" spans="1:5" ht="15" customHeight="1" x14ac:dyDescent="0.25">
      <c r="A51" t="s">
        <v>67</v>
      </c>
      <c r="B51">
        <v>10</v>
      </c>
      <c r="C51">
        <v>915</v>
      </c>
      <c r="D51">
        <v>1456</v>
      </c>
      <c r="E51" t="str">
        <f t="shared" si="1"/>
        <v>5|10</v>
      </c>
    </row>
    <row r="52" spans="1:5" ht="15" customHeight="1" x14ac:dyDescent="0.25">
      <c r="A52" t="s">
        <v>69</v>
      </c>
      <c r="B52">
        <v>1</v>
      </c>
      <c r="C52">
        <v>435</v>
      </c>
      <c r="D52">
        <v>691</v>
      </c>
      <c r="E52" t="str">
        <f t="shared" si="1"/>
        <v>6|1</v>
      </c>
    </row>
    <row r="53" spans="1:5" ht="15" customHeight="1" x14ac:dyDescent="0.25">
      <c r="A53" t="s">
        <v>69</v>
      </c>
      <c r="B53">
        <v>2</v>
      </c>
      <c r="C53">
        <v>708</v>
      </c>
      <c r="D53">
        <v>737</v>
      </c>
      <c r="E53" t="str">
        <f t="shared" si="1"/>
        <v>6|2</v>
      </c>
    </row>
    <row r="54" spans="1:5" ht="15" customHeight="1" x14ac:dyDescent="0.25">
      <c r="A54" t="s">
        <v>69</v>
      </c>
      <c r="B54">
        <v>3</v>
      </c>
      <c r="C54">
        <v>1102</v>
      </c>
      <c r="D54">
        <v>1397</v>
      </c>
      <c r="E54" t="str">
        <f t="shared" si="1"/>
        <v>6|3</v>
      </c>
    </row>
    <row r="55" spans="1:5" ht="15" customHeight="1" x14ac:dyDescent="0.25">
      <c r="A55" t="s">
        <v>69</v>
      </c>
      <c r="B55">
        <v>4</v>
      </c>
      <c r="C55">
        <v>426</v>
      </c>
      <c r="D55">
        <v>669</v>
      </c>
      <c r="E55" t="str">
        <f t="shared" si="1"/>
        <v>6|4</v>
      </c>
    </row>
    <row r="56" spans="1:5" ht="15" customHeight="1" x14ac:dyDescent="0.25">
      <c r="A56" t="s">
        <v>69</v>
      </c>
      <c r="B56">
        <v>5</v>
      </c>
      <c r="C56">
        <v>516</v>
      </c>
      <c r="D56">
        <v>1036</v>
      </c>
      <c r="E56" t="str">
        <f t="shared" si="1"/>
        <v>6|5</v>
      </c>
    </row>
    <row r="57" spans="1:5" ht="15" customHeight="1" x14ac:dyDescent="0.25">
      <c r="A57" t="s">
        <v>69</v>
      </c>
      <c r="B57">
        <v>6</v>
      </c>
      <c r="C57">
        <v>889</v>
      </c>
      <c r="D57">
        <v>1396</v>
      </c>
      <c r="E57" t="str">
        <f t="shared" si="1"/>
        <v>6|6</v>
      </c>
    </row>
    <row r="58" spans="1:5" ht="15" customHeight="1" x14ac:dyDescent="0.25">
      <c r="A58" t="s">
        <v>69</v>
      </c>
      <c r="B58">
        <v>7</v>
      </c>
      <c r="C58">
        <v>495</v>
      </c>
      <c r="D58">
        <v>1456</v>
      </c>
      <c r="E58" t="str">
        <f t="shared" si="1"/>
        <v>6|7</v>
      </c>
    </row>
    <row r="59" spans="1:5" ht="15" customHeight="1" x14ac:dyDescent="0.25">
      <c r="A59" t="s">
        <v>69</v>
      </c>
      <c r="B59">
        <v>8</v>
      </c>
      <c r="C59">
        <v>1011</v>
      </c>
      <c r="E59" t="str">
        <f t="shared" si="1"/>
        <v>6|8</v>
      </c>
    </row>
    <row r="60" spans="1:5" ht="15" customHeight="1" x14ac:dyDescent="0.25">
      <c r="A60" t="s">
        <v>69</v>
      </c>
      <c r="B60">
        <v>9</v>
      </c>
      <c r="C60">
        <v>660</v>
      </c>
      <c r="D60">
        <v>1546</v>
      </c>
      <c r="E60" t="str">
        <f t="shared" si="1"/>
        <v>6|9</v>
      </c>
    </row>
    <row r="61" spans="1:5" ht="15" customHeight="1" x14ac:dyDescent="0.25">
      <c r="A61" t="s">
        <v>69</v>
      </c>
      <c r="B61">
        <v>10</v>
      </c>
      <c r="C61">
        <v>463</v>
      </c>
      <c r="E61" t="str">
        <f t="shared" si="1"/>
        <v>6|10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8E6BB0"/>
  </sheetPr>
  <dimension ref="A1:F28"/>
  <sheetViews>
    <sheetView zoomScaleNormal="100" workbookViewId="0">
      <pane ySplit="1" topLeftCell="A2" activePane="bottomLeft" state="frozen"/>
      <selection pane="bottomLeft" activeCell="G1" sqref="G1:G1048576"/>
    </sheetView>
  </sheetViews>
  <sheetFormatPr baseColWidth="10" defaultColWidth="9.140625" defaultRowHeight="15" x14ac:dyDescent="0.25"/>
  <cols>
    <col min="1" max="1" width="10" customWidth="1"/>
    <col min="2" max="2" width="15" customWidth="1"/>
    <col min="3" max="3" width="16" customWidth="1"/>
    <col min="4" max="5" width="14" customWidth="1"/>
    <col min="6" max="6" width="12" customWidth="1"/>
    <col min="7" max="8" width="24" customWidth="1"/>
  </cols>
  <sheetData>
    <row r="1" spans="1:6" ht="15" customHeight="1" x14ac:dyDescent="0.25">
      <c r="A1" s="13" t="s">
        <v>10</v>
      </c>
      <c r="B1" s="13" t="s">
        <v>343</v>
      </c>
      <c r="C1" s="13" t="s">
        <v>271</v>
      </c>
      <c r="D1" s="13" t="s">
        <v>1366</v>
      </c>
      <c r="E1" s="13" t="s">
        <v>1367</v>
      </c>
      <c r="F1" s="13" t="s">
        <v>1368</v>
      </c>
    </row>
    <row r="2" spans="1:6" ht="15" customHeight="1" x14ac:dyDescent="0.25">
      <c r="A2">
        <v>1</v>
      </c>
      <c r="B2" t="s">
        <v>347</v>
      </c>
      <c r="C2" t="str">
        <f t="shared" ref="C2:C28" si="0">A2&amp;"|"&amp;B2</f>
        <v>1|ws-03_S1toS4</v>
      </c>
      <c r="D2" s="9">
        <v>2416</v>
      </c>
      <c r="E2">
        <v>1988</v>
      </c>
      <c r="F2" s="3">
        <v>82.284768211920493</v>
      </c>
    </row>
    <row r="3" spans="1:6" ht="15" customHeight="1" x14ac:dyDescent="0.25">
      <c r="A3">
        <v>1</v>
      </c>
      <c r="B3" t="s">
        <v>348</v>
      </c>
      <c r="C3" t="str">
        <f t="shared" si="0"/>
        <v>1|ws-04_S5S7</v>
      </c>
      <c r="D3" s="9">
        <v>2416</v>
      </c>
      <c r="E3">
        <v>756</v>
      </c>
      <c r="F3" s="3">
        <v>31.291390728476799</v>
      </c>
    </row>
    <row r="4" spans="1:6" ht="15" customHeight="1" x14ac:dyDescent="0.25">
      <c r="A4">
        <v>1</v>
      </c>
      <c r="B4" t="s">
        <v>349</v>
      </c>
      <c r="C4" t="str">
        <f t="shared" si="0"/>
        <v>1|ws-05_S6S8</v>
      </c>
      <c r="D4" s="9">
        <v>2416</v>
      </c>
      <c r="E4">
        <v>1290</v>
      </c>
      <c r="F4" s="3">
        <v>53.394039735099298</v>
      </c>
    </row>
    <row r="5" spans="1:6" ht="15" customHeight="1" x14ac:dyDescent="0.25">
      <c r="A5">
        <v>2</v>
      </c>
      <c r="B5" t="s">
        <v>350</v>
      </c>
      <c r="C5" t="str">
        <f t="shared" si="0"/>
        <v>2|ws-01_S1toS8</v>
      </c>
      <c r="D5" s="9">
        <v>2416</v>
      </c>
      <c r="E5">
        <v>1906</v>
      </c>
      <c r="F5" s="3">
        <v>78.890728476821195</v>
      </c>
    </row>
    <row r="6" spans="1:6" ht="15" customHeight="1" x14ac:dyDescent="0.25">
      <c r="A6">
        <v>2</v>
      </c>
      <c r="B6" t="s">
        <v>351</v>
      </c>
      <c r="C6" t="str">
        <f t="shared" si="0"/>
        <v>2|ws-02_S1toS8</v>
      </c>
      <c r="D6" s="9">
        <v>2416</v>
      </c>
      <c r="E6">
        <v>2221</v>
      </c>
      <c r="F6" s="3">
        <v>91.928807947019905</v>
      </c>
    </row>
    <row r="7" spans="1:6" ht="15" customHeight="1" x14ac:dyDescent="0.25">
      <c r="A7">
        <v>2</v>
      </c>
      <c r="B7" t="s">
        <v>352</v>
      </c>
      <c r="C7" t="str">
        <f t="shared" si="0"/>
        <v>2|ws-03_S1toS8</v>
      </c>
      <c r="D7" s="9">
        <v>2416</v>
      </c>
      <c r="E7">
        <v>2248</v>
      </c>
      <c r="F7" s="3">
        <v>93.046357615893996</v>
      </c>
    </row>
    <row r="8" spans="1:6" ht="15" customHeight="1" x14ac:dyDescent="0.25">
      <c r="A8">
        <v>2</v>
      </c>
      <c r="B8" t="s">
        <v>353</v>
      </c>
      <c r="C8" t="str">
        <f t="shared" si="0"/>
        <v>2|ws-04_S1toS8</v>
      </c>
      <c r="D8" s="9">
        <v>2416</v>
      </c>
      <c r="E8">
        <v>2371</v>
      </c>
      <c r="F8" s="3">
        <v>98.137417218543106</v>
      </c>
    </row>
    <row r="9" spans="1:6" ht="15" customHeight="1" x14ac:dyDescent="0.25">
      <c r="A9">
        <v>3</v>
      </c>
      <c r="B9" t="s">
        <v>354</v>
      </c>
      <c r="C9" t="str">
        <f t="shared" si="0"/>
        <v>3|ws-01_S1S2</v>
      </c>
      <c r="D9" s="9">
        <v>2387</v>
      </c>
      <c r="E9">
        <v>1171</v>
      </c>
      <c r="F9" s="3">
        <v>49.0573942186845</v>
      </c>
    </row>
    <row r="10" spans="1:6" ht="15" customHeight="1" x14ac:dyDescent="0.25">
      <c r="A10">
        <v>3</v>
      </c>
      <c r="B10" t="s">
        <v>355</v>
      </c>
      <c r="C10" t="str">
        <f t="shared" si="0"/>
        <v>3|ws-02_S3S4</v>
      </c>
      <c r="D10" s="9">
        <v>2387</v>
      </c>
      <c r="E10">
        <v>1875</v>
      </c>
      <c r="F10" s="3">
        <v>78.550481776288194</v>
      </c>
    </row>
    <row r="11" spans="1:6" ht="15" customHeight="1" x14ac:dyDescent="0.25">
      <c r="A11">
        <v>3</v>
      </c>
      <c r="B11" t="s">
        <v>356</v>
      </c>
      <c r="C11" t="str">
        <f t="shared" si="0"/>
        <v>3|ws-03_S5</v>
      </c>
      <c r="D11" s="9">
        <v>2387</v>
      </c>
      <c r="E11">
        <v>1173</v>
      </c>
      <c r="F11" s="3">
        <v>49.141181399245902</v>
      </c>
    </row>
    <row r="12" spans="1:6" ht="15" customHeight="1" x14ac:dyDescent="0.25">
      <c r="A12">
        <v>3</v>
      </c>
      <c r="B12" t="s">
        <v>357</v>
      </c>
      <c r="C12" t="str">
        <f t="shared" si="0"/>
        <v>3|ws-04_S7</v>
      </c>
      <c r="D12" s="9">
        <v>2387</v>
      </c>
      <c r="E12">
        <v>1379</v>
      </c>
      <c r="F12" s="3">
        <v>57.7712609970675</v>
      </c>
    </row>
    <row r="13" spans="1:6" ht="15" customHeight="1" x14ac:dyDescent="0.25">
      <c r="A13">
        <v>3</v>
      </c>
      <c r="B13" t="s">
        <v>349</v>
      </c>
      <c r="C13" t="str">
        <f t="shared" si="0"/>
        <v>3|ws-05_S6S8</v>
      </c>
      <c r="D13" s="9">
        <v>2387</v>
      </c>
      <c r="E13">
        <v>1600</v>
      </c>
      <c r="F13" s="3">
        <v>67.029744449099297</v>
      </c>
    </row>
    <row r="14" spans="1:6" ht="15" customHeight="1" x14ac:dyDescent="0.25">
      <c r="A14">
        <v>4</v>
      </c>
      <c r="B14" t="s">
        <v>359</v>
      </c>
      <c r="C14" t="str">
        <f t="shared" si="0"/>
        <v>4|ws-01_S1toS4</v>
      </c>
      <c r="D14" s="9">
        <v>2461</v>
      </c>
      <c r="E14">
        <v>2293</v>
      </c>
      <c r="F14" s="3">
        <v>93.173506704591603</v>
      </c>
    </row>
    <row r="15" spans="1:6" ht="15" customHeight="1" x14ac:dyDescent="0.25">
      <c r="A15">
        <v>4</v>
      </c>
      <c r="B15" t="s">
        <v>360</v>
      </c>
      <c r="C15" t="str">
        <f t="shared" si="0"/>
        <v>4|ws-02_S1toS4</v>
      </c>
      <c r="D15" s="9">
        <v>2461</v>
      </c>
      <c r="E15">
        <v>2190</v>
      </c>
      <c r="F15" s="3">
        <v>88.988216172287693</v>
      </c>
    </row>
    <row r="16" spans="1:6" ht="15" customHeight="1" x14ac:dyDescent="0.25">
      <c r="A16">
        <v>4</v>
      </c>
      <c r="B16" t="s">
        <v>361</v>
      </c>
      <c r="C16" t="str">
        <f t="shared" si="0"/>
        <v>4|ws-03_S5toS8</v>
      </c>
      <c r="D16" s="9">
        <v>2461</v>
      </c>
      <c r="E16">
        <v>1246</v>
      </c>
      <c r="F16" s="3">
        <v>50.629825274278801</v>
      </c>
    </row>
    <row r="17" spans="1:6" ht="15" customHeight="1" x14ac:dyDescent="0.25">
      <c r="A17">
        <v>4</v>
      </c>
      <c r="B17" t="s">
        <v>362</v>
      </c>
      <c r="C17" t="str">
        <f t="shared" si="0"/>
        <v>4|ws-04_S5toS8</v>
      </c>
      <c r="D17" s="9">
        <v>2461</v>
      </c>
      <c r="E17">
        <v>1620</v>
      </c>
      <c r="F17" s="3">
        <v>65.826899634295003</v>
      </c>
    </row>
    <row r="18" spans="1:6" ht="15" customHeight="1" x14ac:dyDescent="0.25">
      <c r="A18">
        <v>4</v>
      </c>
      <c r="B18" t="s">
        <v>363</v>
      </c>
      <c r="C18" t="str">
        <f t="shared" si="0"/>
        <v>4|ws-05_S5toS8</v>
      </c>
      <c r="D18" s="9">
        <v>2461</v>
      </c>
      <c r="E18">
        <v>1364</v>
      </c>
      <c r="F18" s="3">
        <v>55.4246241365299</v>
      </c>
    </row>
    <row r="19" spans="1:6" ht="15" customHeight="1" x14ac:dyDescent="0.25">
      <c r="A19">
        <v>5</v>
      </c>
      <c r="B19" t="s">
        <v>350</v>
      </c>
      <c r="C19" t="str">
        <f t="shared" si="0"/>
        <v>5|ws-01_S1toS8</v>
      </c>
      <c r="D19" s="9">
        <v>2146</v>
      </c>
      <c r="E19">
        <v>1950</v>
      </c>
      <c r="F19" s="3">
        <v>90.866728797763301</v>
      </c>
    </row>
    <row r="20" spans="1:6" ht="15" customHeight="1" x14ac:dyDescent="0.25">
      <c r="A20">
        <v>5</v>
      </c>
      <c r="B20" t="s">
        <v>351</v>
      </c>
      <c r="C20" t="str">
        <f t="shared" si="0"/>
        <v>5|ws-02_S1toS8</v>
      </c>
      <c r="D20" s="9">
        <v>2146</v>
      </c>
      <c r="E20">
        <v>1201</v>
      </c>
      <c r="F20" s="3">
        <v>55.964585274930101</v>
      </c>
    </row>
    <row r="21" spans="1:6" ht="15" customHeight="1" x14ac:dyDescent="0.25">
      <c r="A21">
        <v>5</v>
      </c>
      <c r="B21" t="s">
        <v>352</v>
      </c>
      <c r="C21" t="str">
        <f t="shared" si="0"/>
        <v>5|ws-03_S1toS8</v>
      </c>
      <c r="D21" s="9">
        <v>2146</v>
      </c>
      <c r="E21">
        <v>1486</v>
      </c>
      <c r="F21" s="3">
        <v>69.245107176141701</v>
      </c>
    </row>
    <row r="22" spans="1:6" ht="15" customHeight="1" x14ac:dyDescent="0.25">
      <c r="A22">
        <v>5</v>
      </c>
      <c r="B22" t="s">
        <v>353</v>
      </c>
      <c r="C22" t="str">
        <f t="shared" si="0"/>
        <v>5|ws-04_S1toS8</v>
      </c>
      <c r="D22" s="9">
        <v>2146</v>
      </c>
      <c r="E22">
        <v>1155</v>
      </c>
      <c r="F22" s="3">
        <v>53.821062441752098</v>
      </c>
    </row>
    <row r="23" spans="1:6" ht="15" customHeight="1" x14ac:dyDescent="0.25">
      <c r="A23">
        <v>5</v>
      </c>
      <c r="B23" t="s">
        <v>364</v>
      </c>
      <c r="C23" t="str">
        <f t="shared" si="0"/>
        <v>5|ws-05_S1toS8</v>
      </c>
      <c r="D23" s="9">
        <v>2146</v>
      </c>
      <c r="E23">
        <v>1665</v>
      </c>
      <c r="F23" s="3">
        <v>77.586206896551701</v>
      </c>
    </row>
    <row r="24" spans="1:6" ht="15" customHeight="1" x14ac:dyDescent="0.25">
      <c r="A24">
        <v>6</v>
      </c>
      <c r="B24" t="s">
        <v>354</v>
      </c>
      <c r="C24" t="str">
        <f t="shared" si="0"/>
        <v>6|ws-01_S1S2</v>
      </c>
      <c r="D24" s="9">
        <v>2401</v>
      </c>
      <c r="E24">
        <v>990</v>
      </c>
      <c r="F24" s="3">
        <v>41.232819658475599</v>
      </c>
    </row>
    <row r="25" spans="1:6" ht="15" customHeight="1" x14ac:dyDescent="0.25">
      <c r="A25">
        <v>6</v>
      </c>
      <c r="B25" t="s">
        <v>355</v>
      </c>
      <c r="C25" t="str">
        <f t="shared" si="0"/>
        <v>6|ws-02_S3S4</v>
      </c>
      <c r="D25" s="9">
        <v>2401</v>
      </c>
      <c r="E25">
        <v>2009</v>
      </c>
      <c r="F25" s="3">
        <v>83.673469387755105</v>
      </c>
    </row>
    <row r="26" spans="1:6" ht="15" customHeight="1" x14ac:dyDescent="0.25">
      <c r="A26">
        <v>6</v>
      </c>
      <c r="B26" t="s">
        <v>356</v>
      </c>
      <c r="C26" t="str">
        <f t="shared" si="0"/>
        <v>6|ws-03_S5</v>
      </c>
      <c r="D26" s="9">
        <v>2401</v>
      </c>
      <c r="E26">
        <v>495</v>
      </c>
      <c r="F26" s="3">
        <v>20.616409829237799</v>
      </c>
    </row>
    <row r="27" spans="1:6" ht="15" customHeight="1" x14ac:dyDescent="0.25">
      <c r="A27">
        <v>6</v>
      </c>
      <c r="B27" t="s">
        <v>357</v>
      </c>
      <c r="C27" t="str">
        <f t="shared" si="0"/>
        <v>6|ws-04_S7</v>
      </c>
      <c r="D27" s="9">
        <v>2401</v>
      </c>
      <c r="E27">
        <v>1304</v>
      </c>
      <c r="F27" s="3">
        <v>54.310703873386103</v>
      </c>
    </row>
    <row r="28" spans="1:6" ht="15" customHeight="1" x14ac:dyDescent="0.25">
      <c r="A28">
        <v>6</v>
      </c>
      <c r="B28" t="s">
        <v>349</v>
      </c>
      <c r="C28" t="str">
        <f t="shared" si="0"/>
        <v>6|ws-05_S6S8</v>
      </c>
      <c r="D28" s="9">
        <v>2401</v>
      </c>
      <c r="E28">
        <v>1604</v>
      </c>
      <c r="F28" s="3">
        <v>66.805497709287806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8E6BB0"/>
  </sheetPr>
  <dimension ref="A1:I62"/>
  <sheetViews>
    <sheetView zoomScaleNormal="100" workbookViewId="0">
      <pane ySplit="1" topLeftCell="A2" activePane="bottomLeft" state="frozen"/>
      <selection pane="bottomLeft" activeCell="J1" sqref="J1:J1048576"/>
    </sheetView>
  </sheetViews>
  <sheetFormatPr baseColWidth="10" defaultColWidth="9.140625" defaultRowHeight="15" x14ac:dyDescent="0.25"/>
  <cols>
    <col min="1" max="2" width="12" customWidth="1"/>
    <col min="3" max="3" width="15" customWidth="1"/>
    <col min="4" max="4" width="12" customWidth="1"/>
    <col min="5" max="5" width="32.7109375" customWidth="1"/>
    <col min="6" max="6" width="12" customWidth="1"/>
    <col min="7" max="8" width="15" customWidth="1"/>
    <col min="9" max="9" width="15" bestFit="1" customWidth="1"/>
  </cols>
  <sheetData>
    <row r="1" spans="1:9" ht="15" customHeight="1" x14ac:dyDescent="0.25">
      <c r="A1" s="13" t="s">
        <v>10</v>
      </c>
      <c r="B1" s="13" t="s">
        <v>1369</v>
      </c>
      <c r="C1" s="13" t="s">
        <v>1370</v>
      </c>
      <c r="D1" s="13" t="s">
        <v>81</v>
      </c>
      <c r="E1" s="13" t="s">
        <v>1371</v>
      </c>
      <c r="F1" s="13" t="s">
        <v>1372</v>
      </c>
      <c r="G1" s="13" t="s">
        <v>1373</v>
      </c>
      <c r="H1" s="13" t="s">
        <v>54</v>
      </c>
      <c r="I1" s="2" t="s">
        <v>271</v>
      </c>
    </row>
    <row r="2" spans="1:9" ht="15" customHeight="1" x14ac:dyDescent="0.25">
      <c r="A2">
        <v>1</v>
      </c>
      <c r="B2" t="s">
        <v>1374</v>
      </c>
      <c r="C2" t="s">
        <v>1375</v>
      </c>
      <c r="D2" t="s">
        <v>1375</v>
      </c>
      <c r="E2" t="s">
        <v>1376</v>
      </c>
      <c r="F2" t="s">
        <v>1377</v>
      </c>
      <c r="G2">
        <v>8</v>
      </c>
      <c r="H2">
        <v>16</v>
      </c>
      <c r="I2" t="str">
        <f t="shared" ref="I2:I33" si="0">A2&amp;"|"&amp;B2&amp;"|"&amp;D2</f>
        <v>1|a|BOSP</v>
      </c>
    </row>
    <row r="3" spans="1:9" ht="15" customHeight="1" x14ac:dyDescent="0.25">
      <c r="A3">
        <v>1</v>
      </c>
      <c r="B3" t="s">
        <v>1374</v>
      </c>
      <c r="C3" t="s">
        <v>1378</v>
      </c>
      <c r="D3" t="s">
        <v>1378</v>
      </c>
      <c r="E3" t="s">
        <v>1379</v>
      </c>
      <c r="F3" t="s">
        <v>60</v>
      </c>
      <c r="G3">
        <v>10</v>
      </c>
      <c r="H3">
        <v>20</v>
      </c>
      <c r="I3" t="str">
        <f t="shared" si="0"/>
        <v>1|a|RT</v>
      </c>
    </row>
    <row r="4" spans="1:9" ht="15" customHeight="1" x14ac:dyDescent="0.25">
      <c r="A4">
        <v>1</v>
      </c>
      <c r="B4" t="s">
        <v>1374</v>
      </c>
      <c r="C4" t="s">
        <v>1380</v>
      </c>
      <c r="D4" t="s">
        <v>1380</v>
      </c>
      <c r="E4" t="s">
        <v>1381</v>
      </c>
      <c r="F4" t="s">
        <v>60</v>
      </c>
      <c r="G4">
        <v>4</v>
      </c>
      <c r="H4">
        <v>8</v>
      </c>
      <c r="I4" t="str">
        <f t="shared" si="0"/>
        <v>1|a|FT</v>
      </c>
    </row>
    <row r="5" spans="1:9" ht="15" customHeight="1" x14ac:dyDescent="0.25">
      <c r="A5">
        <v>1</v>
      </c>
      <c r="B5" t="s">
        <v>1374</v>
      </c>
      <c r="C5" t="s">
        <v>1382</v>
      </c>
      <c r="D5" t="s">
        <v>1382</v>
      </c>
      <c r="E5" t="s">
        <v>1383</v>
      </c>
      <c r="F5" t="s">
        <v>58</v>
      </c>
      <c r="G5">
        <v>2</v>
      </c>
      <c r="H5">
        <v>2</v>
      </c>
      <c r="I5" t="str">
        <f t="shared" si="0"/>
        <v>1|a|BAT</v>
      </c>
    </row>
    <row r="6" spans="1:9" ht="15" customHeight="1" x14ac:dyDescent="0.25">
      <c r="A6">
        <v>1</v>
      </c>
      <c r="B6" t="s">
        <v>1374</v>
      </c>
      <c r="C6" t="s">
        <v>1384</v>
      </c>
      <c r="D6" t="s">
        <v>1385</v>
      </c>
      <c r="E6" t="s">
        <v>1386</v>
      </c>
      <c r="F6" t="s">
        <v>58</v>
      </c>
      <c r="G6">
        <v>6</v>
      </c>
      <c r="H6">
        <v>6</v>
      </c>
      <c r="I6" t="str">
        <f t="shared" si="0"/>
        <v>1|a|CHS</v>
      </c>
    </row>
    <row r="7" spans="1:9" ht="15" customHeight="1" x14ac:dyDescent="0.25">
      <c r="A7">
        <v>1</v>
      </c>
      <c r="B7" t="s">
        <v>1374</v>
      </c>
      <c r="C7" t="s">
        <v>1387</v>
      </c>
      <c r="D7" t="s">
        <v>1387</v>
      </c>
      <c r="E7" t="s">
        <v>1388</v>
      </c>
      <c r="F7" t="s">
        <v>60</v>
      </c>
      <c r="G7">
        <v>8</v>
      </c>
      <c r="H7">
        <v>16</v>
      </c>
      <c r="I7" t="str">
        <f t="shared" si="0"/>
        <v>1|a|BSA</v>
      </c>
    </row>
    <row r="8" spans="1:9" ht="15" customHeight="1" x14ac:dyDescent="0.25">
      <c r="A8">
        <v>1</v>
      </c>
      <c r="B8" t="s">
        <v>1374</v>
      </c>
      <c r="C8" t="s">
        <v>1389</v>
      </c>
      <c r="D8" t="s">
        <v>1389</v>
      </c>
      <c r="E8" t="s">
        <v>1390</v>
      </c>
      <c r="F8" t="s">
        <v>60</v>
      </c>
      <c r="G8">
        <v>2</v>
      </c>
      <c r="H8">
        <v>4</v>
      </c>
      <c r="I8" t="str">
        <f t="shared" si="0"/>
        <v>1|a|SSA</v>
      </c>
    </row>
    <row r="9" spans="1:9" ht="15" customHeight="1" x14ac:dyDescent="0.25">
      <c r="A9">
        <v>1</v>
      </c>
      <c r="B9" t="s">
        <v>1391</v>
      </c>
      <c r="C9" t="s">
        <v>1392</v>
      </c>
      <c r="D9" t="s">
        <v>1393</v>
      </c>
      <c r="E9" t="s">
        <v>1394</v>
      </c>
      <c r="F9" t="s">
        <v>58</v>
      </c>
      <c r="G9">
        <v>6</v>
      </c>
      <c r="H9">
        <v>6</v>
      </c>
      <c r="I9" t="str">
        <f t="shared" si="0"/>
        <v>1|b|RAX_RD</v>
      </c>
    </row>
    <row r="10" spans="1:9" ht="15" customHeight="1" x14ac:dyDescent="0.25">
      <c r="A10">
        <v>1</v>
      </c>
      <c r="B10" t="s">
        <v>1391</v>
      </c>
      <c r="C10" t="s">
        <v>1395</v>
      </c>
      <c r="D10" t="s">
        <v>1396</v>
      </c>
      <c r="E10" t="s">
        <v>1397</v>
      </c>
      <c r="F10" t="s">
        <v>58</v>
      </c>
      <c r="G10">
        <v>2</v>
      </c>
      <c r="H10">
        <v>2</v>
      </c>
      <c r="I10" t="str">
        <f t="shared" si="0"/>
        <v>1|b|CRE</v>
      </c>
    </row>
    <row r="11" spans="1:9" ht="15" customHeight="1" x14ac:dyDescent="0.25">
      <c r="A11">
        <v>1</v>
      </c>
      <c r="B11" t="s">
        <v>1391</v>
      </c>
      <c r="C11" t="s">
        <v>1398</v>
      </c>
      <c r="D11" t="s">
        <v>1399</v>
      </c>
      <c r="E11" t="s">
        <v>1400</v>
      </c>
      <c r="F11" t="s">
        <v>58</v>
      </c>
      <c r="G11">
        <v>2</v>
      </c>
      <c r="H11">
        <v>2</v>
      </c>
      <c r="I11" t="str">
        <f t="shared" si="0"/>
        <v>1|b|CSEB-NABS</v>
      </c>
    </row>
    <row r="12" spans="1:9" ht="15" customHeight="1" x14ac:dyDescent="0.25">
      <c r="A12">
        <v>2</v>
      </c>
      <c r="B12" t="s">
        <v>1374</v>
      </c>
      <c r="C12" t="s">
        <v>1375</v>
      </c>
      <c r="D12" t="s">
        <v>1375</v>
      </c>
      <c r="E12" t="s">
        <v>1376</v>
      </c>
      <c r="F12" t="s">
        <v>1377</v>
      </c>
      <c r="G12">
        <v>10</v>
      </c>
      <c r="H12">
        <v>20</v>
      </c>
      <c r="I12" t="str">
        <f t="shared" si="0"/>
        <v>2|a|BOSP</v>
      </c>
    </row>
    <row r="13" spans="1:9" ht="15" customHeight="1" x14ac:dyDescent="0.25">
      <c r="A13">
        <v>2</v>
      </c>
      <c r="B13" t="s">
        <v>1374</v>
      </c>
      <c r="C13" t="s">
        <v>1382</v>
      </c>
      <c r="D13" t="s">
        <v>1382</v>
      </c>
      <c r="E13" t="s">
        <v>1383</v>
      </c>
      <c r="F13" t="s">
        <v>58</v>
      </c>
      <c r="G13">
        <v>10</v>
      </c>
      <c r="H13">
        <v>10</v>
      </c>
      <c r="I13" t="str">
        <f t="shared" si="0"/>
        <v>2|a|BAT</v>
      </c>
    </row>
    <row r="14" spans="1:9" ht="15" customHeight="1" x14ac:dyDescent="0.25">
      <c r="A14">
        <v>2</v>
      </c>
      <c r="B14" t="s">
        <v>1374</v>
      </c>
      <c r="C14" t="s">
        <v>1378</v>
      </c>
      <c r="D14" t="s">
        <v>1378</v>
      </c>
      <c r="E14" t="s">
        <v>1379</v>
      </c>
      <c r="F14" t="s">
        <v>60</v>
      </c>
      <c r="G14">
        <v>8</v>
      </c>
      <c r="H14">
        <v>16</v>
      </c>
      <c r="I14" t="str">
        <f t="shared" si="0"/>
        <v>2|a|RT</v>
      </c>
    </row>
    <row r="15" spans="1:9" ht="15" customHeight="1" x14ac:dyDescent="0.25">
      <c r="A15">
        <v>2</v>
      </c>
      <c r="B15" t="s">
        <v>1374</v>
      </c>
      <c r="C15" t="s">
        <v>1380</v>
      </c>
      <c r="D15" t="s">
        <v>1380</v>
      </c>
      <c r="E15" t="s">
        <v>1381</v>
      </c>
      <c r="F15" t="s">
        <v>60</v>
      </c>
      <c r="G15">
        <v>8</v>
      </c>
      <c r="H15">
        <v>16</v>
      </c>
      <c r="I15" t="str">
        <f t="shared" si="0"/>
        <v>2|a|FT</v>
      </c>
    </row>
    <row r="16" spans="1:9" ht="15" customHeight="1" x14ac:dyDescent="0.25">
      <c r="A16">
        <v>2</v>
      </c>
      <c r="B16" t="s">
        <v>1374</v>
      </c>
      <c r="C16" t="s">
        <v>1389</v>
      </c>
      <c r="D16" t="s">
        <v>1389</v>
      </c>
      <c r="E16" t="s">
        <v>1390</v>
      </c>
      <c r="F16" t="s">
        <v>60</v>
      </c>
      <c r="G16">
        <v>8</v>
      </c>
      <c r="H16">
        <v>16</v>
      </c>
      <c r="I16" t="str">
        <f t="shared" si="0"/>
        <v>2|a|SSA</v>
      </c>
    </row>
    <row r="17" spans="1:9" ht="15" customHeight="1" x14ac:dyDescent="0.25">
      <c r="A17">
        <v>2</v>
      </c>
      <c r="B17" t="s">
        <v>1374</v>
      </c>
      <c r="C17" t="s">
        <v>1401</v>
      </c>
      <c r="D17" t="s">
        <v>1401</v>
      </c>
      <c r="E17" t="s">
        <v>1402</v>
      </c>
      <c r="F17" t="s">
        <v>58</v>
      </c>
      <c r="G17">
        <v>8</v>
      </c>
      <c r="H17">
        <v>8</v>
      </c>
      <c r="I17" t="str">
        <f t="shared" si="0"/>
        <v>2|a|FAX</v>
      </c>
    </row>
    <row r="18" spans="1:9" ht="15" customHeight="1" x14ac:dyDescent="0.25">
      <c r="A18">
        <v>2</v>
      </c>
      <c r="B18" t="s">
        <v>1374</v>
      </c>
      <c r="C18" t="s">
        <v>1385</v>
      </c>
      <c r="D18" t="s">
        <v>1385</v>
      </c>
      <c r="E18" t="s">
        <v>1403</v>
      </c>
      <c r="F18" t="s">
        <v>58</v>
      </c>
      <c r="G18">
        <v>8</v>
      </c>
      <c r="H18">
        <v>8</v>
      </c>
      <c r="I18" t="str">
        <f t="shared" si="0"/>
        <v>2|a|CHS</v>
      </c>
    </row>
    <row r="19" spans="1:9" ht="15" customHeight="1" x14ac:dyDescent="0.25">
      <c r="A19">
        <v>2</v>
      </c>
      <c r="B19" t="s">
        <v>1374</v>
      </c>
      <c r="C19" t="s">
        <v>1387</v>
      </c>
      <c r="D19" t="s">
        <v>1387</v>
      </c>
      <c r="E19" t="s">
        <v>1388</v>
      </c>
      <c r="F19" t="s">
        <v>60</v>
      </c>
      <c r="G19">
        <v>8</v>
      </c>
      <c r="H19">
        <v>16</v>
      </c>
      <c r="I19" t="str">
        <f t="shared" si="0"/>
        <v>2|a|BSA</v>
      </c>
    </row>
    <row r="20" spans="1:9" ht="15" customHeight="1" x14ac:dyDescent="0.25">
      <c r="A20">
        <v>2</v>
      </c>
      <c r="B20" t="s">
        <v>1391</v>
      </c>
      <c r="C20" t="s">
        <v>1404</v>
      </c>
      <c r="D20" t="s">
        <v>1405</v>
      </c>
      <c r="E20" t="s">
        <v>1394</v>
      </c>
      <c r="F20" t="s">
        <v>58</v>
      </c>
      <c r="G20">
        <v>8</v>
      </c>
      <c r="H20">
        <v>8</v>
      </c>
      <c r="I20" t="str">
        <f t="shared" si="0"/>
        <v>2|b|RAX_HD</v>
      </c>
    </row>
    <row r="21" spans="1:9" ht="15" customHeight="1" x14ac:dyDescent="0.25">
      <c r="A21">
        <v>3</v>
      </c>
      <c r="B21" t="s">
        <v>1374</v>
      </c>
      <c r="C21" t="s">
        <v>1375</v>
      </c>
      <c r="D21" t="s">
        <v>1375</v>
      </c>
      <c r="E21" t="s">
        <v>1376</v>
      </c>
      <c r="F21" t="s">
        <v>1377</v>
      </c>
      <c r="G21">
        <v>10</v>
      </c>
      <c r="H21">
        <v>20</v>
      </c>
      <c r="I21" t="str">
        <f t="shared" si="0"/>
        <v>3|a|BOSP</v>
      </c>
    </row>
    <row r="22" spans="1:9" ht="15" customHeight="1" x14ac:dyDescent="0.25">
      <c r="A22">
        <v>3</v>
      </c>
      <c r="B22" t="s">
        <v>1374</v>
      </c>
      <c r="C22" t="s">
        <v>1382</v>
      </c>
      <c r="D22" t="s">
        <v>1382</v>
      </c>
      <c r="E22" t="s">
        <v>1383</v>
      </c>
      <c r="F22" t="s">
        <v>58</v>
      </c>
      <c r="G22">
        <v>10</v>
      </c>
      <c r="H22">
        <v>10</v>
      </c>
      <c r="I22" t="str">
        <f t="shared" si="0"/>
        <v>3|a|BAT</v>
      </c>
    </row>
    <row r="23" spans="1:9" ht="15" customHeight="1" x14ac:dyDescent="0.25">
      <c r="A23">
        <v>3</v>
      </c>
      <c r="B23" t="s">
        <v>1374</v>
      </c>
      <c r="C23" t="s">
        <v>1378</v>
      </c>
      <c r="D23" t="s">
        <v>1378</v>
      </c>
      <c r="E23" t="s">
        <v>1379</v>
      </c>
      <c r="F23" t="s">
        <v>60</v>
      </c>
      <c r="G23">
        <v>10</v>
      </c>
      <c r="H23">
        <v>20</v>
      </c>
      <c r="I23" t="str">
        <f t="shared" si="0"/>
        <v>3|a|RT</v>
      </c>
    </row>
    <row r="24" spans="1:9" ht="15" customHeight="1" x14ac:dyDescent="0.25">
      <c r="A24">
        <v>3</v>
      </c>
      <c r="B24" t="s">
        <v>1374</v>
      </c>
      <c r="C24" t="s">
        <v>1380</v>
      </c>
      <c r="D24" t="s">
        <v>1380</v>
      </c>
      <c r="E24" t="s">
        <v>1381</v>
      </c>
      <c r="F24" t="s">
        <v>60</v>
      </c>
      <c r="G24">
        <v>10</v>
      </c>
      <c r="H24">
        <v>20</v>
      </c>
      <c r="I24" t="str">
        <f t="shared" si="0"/>
        <v>3|a|FT</v>
      </c>
    </row>
    <row r="25" spans="1:9" ht="15" customHeight="1" x14ac:dyDescent="0.25">
      <c r="A25">
        <v>3</v>
      </c>
      <c r="B25" t="s">
        <v>1374</v>
      </c>
      <c r="C25" t="s">
        <v>1389</v>
      </c>
      <c r="D25" t="s">
        <v>1389</v>
      </c>
      <c r="E25" t="s">
        <v>1390</v>
      </c>
      <c r="F25" t="s">
        <v>60</v>
      </c>
      <c r="G25">
        <v>9</v>
      </c>
      <c r="H25">
        <v>18</v>
      </c>
      <c r="I25" t="str">
        <f t="shared" si="0"/>
        <v>3|a|SSA</v>
      </c>
    </row>
    <row r="26" spans="1:9" ht="15" customHeight="1" x14ac:dyDescent="0.25">
      <c r="A26">
        <v>3</v>
      </c>
      <c r="B26" t="s">
        <v>1374</v>
      </c>
      <c r="C26" t="s">
        <v>1401</v>
      </c>
      <c r="D26" t="s">
        <v>1401</v>
      </c>
      <c r="E26" t="s">
        <v>1402</v>
      </c>
      <c r="F26">
        <v>1</v>
      </c>
      <c r="G26">
        <v>10</v>
      </c>
      <c r="H26">
        <v>10</v>
      </c>
      <c r="I26" t="str">
        <f t="shared" si="0"/>
        <v>3|a|FAX</v>
      </c>
    </row>
    <row r="27" spans="1:9" ht="15" customHeight="1" x14ac:dyDescent="0.25">
      <c r="A27">
        <v>3</v>
      </c>
      <c r="B27" t="s">
        <v>1374</v>
      </c>
      <c r="C27" t="s">
        <v>1385</v>
      </c>
      <c r="D27" t="s">
        <v>1385</v>
      </c>
      <c r="E27" t="s">
        <v>1403</v>
      </c>
      <c r="F27" t="s">
        <v>58</v>
      </c>
      <c r="G27">
        <v>10</v>
      </c>
      <c r="H27">
        <v>10</v>
      </c>
      <c r="I27" t="str">
        <f t="shared" si="0"/>
        <v>3|a|CHS</v>
      </c>
    </row>
    <row r="28" spans="1:9" ht="15" customHeight="1" x14ac:dyDescent="0.25">
      <c r="A28">
        <v>3</v>
      </c>
      <c r="B28" t="s">
        <v>1374</v>
      </c>
      <c r="C28" t="s">
        <v>1387</v>
      </c>
      <c r="D28" t="s">
        <v>1387</v>
      </c>
      <c r="E28" t="s">
        <v>1388</v>
      </c>
      <c r="F28" t="s">
        <v>60</v>
      </c>
      <c r="G28">
        <v>5</v>
      </c>
      <c r="H28">
        <v>10</v>
      </c>
      <c r="I28" t="str">
        <f t="shared" si="0"/>
        <v>3|a|BSA</v>
      </c>
    </row>
    <row r="29" spans="1:9" ht="15" customHeight="1" x14ac:dyDescent="0.25">
      <c r="A29">
        <v>3</v>
      </c>
      <c r="B29" t="s">
        <v>1391</v>
      </c>
      <c r="C29" t="s">
        <v>1404</v>
      </c>
      <c r="D29" t="s">
        <v>1405</v>
      </c>
      <c r="E29" t="s">
        <v>1394</v>
      </c>
      <c r="F29" t="s">
        <v>58</v>
      </c>
      <c r="G29">
        <v>5</v>
      </c>
      <c r="H29">
        <v>5</v>
      </c>
      <c r="I29" t="str">
        <f t="shared" si="0"/>
        <v>3|b|RAX_HD</v>
      </c>
    </row>
    <row r="30" spans="1:9" ht="15" customHeight="1" x14ac:dyDescent="0.25">
      <c r="A30">
        <v>4</v>
      </c>
      <c r="B30" t="s">
        <v>1374</v>
      </c>
      <c r="C30" t="s">
        <v>1375</v>
      </c>
      <c r="D30" t="s">
        <v>1375</v>
      </c>
      <c r="E30" t="s">
        <v>1376</v>
      </c>
      <c r="F30" t="s">
        <v>1377</v>
      </c>
      <c r="G30">
        <v>10</v>
      </c>
      <c r="H30">
        <v>20</v>
      </c>
      <c r="I30" t="str">
        <f t="shared" si="0"/>
        <v>4|a|BOSP</v>
      </c>
    </row>
    <row r="31" spans="1:9" ht="15" customHeight="1" x14ac:dyDescent="0.25">
      <c r="A31">
        <v>4</v>
      </c>
      <c r="B31" t="s">
        <v>1374</v>
      </c>
      <c r="C31" t="s">
        <v>1382</v>
      </c>
      <c r="D31" t="s">
        <v>1382</v>
      </c>
      <c r="E31" t="s">
        <v>1383</v>
      </c>
      <c r="F31" t="s">
        <v>58</v>
      </c>
      <c r="G31">
        <v>10</v>
      </c>
      <c r="H31">
        <v>10</v>
      </c>
      <c r="I31" t="str">
        <f t="shared" si="0"/>
        <v>4|a|BAT</v>
      </c>
    </row>
    <row r="32" spans="1:9" ht="15" customHeight="1" x14ac:dyDescent="0.25">
      <c r="A32">
        <v>4</v>
      </c>
      <c r="B32" t="s">
        <v>1374</v>
      </c>
      <c r="C32" t="s">
        <v>1378</v>
      </c>
      <c r="D32" t="s">
        <v>1378</v>
      </c>
      <c r="E32" t="s">
        <v>1379</v>
      </c>
      <c r="F32" t="s">
        <v>60</v>
      </c>
      <c r="G32">
        <v>9</v>
      </c>
      <c r="H32">
        <v>18</v>
      </c>
      <c r="I32" t="str">
        <f t="shared" si="0"/>
        <v>4|a|RT</v>
      </c>
    </row>
    <row r="33" spans="1:9" ht="15" customHeight="1" x14ac:dyDescent="0.25">
      <c r="A33">
        <v>4</v>
      </c>
      <c r="B33" t="s">
        <v>1374</v>
      </c>
      <c r="C33" t="s">
        <v>1380</v>
      </c>
      <c r="D33" t="s">
        <v>1380</v>
      </c>
      <c r="E33" t="s">
        <v>1381</v>
      </c>
      <c r="F33" t="s">
        <v>60</v>
      </c>
      <c r="G33">
        <v>8</v>
      </c>
      <c r="H33">
        <v>16</v>
      </c>
      <c r="I33" t="str">
        <f t="shared" si="0"/>
        <v>4|a|FT</v>
      </c>
    </row>
    <row r="34" spans="1:9" ht="15" customHeight="1" x14ac:dyDescent="0.25">
      <c r="A34">
        <v>4</v>
      </c>
      <c r="B34" t="s">
        <v>1374</v>
      </c>
      <c r="C34" t="s">
        <v>1389</v>
      </c>
      <c r="D34" t="s">
        <v>1389</v>
      </c>
      <c r="E34" t="s">
        <v>1390</v>
      </c>
      <c r="F34" t="s">
        <v>60</v>
      </c>
      <c r="G34">
        <v>7</v>
      </c>
      <c r="H34">
        <v>14</v>
      </c>
      <c r="I34" t="str">
        <f t="shared" ref="I34:I62" si="1">A34&amp;"|"&amp;B34&amp;"|"&amp;D34</f>
        <v>4|a|SSA</v>
      </c>
    </row>
    <row r="35" spans="1:9" ht="15" customHeight="1" x14ac:dyDescent="0.25">
      <c r="A35">
        <v>4</v>
      </c>
      <c r="B35" t="s">
        <v>1374</v>
      </c>
      <c r="C35" t="s">
        <v>1385</v>
      </c>
      <c r="D35" t="s">
        <v>1385</v>
      </c>
      <c r="E35" t="s">
        <v>1403</v>
      </c>
      <c r="F35" t="s">
        <v>58</v>
      </c>
      <c r="G35">
        <v>6</v>
      </c>
      <c r="H35">
        <v>6</v>
      </c>
      <c r="I35" t="str">
        <f t="shared" si="1"/>
        <v>4|a|CHS</v>
      </c>
    </row>
    <row r="36" spans="1:9" ht="15" customHeight="1" x14ac:dyDescent="0.25">
      <c r="A36">
        <v>4</v>
      </c>
      <c r="B36" t="s">
        <v>1374</v>
      </c>
      <c r="C36" t="s">
        <v>1387</v>
      </c>
      <c r="D36" t="s">
        <v>1387</v>
      </c>
      <c r="E36" t="s">
        <v>1388</v>
      </c>
      <c r="F36" t="s">
        <v>60</v>
      </c>
      <c r="G36">
        <v>6</v>
      </c>
      <c r="H36">
        <v>12</v>
      </c>
      <c r="I36" t="str">
        <f t="shared" si="1"/>
        <v>4|a|BSA</v>
      </c>
    </row>
    <row r="37" spans="1:9" ht="15" customHeight="1" x14ac:dyDescent="0.25">
      <c r="A37">
        <v>4</v>
      </c>
      <c r="B37" t="s">
        <v>1374</v>
      </c>
      <c r="C37" t="s">
        <v>1401</v>
      </c>
      <c r="D37" t="s">
        <v>1401</v>
      </c>
      <c r="E37" t="s">
        <v>1402</v>
      </c>
      <c r="F37" t="s">
        <v>58</v>
      </c>
      <c r="G37">
        <v>7</v>
      </c>
      <c r="H37">
        <v>7</v>
      </c>
      <c r="I37" t="str">
        <f t="shared" si="1"/>
        <v>4|a|FAX</v>
      </c>
    </row>
    <row r="38" spans="1:9" ht="15" customHeight="1" x14ac:dyDescent="0.25">
      <c r="A38">
        <v>4</v>
      </c>
      <c r="B38" t="s">
        <v>1391</v>
      </c>
      <c r="C38" t="s">
        <v>1404</v>
      </c>
      <c r="D38" t="s">
        <v>1405</v>
      </c>
      <c r="E38" t="s">
        <v>1394</v>
      </c>
      <c r="F38" t="s">
        <v>58</v>
      </c>
      <c r="G38">
        <v>6</v>
      </c>
      <c r="H38">
        <v>6</v>
      </c>
      <c r="I38" t="str">
        <f t="shared" si="1"/>
        <v>4|b|RAX_HD</v>
      </c>
    </row>
    <row r="39" spans="1:9" ht="15" customHeight="1" x14ac:dyDescent="0.25">
      <c r="A39">
        <v>5</v>
      </c>
      <c r="B39" t="s">
        <v>1374</v>
      </c>
      <c r="C39" t="s">
        <v>1375</v>
      </c>
      <c r="D39" t="s">
        <v>1375</v>
      </c>
      <c r="E39" t="s">
        <v>1376</v>
      </c>
      <c r="F39" t="s">
        <v>1377</v>
      </c>
      <c r="G39">
        <v>9</v>
      </c>
      <c r="H39">
        <v>18</v>
      </c>
      <c r="I39" t="str">
        <f t="shared" si="1"/>
        <v>5|a|BOSP</v>
      </c>
    </row>
    <row r="40" spans="1:9" ht="15" customHeight="1" x14ac:dyDescent="0.25">
      <c r="A40">
        <v>5</v>
      </c>
      <c r="B40" t="s">
        <v>1374</v>
      </c>
      <c r="C40" t="s">
        <v>1382</v>
      </c>
      <c r="D40" t="s">
        <v>1382</v>
      </c>
      <c r="E40" t="s">
        <v>1383</v>
      </c>
      <c r="F40" t="s">
        <v>58</v>
      </c>
      <c r="G40">
        <v>7</v>
      </c>
      <c r="H40">
        <v>7</v>
      </c>
      <c r="I40" t="str">
        <f t="shared" si="1"/>
        <v>5|a|BAT</v>
      </c>
    </row>
    <row r="41" spans="1:9" ht="15" customHeight="1" x14ac:dyDescent="0.25">
      <c r="A41">
        <v>5</v>
      </c>
      <c r="B41" t="s">
        <v>1374</v>
      </c>
      <c r="C41" t="s">
        <v>1378</v>
      </c>
      <c r="D41" t="s">
        <v>1378</v>
      </c>
      <c r="E41" t="s">
        <v>1379</v>
      </c>
      <c r="F41" t="s">
        <v>60</v>
      </c>
      <c r="G41">
        <v>10</v>
      </c>
      <c r="H41">
        <v>20</v>
      </c>
      <c r="I41" t="str">
        <f t="shared" si="1"/>
        <v>5|a|RT</v>
      </c>
    </row>
    <row r="42" spans="1:9" ht="15" customHeight="1" x14ac:dyDescent="0.25">
      <c r="A42">
        <v>5</v>
      </c>
      <c r="B42" t="s">
        <v>1374</v>
      </c>
      <c r="C42" t="s">
        <v>1380</v>
      </c>
      <c r="D42" t="s">
        <v>1380</v>
      </c>
      <c r="E42" t="s">
        <v>1381</v>
      </c>
      <c r="F42" t="s">
        <v>60</v>
      </c>
      <c r="G42">
        <v>8</v>
      </c>
      <c r="H42">
        <v>16</v>
      </c>
      <c r="I42" t="str">
        <f t="shared" si="1"/>
        <v>5|a|FT</v>
      </c>
    </row>
    <row r="43" spans="1:9" ht="15" customHeight="1" x14ac:dyDescent="0.25">
      <c r="A43">
        <v>5</v>
      </c>
      <c r="B43" t="s">
        <v>1374</v>
      </c>
      <c r="C43" t="s">
        <v>1389</v>
      </c>
      <c r="D43" t="s">
        <v>1389</v>
      </c>
      <c r="E43" t="s">
        <v>1390</v>
      </c>
      <c r="F43" t="s">
        <v>60</v>
      </c>
      <c r="G43">
        <v>7</v>
      </c>
      <c r="H43">
        <v>14</v>
      </c>
      <c r="I43" t="str">
        <f t="shared" si="1"/>
        <v>5|a|SSA</v>
      </c>
    </row>
    <row r="44" spans="1:9" ht="15" customHeight="1" x14ac:dyDescent="0.25">
      <c r="A44">
        <v>5</v>
      </c>
      <c r="B44" t="s">
        <v>1374</v>
      </c>
      <c r="C44" t="s">
        <v>1406</v>
      </c>
      <c r="D44" t="s">
        <v>1385</v>
      </c>
      <c r="E44" t="s">
        <v>1407</v>
      </c>
      <c r="F44" t="s">
        <v>58</v>
      </c>
      <c r="G44">
        <v>8</v>
      </c>
      <c r="H44">
        <v>8</v>
      </c>
      <c r="I44" t="str">
        <f t="shared" si="1"/>
        <v>5|a|CHS</v>
      </c>
    </row>
    <row r="45" spans="1:9" ht="15" customHeight="1" x14ac:dyDescent="0.25">
      <c r="A45">
        <v>5</v>
      </c>
      <c r="B45" t="s">
        <v>1374</v>
      </c>
      <c r="C45" t="s">
        <v>1387</v>
      </c>
      <c r="D45" t="s">
        <v>1387</v>
      </c>
      <c r="E45" t="s">
        <v>1388</v>
      </c>
      <c r="F45" t="s">
        <v>60</v>
      </c>
      <c r="G45">
        <v>9</v>
      </c>
      <c r="H45">
        <v>18</v>
      </c>
      <c r="I45" t="str">
        <f t="shared" si="1"/>
        <v>5|a|BSA</v>
      </c>
    </row>
    <row r="46" spans="1:9" ht="15" customHeight="1" x14ac:dyDescent="0.25">
      <c r="A46">
        <v>5</v>
      </c>
      <c r="B46" t="s">
        <v>1374</v>
      </c>
      <c r="C46" t="s">
        <v>1401</v>
      </c>
      <c r="D46" t="s">
        <v>1401</v>
      </c>
      <c r="E46" t="s">
        <v>1402</v>
      </c>
      <c r="F46" t="s">
        <v>58</v>
      </c>
      <c r="G46">
        <v>6</v>
      </c>
      <c r="H46">
        <v>6</v>
      </c>
      <c r="I46" t="str">
        <f t="shared" si="1"/>
        <v>5|a|FAX</v>
      </c>
    </row>
    <row r="47" spans="1:9" ht="15" customHeight="1" x14ac:dyDescent="0.25">
      <c r="A47">
        <v>5</v>
      </c>
      <c r="B47" t="s">
        <v>1391</v>
      </c>
      <c r="C47" t="s">
        <v>1404</v>
      </c>
      <c r="D47" t="s">
        <v>1405</v>
      </c>
      <c r="E47" t="s">
        <v>1394</v>
      </c>
      <c r="F47" t="s">
        <v>58</v>
      </c>
      <c r="G47">
        <v>6</v>
      </c>
      <c r="H47">
        <v>6</v>
      </c>
      <c r="I47" t="str">
        <f t="shared" si="1"/>
        <v>5|b|RAX_HD</v>
      </c>
    </row>
    <row r="48" spans="1:9" ht="15" customHeight="1" x14ac:dyDescent="0.25">
      <c r="A48">
        <v>5</v>
      </c>
      <c r="B48" t="s">
        <v>1391</v>
      </c>
      <c r="C48" t="s">
        <v>1392</v>
      </c>
      <c r="D48" t="s">
        <v>1393</v>
      </c>
      <c r="E48" t="s">
        <v>1394</v>
      </c>
      <c r="F48" t="s">
        <v>58</v>
      </c>
      <c r="G48">
        <v>2</v>
      </c>
      <c r="H48">
        <v>2</v>
      </c>
      <c r="I48" t="str">
        <f t="shared" si="1"/>
        <v>5|b|RAX_RD</v>
      </c>
    </row>
    <row r="49" spans="1:9" ht="15" customHeight="1" x14ac:dyDescent="0.25">
      <c r="A49">
        <v>5</v>
      </c>
      <c r="B49" t="s">
        <v>1391</v>
      </c>
      <c r="C49" t="s">
        <v>1395</v>
      </c>
      <c r="D49" t="s">
        <v>1396</v>
      </c>
      <c r="E49" t="s">
        <v>1397</v>
      </c>
      <c r="F49" t="s">
        <v>58</v>
      </c>
      <c r="G49">
        <v>1</v>
      </c>
      <c r="H49">
        <v>1</v>
      </c>
      <c r="I49" t="str">
        <f t="shared" si="1"/>
        <v>5|b|CRE</v>
      </c>
    </row>
    <row r="50" spans="1:9" ht="15" customHeight="1" x14ac:dyDescent="0.25">
      <c r="A50">
        <v>5</v>
      </c>
      <c r="B50" t="s">
        <v>1391</v>
      </c>
      <c r="C50" t="s">
        <v>1398</v>
      </c>
      <c r="D50" t="s">
        <v>1399</v>
      </c>
      <c r="E50" t="s">
        <v>1400</v>
      </c>
      <c r="F50" t="s">
        <v>58</v>
      </c>
      <c r="G50">
        <v>1</v>
      </c>
      <c r="H50">
        <v>1</v>
      </c>
      <c r="I50" t="str">
        <f t="shared" si="1"/>
        <v>5|b|CSEB-NABS</v>
      </c>
    </row>
    <row r="51" spans="1:9" ht="15" customHeight="1" x14ac:dyDescent="0.25">
      <c r="A51">
        <v>6</v>
      </c>
      <c r="B51" t="s">
        <v>1374</v>
      </c>
      <c r="C51" t="s">
        <v>1375</v>
      </c>
      <c r="D51" t="s">
        <v>1375</v>
      </c>
      <c r="E51" t="s">
        <v>1376</v>
      </c>
      <c r="F51" t="s">
        <v>1377</v>
      </c>
      <c r="G51">
        <v>7</v>
      </c>
      <c r="H51">
        <v>14</v>
      </c>
      <c r="I51" t="str">
        <f t="shared" si="1"/>
        <v>6|a|BOSP</v>
      </c>
    </row>
    <row r="52" spans="1:9" ht="15" customHeight="1" x14ac:dyDescent="0.25">
      <c r="A52">
        <v>6</v>
      </c>
      <c r="B52" t="s">
        <v>1374</v>
      </c>
      <c r="C52" t="s">
        <v>1382</v>
      </c>
      <c r="D52" t="s">
        <v>1382</v>
      </c>
      <c r="E52" t="s">
        <v>1383</v>
      </c>
      <c r="F52" t="s">
        <v>58</v>
      </c>
      <c r="G52">
        <v>4</v>
      </c>
      <c r="H52">
        <v>4</v>
      </c>
      <c r="I52" t="str">
        <f t="shared" si="1"/>
        <v>6|a|BAT</v>
      </c>
    </row>
    <row r="53" spans="1:9" ht="15" customHeight="1" x14ac:dyDescent="0.25">
      <c r="A53">
        <v>6</v>
      </c>
      <c r="B53" t="s">
        <v>1374</v>
      </c>
      <c r="C53" t="s">
        <v>1378</v>
      </c>
      <c r="D53" t="s">
        <v>1378</v>
      </c>
      <c r="E53" t="s">
        <v>1379</v>
      </c>
      <c r="F53" t="s">
        <v>60</v>
      </c>
      <c r="G53">
        <v>10</v>
      </c>
      <c r="H53">
        <v>20</v>
      </c>
      <c r="I53" t="str">
        <f t="shared" si="1"/>
        <v>6|a|RT</v>
      </c>
    </row>
    <row r="54" spans="1:9" ht="15" customHeight="1" x14ac:dyDescent="0.25">
      <c r="A54">
        <v>6</v>
      </c>
      <c r="B54" t="s">
        <v>1374</v>
      </c>
      <c r="C54" t="s">
        <v>1380</v>
      </c>
      <c r="D54" t="s">
        <v>1380</v>
      </c>
      <c r="E54" t="s">
        <v>1381</v>
      </c>
      <c r="F54" t="s">
        <v>60</v>
      </c>
      <c r="G54">
        <v>7</v>
      </c>
      <c r="H54">
        <v>14</v>
      </c>
      <c r="I54" t="str">
        <f t="shared" si="1"/>
        <v>6|a|FT</v>
      </c>
    </row>
    <row r="55" spans="1:9" ht="15" customHeight="1" x14ac:dyDescent="0.25">
      <c r="A55">
        <v>6</v>
      </c>
      <c r="B55" t="s">
        <v>1374</v>
      </c>
      <c r="C55" t="s">
        <v>1389</v>
      </c>
      <c r="D55" t="s">
        <v>1389</v>
      </c>
      <c r="E55" t="s">
        <v>1390</v>
      </c>
      <c r="F55" t="s">
        <v>60</v>
      </c>
      <c r="G55">
        <v>6</v>
      </c>
      <c r="H55">
        <v>12</v>
      </c>
      <c r="I55" t="str">
        <f t="shared" si="1"/>
        <v>6|a|SSA</v>
      </c>
    </row>
    <row r="56" spans="1:9" ht="15" customHeight="1" x14ac:dyDescent="0.25">
      <c r="A56">
        <v>6</v>
      </c>
      <c r="B56" t="s">
        <v>1374</v>
      </c>
      <c r="C56" t="s">
        <v>1406</v>
      </c>
      <c r="D56" t="s">
        <v>1385</v>
      </c>
      <c r="E56" t="s">
        <v>1407</v>
      </c>
      <c r="F56" t="s">
        <v>58</v>
      </c>
      <c r="G56">
        <v>6</v>
      </c>
      <c r="H56">
        <v>6</v>
      </c>
      <c r="I56" t="str">
        <f t="shared" si="1"/>
        <v>6|a|CHS</v>
      </c>
    </row>
    <row r="57" spans="1:9" ht="15" customHeight="1" x14ac:dyDescent="0.25">
      <c r="A57">
        <v>6</v>
      </c>
      <c r="B57" t="s">
        <v>1374</v>
      </c>
      <c r="C57" t="s">
        <v>1387</v>
      </c>
      <c r="D57" t="s">
        <v>1387</v>
      </c>
      <c r="E57" t="s">
        <v>1388</v>
      </c>
      <c r="F57" t="s">
        <v>60</v>
      </c>
      <c r="G57">
        <v>7</v>
      </c>
      <c r="H57">
        <v>14</v>
      </c>
      <c r="I57" t="str">
        <f t="shared" si="1"/>
        <v>6|a|BSA</v>
      </c>
    </row>
    <row r="58" spans="1:9" ht="15" customHeight="1" x14ac:dyDescent="0.25">
      <c r="A58">
        <v>6</v>
      </c>
      <c r="B58" t="s">
        <v>1374</v>
      </c>
      <c r="C58" t="s">
        <v>1401</v>
      </c>
      <c r="D58" t="s">
        <v>1401</v>
      </c>
      <c r="E58" t="s">
        <v>1402</v>
      </c>
      <c r="F58" t="s">
        <v>58</v>
      </c>
      <c r="G58">
        <v>3</v>
      </c>
      <c r="H58">
        <v>3</v>
      </c>
      <c r="I58" t="str">
        <f t="shared" si="1"/>
        <v>6|a|FAX</v>
      </c>
    </row>
    <row r="59" spans="1:9" ht="15" customHeight="1" x14ac:dyDescent="0.25">
      <c r="A59">
        <v>6</v>
      </c>
      <c r="B59" t="s">
        <v>1391</v>
      </c>
      <c r="C59" t="s">
        <v>1404</v>
      </c>
      <c r="D59" t="s">
        <v>1405</v>
      </c>
      <c r="E59" t="s">
        <v>1394</v>
      </c>
      <c r="F59" t="s">
        <v>58</v>
      </c>
      <c r="G59">
        <v>3</v>
      </c>
      <c r="H59">
        <v>3</v>
      </c>
      <c r="I59" t="str">
        <f t="shared" si="1"/>
        <v>6|b|RAX_HD</v>
      </c>
    </row>
    <row r="60" spans="1:9" ht="15" customHeight="1" x14ac:dyDescent="0.25">
      <c r="A60">
        <v>6</v>
      </c>
      <c r="B60" t="s">
        <v>1391</v>
      </c>
      <c r="C60" t="s">
        <v>1392</v>
      </c>
      <c r="D60" t="s">
        <v>1393</v>
      </c>
      <c r="E60" t="s">
        <v>1394</v>
      </c>
      <c r="F60" t="s">
        <v>58</v>
      </c>
      <c r="G60">
        <v>3</v>
      </c>
      <c r="H60">
        <v>3</v>
      </c>
      <c r="I60" t="str">
        <f t="shared" si="1"/>
        <v>6|b|RAX_RD</v>
      </c>
    </row>
    <row r="61" spans="1:9" ht="15" customHeight="1" x14ac:dyDescent="0.25">
      <c r="A61">
        <v>6</v>
      </c>
      <c r="B61" t="s">
        <v>1391</v>
      </c>
      <c r="C61" t="s">
        <v>1395</v>
      </c>
      <c r="D61" t="s">
        <v>1396</v>
      </c>
      <c r="E61" t="s">
        <v>1397</v>
      </c>
      <c r="F61" t="s">
        <v>58</v>
      </c>
      <c r="G61">
        <v>1</v>
      </c>
      <c r="H61">
        <v>1</v>
      </c>
      <c r="I61" t="str">
        <f t="shared" si="1"/>
        <v>6|b|CRE</v>
      </c>
    </row>
    <row r="62" spans="1:9" ht="15" customHeight="1" x14ac:dyDescent="0.25">
      <c r="A62">
        <v>6</v>
      </c>
      <c r="B62" t="s">
        <v>1391</v>
      </c>
      <c r="C62" t="s">
        <v>1398</v>
      </c>
      <c r="D62" t="s">
        <v>1399</v>
      </c>
      <c r="E62" t="s">
        <v>1400</v>
      </c>
      <c r="F62" t="s">
        <v>58</v>
      </c>
      <c r="G62">
        <v>3</v>
      </c>
      <c r="H62">
        <v>3</v>
      </c>
      <c r="I62" t="str">
        <f t="shared" si="1"/>
        <v>6|b|CSEB-NABS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4E9A6A"/>
  </sheetPr>
  <dimension ref="A1:AB81"/>
  <sheetViews>
    <sheetView zoomScale="130" zoomScaleNormal="13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5" width="12" customWidth="1"/>
    <col min="6" max="6" width="14" customWidth="1"/>
    <col min="7" max="7" width="11" customWidth="1"/>
    <col min="8" max="9" width="15" customWidth="1"/>
    <col min="10" max="10" width="9" customWidth="1"/>
    <col min="11" max="11" width="10" customWidth="1"/>
    <col min="12" max="14" width="18" customWidth="1"/>
    <col min="15" max="15" width="19" customWidth="1"/>
    <col min="16" max="16" width="10" customWidth="1"/>
    <col min="17" max="17" width="9" customWidth="1"/>
    <col min="18" max="18" width="12" customWidth="1"/>
    <col min="19" max="19" width="20" customWidth="1"/>
    <col min="20" max="20" width="26" customWidth="1"/>
    <col min="21" max="21" width="17" customWidth="1"/>
    <col min="22" max="22" width="23" customWidth="1"/>
    <col min="23" max="23" width="16" customWidth="1"/>
    <col min="24" max="24" width="22" customWidth="1"/>
    <col min="25" max="25" width="11" customWidth="1"/>
    <col min="26" max="26" width="14" customWidth="1"/>
    <col min="27" max="28" width="20" customWidth="1"/>
  </cols>
  <sheetData>
    <row r="1" spans="1:28" ht="27.75" customHeight="1" x14ac:dyDescent="0.25">
      <c r="A1" s="15" t="s">
        <v>55</v>
      </c>
      <c r="B1" s="15" t="s">
        <v>10</v>
      </c>
      <c r="C1" s="15" t="s">
        <v>1359</v>
      </c>
      <c r="D1" s="15" t="s">
        <v>271</v>
      </c>
      <c r="E1" s="15" t="s">
        <v>1408</v>
      </c>
      <c r="F1" s="15" t="s">
        <v>82</v>
      </c>
      <c r="G1" s="15" t="s">
        <v>1409</v>
      </c>
      <c r="H1" s="15" t="s">
        <v>1410</v>
      </c>
      <c r="I1" s="15" t="s">
        <v>1411</v>
      </c>
      <c r="J1" s="15" t="s">
        <v>344</v>
      </c>
      <c r="K1" s="15" t="s">
        <v>1412</v>
      </c>
      <c r="L1" s="15" t="s">
        <v>1413</v>
      </c>
      <c r="M1" s="15" t="s">
        <v>1414</v>
      </c>
      <c r="N1" s="15" t="s">
        <v>1415</v>
      </c>
      <c r="O1" s="15" t="s">
        <v>1416</v>
      </c>
      <c r="P1" s="15" t="s">
        <v>1417</v>
      </c>
      <c r="Q1" s="15" t="s">
        <v>270</v>
      </c>
      <c r="R1" s="15" t="s">
        <v>51</v>
      </c>
      <c r="S1" s="15" t="s">
        <v>1360</v>
      </c>
      <c r="T1" s="15" t="s">
        <v>1418</v>
      </c>
      <c r="U1" s="15" t="s">
        <v>1361</v>
      </c>
      <c r="V1" s="15" t="s">
        <v>1419</v>
      </c>
      <c r="W1" s="15" t="s">
        <v>52</v>
      </c>
      <c r="X1" s="15" t="s">
        <v>1420</v>
      </c>
      <c r="Y1" s="15" t="s">
        <v>1421</v>
      </c>
      <c r="Z1" s="15" t="s">
        <v>1422</v>
      </c>
      <c r="AA1" s="15" t="s">
        <v>1423</v>
      </c>
      <c r="AB1" s="15" t="s">
        <v>9</v>
      </c>
    </row>
    <row r="2" spans="1:28" ht="15" customHeight="1" x14ac:dyDescent="0.25">
      <c r="A2" t="s">
        <v>1</v>
      </c>
      <c r="B2" t="s">
        <v>58</v>
      </c>
      <c r="C2">
        <v>1</v>
      </c>
      <c r="D2" t="str">
        <f t="shared" ref="D2:D33" si="0">A2&amp;"|"&amp;C2</f>
        <v>S1|1</v>
      </c>
      <c r="E2" t="str">
        <f>UPPER(MID(INDEX(raw_comp_PTA!$C$2:$C$81,MATCH(D2,raw_comp_PTA!$J$2:$J$81,0)),5,2))</f>
        <v>RD</v>
      </c>
      <c r="F2" s="3">
        <f>_xlfn.MINIFS(raw_outputtable!$J$2:$J$816,raw_outputtable!$A$2:$A$816,A2,raw_outputtable!$B$2:$B$816,C2)</f>
        <v>0</v>
      </c>
      <c r="G2" s="3">
        <f>_xlfn.MAXIFS(raw_outputtable!$K$2:$K$816,raw_outputtable!$A$2:$A$816,A2,raw_outputtable!$B$2:$B$816,C2)</f>
        <v>571.53333326568827</v>
      </c>
      <c r="H2" s="3">
        <f t="shared" ref="H2:H33" si="1">G2-F2</f>
        <v>571.53333326568827</v>
      </c>
      <c r="I2" s="16">
        <f t="shared" ref="I2:I33" si="2">IF($Y2=1,H2,"DNF")</f>
        <v>571.53333326568827</v>
      </c>
      <c r="J2" s="3">
        <f>INDEX(raw_comp_PTA!$H$2:$H$81,MATCH(D2,raw_comp_PTA!$J$2:$J$81,0))</f>
        <v>445.1</v>
      </c>
      <c r="K2" s="16">
        <f t="shared" ref="K2:K33" si="3">IF($Y2=1,J2,"DNF")</f>
        <v>445.1</v>
      </c>
      <c r="L2" s="3">
        <f>SUMIFS(raw_comp_PTA_stations!$E$2:$E$461,raw_comp_PTA_stations!$A$2:$A$461,A2,raw_comp_PTA_stations!$B$2:$B$461,C2,raw_comp_PTA_stations!$C$2:$C$461,"ws*")</f>
        <v>90.23</v>
      </c>
      <c r="M2" s="16">
        <f t="shared" ref="M2:M33" si="4">IF($Y2=1,L2,"DNF")</f>
        <v>90.23</v>
      </c>
      <c r="N2" s="3">
        <f>INDEX(raw_comp_PTA!$G$2:$G$81,MATCH(D2,raw_comp_PTA!$J$2:$J$81,0))</f>
        <v>541.33000000000004</v>
      </c>
      <c r="O2" s="16">
        <f t="shared" ref="O2:O33" si="5">IF($Y2=1,N2,"DNF")</f>
        <v>541.33000000000004</v>
      </c>
      <c r="P2">
        <f>COUNTIFS(raw_outputtable!$A$2:$A$816,A2,raw_outputtable!$B$2:$B$816,C2)</f>
        <v>8</v>
      </c>
      <c r="Q2">
        <f>INDEX(raw_casetable!$F$2:$F$81,MATCH(D2,raw_casetable!$G$2:$G$81,0))</f>
        <v>8</v>
      </c>
      <c r="R2">
        <f t="shared" ref="R2:R33" si="6">IF(P2&gt;=Q2,1,0)</f>
        <v>1</v>
      </c>
      <c r="S2">
        <f>IFERROR(IF(INDEX(Factory_PO!$C$2:$C$61,MATCH(B2&amp;"|"&amp;C2,Factory_PO!$E$2:$E$61,0))="","",INDEX(Factory_PO!$C$2:$C$61,MATCH(B2&amp;"|"&amp;C2,Factory_PO!$E$2:$E$61,0))),"")</f>
        <v>629</v>
      </c>
      <c r="T2" s="17">
        <f t="shared" ref="T2:T33" si="7">IF($Y2=1,S2,"DNF")</f>
        <v>629</v>
      </c>
      <c r="U2">
        <f>IFERROR(IF(INDEX(Factory_PO!$D$2:$D$61,MATCH(B2&amp;"|"&amp;C2,Factory_PO!$E$2:$E$61,0))="","",INDEX(Factory_PO!$D$2:$D$61,MATCH(B2&amp;"|"&amp;C2,Factory_PO!$E$2:$E$61,0))),"")</f>
        <v>586</v>
      </c>
      <c r="V2" s="17">
        <f t="shared" ref="V2:V33" si="8">IF($Y2=1,U2,"DNF")</f>
        <v>586</v>
      </c>
      <c r="W2">
        <f t="shared" ref="W2:W33" si="9">IF(U2="",0,1)</f>
        <v>1</v>
      </c>
      <c r="X2" t="str">
        <f t="shared" ref="X2:X33" si="10">IF(AND(R2=1,W2=1),"Complete",IF(AND(R2=0,W2=0),"DNF (sim + factory)",IF(R2=0,"DNF (sim)","DNF (factory)")))</f>
        <v>Complete</v>
      </c>
      <c r="Y2">
        <f t="shared" ref="Y2:Y33" si="11">IF(X2="Complete",1,0)</f>
        <v>1</v>
      </c>
      <c r="Z2" s="10">
        <f t="shared" ref="Z2:Z33" si="12">IF(U2="","",(H2-U2)/U2)</f>
        <v>-2.4687144597801587E-2</v>
      </c>
      <c r="AA2" s="18">
        <f t="shared" ref="AA2:AA33" si="13">IF($Y2=1,Z2,"DNF")</f>
        <v>-2.4687144597801587E-2</v>
      </c>
      <c r="AB2" t="s">
        <v>1362</v>
      </c>
    </row>
    <row r="3" spans="1:28" ht="15" customHeight="1" x14ac:dyDescent="0.25">
      <c r="A3" t="s">
        <v>1</v>
      </c>
      <c r="B3" t="s">
        <v>58</v>
      </c>
      <c r="C3">
        <v>2</v>
      </c>
      <c r="D3" t="str">
        <f t="shared" si="0"/>
        <v>S1|2</v>
      </c>
      <c r="E3" t="str">
        <f>UPPER(MID(INDEX(raw_comp_PTA!$C$2:$C$81,MATCH(D3,raw_comp_PTA!$J$2:$J$81,0)),5,2))</f>
        <v>RD</v>
      </c>
      <c r="F3" s="3">
        <f>_xlfn.MINIFS(raw_outputtable!$J$2:$J$816,raw_outputtable!$A$2:$A$816,A3,raw_outputtable!$B$2:$B$816,C3)</f>
        <v>119.99999995110556</v>
      </c>
      <c r="G3" s="3">
        <f>_xlfn.MAXIFS(raw_outputtable!$K$2:$K$816,raw_outputtable!$A$2:$A$816,A3,raw_outputtable!$B$2:$B$816,C3)</f>
        <v>753.0666667164769</v>
      </c>
      <c r="H3" s="3">
        <f t="shared" si="1"/>
        <v>633.06666676537134</v>
      </c>
      <c r="I3" s="16">
        <f t="shared" si="2"/>
        <v>633.06666676537134</v>
      </c>
      <c r="J3" s="3">
        <f>INDEX(raw_comp_PTA!$H$2:$H$81,MATCH(D3,raw_comp_PTA!$J$2:$J$81,0))</f>
        <v>445.1</v>
      </c>
      <c r="K3" s="16">
        <f t="shared" si="3"/>
        <v>445.1</v>
      </c>
      <c r="L3" s="3">
        <f>SUMIFS(raw_comp_PTA_stations!$E$2:$E$461,raw_comp_PTA_stations!$A$2:$A$461,A3,raw_comp_PTA_stations!$B$2:$B$461,C3,raw_comp_PTA_stations!$C$2:$C$461,"ws*")</f>
        <v>145.1</v>
      </c>
      <c r="M3" s="16">
        <f t="shared" si="4"/>
        <v>145.1</v>
      </c>
      <c r="N3" s="3">
        <f>INDEX(raw_comp_PTA!$G$2:$G$81,MATCH(D3,raw_comp_PTA!$J$2:$J$81,0))</f>
        <v>601.14</v>
      </c>
      <c r="O3" s="16">
        <f t="shared" si="5"/>
        <v>601.14</v>
      </c>
      <c r="P3">
        <f>COUNTIFS(raw_outputtable!$A$2:$A$816,A3,raw_outputtable!$B$2:$B$816,C3)</f>
        <v>8</v>
      </c>
      <c r="Q3">
        <f>INDEX(raw_casetable!$F$2:$F$81,MATCH(D3,raw_casetable!$G$2:$G$81,0))</f>
        <v>8</v>
      </c>
      <c r="R3">
        <f t="shared" si="6"/>
        <v>1</v>
      </c>
      <c r="S3">
        <f>IFERROR(IF(INDEX(Factory_PO!$C$2:$C$61,MATCH(B3&amp;"|"&amp;C3,Factory_PO!$E$2:$E$61,0))="","",INDEX(Factory_PO!$C$2:$C$61,MATCH(B3&amp;"|"&amp;C3,Factory_PO!$E$2:$E$61,0))),"")</f>
        <v>482</v>
      </c>
      <c r="T3" s="17">
        <f t="shared" si="7"/>
        <v>482</v>
      </c>
      <c r="U3">
        <f>IFERROR(IF(INDEX(Factory_PO!$D$2:$D$61,MATCH(B3&amp;"|"&amp;C3,Factory_PO!$E$2:$E$61,0))="","",INDEX(Factory_PO!$D$2:$D$61,MATCH(B3&amp;"|"&amp;C3,Factory_PO!$E$2:$E$61,0))),"")</f>
        <v>721</v>
      </c>
      <c r="V3" s="17">
        <f t="shared" si="8"/>
        <v>721</v>
      </c>
      <c r="W3">
        <f t="shared" si="9"/>
        <v>1</v>
      </c>
      <c r="X3" t="str">
        <f t="shared" si="10"/>
        <v>Complete</v>
      </c>
      <c r="Y3">
        <f t="shared" si="11"/>
        <v>1</v>
      </c>
      <c r="Z3" s="10">
        <f t="shared" si="12"/>
        <v>-0.12196024026994266</v>
      </c>
      <c r="AA3" s="18">
        <f t="shared" si="13"/>
        <v>-0.12196024026994266</v>
      </c>
      <c r="AB3" t="s">
        <v>1362</v>
      </c>
    </row>
    <row r="4" spans="1:28" ht="15" customHeight="1" x14ac:dyDescent="0.25">
      <c r="A4" t="s">
        <v>1</v>
      </c>
      <c r="B4" t="s">
        <v>58</v>
      </c>
      <c r="C4">
        <v>3</v>
      </c>
      <c r="D4" t="str">
        <f t="shared" si="0"/>
        <v>S1|3</v>
      </c>
      <c r="E4" t="str">
        <f>UPPER(MID(INDEX(raw_comp_PTA!$C$2:$C$81,MATCH(D4,raw_comp_PTA!$J$2:$J$81,0)),5,2))</f>
        <v>RD</v>
      </c>
      <c r="F4" s="3">
        <f>_xlfn.MINIFS(raw_outputtable!$J$2:$J$816,raw_outputtable!$A$2:$A$816,A4,raw_outputtable!$B$2:$B$816,C4)</f>
        <v>240.00000004889444</v>
      </c>
      <c r="G4" s="3">
        <f>_xlfn.MAXIFS(raw_outputtable!$K$2:$K$816,raw_outputtable!$A$2:$A$816,A4,raw_outputtable!$B$2:$B$816,C4)</f>
        <v>901.53333331458271</v>
      </c>
      <c r="H4" s="3">
        <f t="shared" si="1"/>
        <v>661.53333326568827</v>
      </c>
      <c r="I4" s="16">
        <f t="shared" si="2"/>
        <v>661.53333326568827</v>
      </c>
      <c r="J4" s="3">
        <f>INDEX(raw_comp_PTA!$H$2:$H$81,MATCH(D4,raw_comp_PTA!$J$2:$J$81,0))</f>
        <v>445.1</v>
      </c>
      <c r="K4" s="16">
        <f t="shared" si="3"/>
        <v>445.1</v>
      </c>
      <c r="L4" s="3">
        <f>SUMIFS(raw_comp_PTA_stations!$E$2:$E$461,raw_comp_PTA_stations!$A$2:$A$461,A4,raw_comp_PTA_stations!$B$2:$B$461,C4,raw_comp_PTA_stations!$C$2:$C$461,"ws*")</f>
        <v>178.32999999999998</v>
      </c>
      <c r="M4" s="16">
        <f t="shared" si="4"/>
        <v>178.32999999999998</v>
      </c>
      <c r="N4" s="3">
        <f>INDEX(raw_comp_PTA!$G$2:$G$81,MATCH(D4,raw_comp_PTA!$J$2:$J$81,0))</f>
        <v>629.6</v>
      </c>
      <c r="O4" s="16">
        <f t="shared" si="5"/>
        <v>629.6</v>
      </c>
      <c r="P4">
        <f>COUNTIFS(raw_outputtable!$A$2:$A$816,A4,raw_outputtable!$B$2:$B$816,C4)</f>
        <v>8</v>
      </c>
      <c r="Q4">
        <f>INDEX(raw_casetable!$F$2:$F$81,MATCH(D4,raw_casetable!$G$2:$G$81,0))</f>
        <v>8</v>
      </c>
      <c r="R4">
        <f t="shared" si="6"/>
        <v>1</v>
      </c>
      <c r="S4">
        <f>IFERROR(IF(INDEX(Factory_PO!$C$2:$C$61,MATCH(B4&amp;"|"&amp;C4,Factory_PO!$E$2:$E$61,0))="","",INDEX(Factory_PO!$C$2:$C$61,MATCH(B4&amp;"|"&amp;C4,Factory_PO!$E$2:$E$61,0))),"")</f>
        <v>360</v>
      </c>
      <c r="T4" s="17">
        <f t="shared" si="7"/>
        <v>360</v>
      </c>
      <c r="U4">
        <f>IFERROR(IF(INDEX(Factory_PO!$D$2:$D$61,MATCH(B4&amp;"|"&amp;C4,Factory_PO!$E$2:$E$61,0))="","",INDEX(Factory_PO!$D$2:$D$61,MATCH(B4&amp;"|"&amp;C4,Factory_PO!$E$2:$E$61,0))),"")</f>
        <v>721</v>
      </c>
      <c r="V4" s="17">
        <f t="shared" si="8"/>
        <v>721</v>
      </c>
      <c r="W4">
        <f t="shared" si="9"/>
        <v>1</v>
      </c>
      <c r="X4" t="str">
        <f t="shared" si="10"/>
        <v>Complete</v>
      </c>
      <c r="Y4">
        <f t="shared" si="11"/>
        <v>1</v>
      </c>
      <c r="Z4" s="10">
        <f t="shared" si="12"/>
        <v>-8.2478039853414328E-2</v>
      </c>
      <c r="AA4" s="18">
        <f t="shared" si="13"/>
        <v>-8.2478039853414328E-2</v>
      </c>
      <c r="AB4" t="s">
        <v>1362</v>
      </c>
    </row>
    <row r="5" spans="1:28" ht="15" customHeight="1" x14ac:dyDescent="0.25">
      <c r="A5" t="s">
        <v>1</v>
      </c>
      <c r="B5" t="s">
        <v>58</v>
      </c>
      <c r="C5">
        <v>4</v>
      </c>
      <c r="D5" t="str">
        <f t="shared" si="0"/>
        <v>S1|4</v>
      </c>
      <c r="E5" t="str">
        <f>UPPER(MID(INDEX(raw_comp_PTA!$C$2:$C$81,MATCH(D5,raw_comp_PTA!$J$2:$J$81,0)),5,2))</f>
        <v>TL</v>
      </c>
      <c r="F5" s="3">
        <f>_xlfn.MINIFS(raw_outputtable!$J$2:$J$816,raw_outputtable!$A$2:$A$816,A5,raw_outputtable!$B$2:$B$816,C5)</f>
        <v>360</v>
      </c>
      <c r="G5" s="3">
        <f>_xlfn.MAXIFS(raw_outputtable!$K$2:$K$816,raw_outputtable!$A$2:$A$816,A5,raw_outputtable!$B$2:$B$816,C5)</f>
        <v>961.53333336347714</v>
      </c>
      <c r="H5" s="3">
        <f t="shared" si="1"/>
        <v>601.53333336347714</v>
      </c>
      <c r="I5" s="16">
        <f t="shared" si="2"/>
        <v>601.53333336347714</v>
      </c>
      <c r="J5" s="3">
        <f>INDEX(raw_comp_PTA!$H$2:$H$81,MATCH(D5,raw_comp_PTA!$J$2:$J$81,0))</f>
        <v>374.1</v>
      </c>
      <c r="K5" s="16">
        <f t="shared" si="3"/>
        <v>374.1</v>
      </c>
      <c r="L5" s="3">
        <f>SUMIFS(raw_comp_PTA_stations!$E$2:$E$461,raw_comp_PTA_stations!$A$2:$A$461,A5,raw_comp_PTA_stations!$B$2:$B$461,C5,raw_comp_PTA_stations!$C$2:$C$461,"ws*")</f>
        <v>189.5</v>
      </c>
      <c r="M5" s="16">
        <f t="shared" si="4"/>
        <v>189.5</v>
      </c>
      <c r="N5" s="3">
        <f>INDEX(raw_comp_PTA!$G$2:$G$81,MATCH(D5,raw_comp_PTA!$J$2:$J$81,0))</f>
        <v>566.20000000000005</v>
      </c>
      <c r="O5" s="16">
        <f t="shared" si="5"/>
        <v>566.20000000000005</v>
      </c>
      <c r="P5">
        <f>COUNTIFS(raw_outputtable!$A$2:$A$816,A5,raw_outputtable!$B$2:$B$816,C5)</f>
        <v>8</v>
      </c>
      <c r="Q5">
        <f>INDEX(raw_casetable!$F$2:$F$81,MATCH(D5,raw_casetable!$G$2:$G$81,0))</f>
        <v>8</v>
      </c>
      <c r="R5">
        <f t="shared" si="6"/>
        <v>1</v>
      </c>
      <c r="S5">
        <f>IFERROR(IF(INDEX(Factory_PO!$C$2:$C$61,MATCH(B5&amp;"|"&amp;C5,Factory_PO!$E$2:$E$61,0))="","",INDEX(Factory_PO!$C$2:$C$61,MATCH(B5&amp;"|"&amp;C5,Factory_PO!$E$2:$E$61,0))),"")</f>
        <v>402</v>
      </c>
      <c r="T5" s="17">
        <f t="shared" si="7"/>
        <v>402</v>
      </c>
      <c r="U5">
        <f>IFERROR(IF(INDEX(Factory_PO!$D$2:$D$61,MATCH(B5&amp;"|"&amp;C5,Factory_PO!$E$2:$E$61,0))="","",INDEX(Factory_PO!$D$2:$D$61,MATCH(B5&amp;"|"&amp;C5,Factory_PO!$E$2:$E$61,0))),"")</f>
        <v>530</v>
      </c>
      <c r="V5" s="17">
        <f t="shared" si="8"/>
        <v>530</v>
      </c>
      <c r="W5">
        <f t="shared" si="9"/>
        <v>1</v>
      </c>
      <c r="X5" t="str">
        <f t="shared" si="10"/>
        <v>Complete</v>
      </c>
      <c r="Y5">
        <f t="shared" si="11"/>
        <v>1</v>
      </c>
      <c r="Z5" s="10">
        <f t="shared" si="12"/>
        <v>0.1349685535159946</v>
      </c>
      <c r="AA5" s="18">
        <f t="shared" si="13"/>
        <v>0.1349685535159946</v>
      </c>
      <c r="AB5" t="s">
        <v>1362</v>
      </c>
    </row>
    <row r="6" spans="1:28" ht="15" customHeight="1" x14ac:dyDescent="0.25">
      <c r="A6" t="s">
        <v>1</v>
      </c>
      <c r="B6" t="s">
        <v>58</v>
      </c>
      <c r="C6">
        <v>5</v>
      </c>
      <c r="D6" t="str">
        <f t="shared" si="0"/>
        <v>S1|5</v>
      </c>
      <c r="E6" t="str">
        <f>UPPER(MID(INDEX(raw_comp_PTA!$C$2:$C$81,MATCH(D6,raw_comp_PTA!$J$2:$J$81,0)),5,2))</f>
        <v>SA</v>
      </c>
      <c r="F6" s="3">
        <f>_xlfn.MINIFS(raw_outputtable!$J$2:$J$816,raw_outputtable!$A$2:$A$816,A6,raw_outputtable!$B$2:$B$816,C6)</f>
        <v>540</v>
      </c>
      <c r="G6" s="3">
        <f>_xlfn.MAXIFS(raw_outputtable!$K$2:$K$816,raw_outputtable!$A$2:$A$816,A6,raw_outputtable!$B$2:$B$816,C6)</f>
        <v>1444.9333332921378</v>
      </c>
      <c r="H6" s="3">
        <f t="shared" si="1"/>
        <v>904.93333329213783</v>
      </c>
      <c r="I6" s="16">
        <f t="shared" si="2"/>
        <v>904.93333329213783</v>
      </c>
      <c r="J6" s="3">
        <f>INDEX(raw_comp_PTA!$H$2:$H$81,MATCH(D6,raw_comp_PTA!$J$2:$J$81,0))</f>
        <v>444.1</v>
      </c>
      <c r="K6" s="16">
        <f t="shared" si="3"/>
        <v>444.1</v>
      </c>
      <c r="L6" s="3">
        <f>SUMIFS(raw_comp_PTA_stations!$E$2:$E$461,raw_comp_PTA_stations!$A$2:$A$461,A6,raw_comp_PTA_stations!$B$2:$B$461,C6,raw_comp_PTA_stations!$C$2:$C$461,"ws*")</f>
        <v>418.84000000000003</v>
      </c>
      <c r="M6" s="16">
        <f t="shared" si="4"/>
        <v>418.84000000000003</v>
      </c>
      <c r="N6" s="3">
        <f>INDEX(raw_comp_PTA!$G$2:$G$81,MATCH(D6,raw_comp_PTA!$J$2:$J$81,0))</f>
        <v>871.46</v>
      </c>
      <c r="O6" s="16">
        <f t="shared" si="5"/>
        <v>871.46</v>
      </c>
      <c r="P6">
        <f>COUNTIFS(raw_outputtable!$A$2:$A$816,A6,raw_outputtable!$B$2:$B$816,C6)</f>
        <v>9</v>
      </c>
      <c r="Q6">
        <f>INDEX(raw_casetable!$F$2:$F$81,MATCH(D6,raw_casetable!$G$2:$G$81,0))</f>
        <v>9</v>
      </c>
      <c r="R6">
        <f t="shared" si="6"/>
        <v>1</v>
      </c>
      <c r="S6">
        <f>IFERROR(IF(INDEX(Factory_PO!$C$2:$C$61,MATCH(B6&amp;"|"&amp;C6,Factory_PO!$E$2:$E$61,0))="","",INDEX(Factory_PO!$C$2:$C$61,MATCH(B6&amp;"|"&amp;C6,Factory_PO!$E$2:$E$61,0))),"")</f>
        <v>555</v>
      </c>
      <c r="T6" s="17">
        <f t="shared" si="7"/>
        <v>555</v>
      </c>
      <c r="U6">
        <f>IFERROR(IF(INDEX(Factory_PO!$D$2:$D$61,MATCH(B6&amp;"|"&amp;C6,Factory_PO!$E$2:$E$61,0))="","",INDEX(Factory_PO!$D$2:$D$61,MATCH(B6&amp;"|"&amp;C6,Factory_PO!$E$2:$E$61,0))),"")</f>
        <v>976</v>
      </c>
      <c r="V6" s="17">
        <f t="shared" si="8"/>
        <v>976</v>
      </c>
      <c r="W6">
        <f t="shared" si="9"/>
        <v>1</v>
      </c>
      <c r="X6" t="str">
        <f t="shared" si="10"/>
        <v>Complete</v>
      </c>
      <c r="Y6">
        <f t="shared" si="11"/>
        <v>1</v>
      </c>
      <c r="Z6" s="10">
        <f t="shared" si="12"/>
        <v>-7.2814207692481731E-2</v>
      </c>
      <c r="AA6" s="18">
        <f t="shared" si="13"/>
        <v>-7.2814207692481731E-2</v>
      </c>
      <c r="AB6" t="s">
        <v>1362</v>
      </c>
    </row>
    <row r="7" spans="1:28" ht="15" customHeight="1" x14ac:dyDescent="0.25">
      <c r="A7" t="s">
        <v>1</v>
      </c>
      <c r="B7" t="s">
        <v>58</v>
      </c>
      <c r="C7">
        <v>6</v>
      </c>
      <c r="D7" t="str">
        <f t="shared" si="0"/>
        <v>S1|6</v>
      </c>
      <c r="E7" t="str">
        <f>UPPER(MID(INDEX(raw_comp_PTA!$C$2:$C$81,MATCH(D7,raw_comp_PTA!$J$2:$J$81,0)),5,2))</f>
        <v>RD</v>
      </c>
      <c r="F7" s="3">
        <f>_xlfn.MINIFS(raw_outputtable!$J$2:$J$816,raw_outputtable!$A$2:$A$816,A7,raw_outputtable!$B$2:$B$816,C7)</f>
        <v>600.00000004889444</v>
      </c>
      <c r="G7" s="3">
        <f>_xlfn.MAXIFS(raw_outputtable!$K$2:$K$816,raw_outputtable!$A$2:$A$816,A7,raw_outputtable!$B$2:$B$816,C7)</f>
        <v>1621.5333333145827</v>
      </c>
      <c r="H7" s="3">
        <f t="shared" si="1"/>
        <v>1021.5333332656883</v>
      </c>
      <c r="I7" s="16">
        <f t="shared" si="2"/>
        <v>1021.5333332656883</v>
      </c>
      <c r="J7" s="3">
        <f>INDEX(raw_comp_PTA!$H$2:$H$81,MATCH(D7,raw_comp_PTA!$J$2:$J$81,0))</f>
        <v>445.1</v>
      </c>
      <c r="K7" s="16">
        <f t="shared" si="3"/>
        <v>445.1</v>
      </c>
      <c r="L7" s="3">
        <f>SUMIFS(raw_comp_PTA_stations!$E$2:$E$461,raw_comp_PTA_stations!$A$2:$A$461,A7,raw_comp_PTA_stations!$B$2:$B$461,C7,raw_comp_PTA_stations!$C$2:$C$461,"ws*")</f>
        <v>533.9</v>
      </c>
      <c r="M7" s="16">
        <f t="shared" si="4"/>
        <v>533.9</v>
      </c>
      <c r="N7" s="3">
        <f>INDEX(raw_comp_PTA!$G$2:$G$81,MATCH(D7,raw_comp_PTA!$J$2:$J$81,0))</f>
        <v>986.53</v>
      </c>
      <c r="O7" s="16">
        <f t="shared" si="5"/>
        <v>986.53</v>
      </c>
      <c r="P7">
        <f>COUNTIFS(raw_outputtable!$A$2:$A$816,A7,raw_outputtable!$B$2:$B$816,C7)</f>
        <v>8</v>
      </c>
      <c r="Q7">
        <f>INDEX(raw_casetable!$F$2:$F$81,MATCH(D7,raw_casetable!$G$2:$G$81,0))</f>
        <v>8</v>
      </c>
      <c r="R7">
        <f t="shared" si="6"/>
        <v>1</v>
      </c>
      <c r="S7">
        <f>IFERROR(IF(INDEX(Factory_PO!$C$2:$C$61,MATCH(B7&amp;"|"&amp;C7,Factory_PO!$E$2:$E$61,0))="","",INDEX(Factory_PO!$C$2:$C$61,MATCH(B7&amp;"|"&amp;C7,Factory_PO!$E$2:$E$61,0))),"")</f>
        <v>480</v>
      </c>
      <c r="T7" s="17">
        <f t="shared" si="7"/>
        <v>480</v>
      </c>
      <c r="U7">
        <f>IFERROR(IF(INDEX(Factory_PO!$D$2:$D$61,MATCH(B7&amp;"|"&amp;C7,Factory_PO!$E$2:$E$61,0))="","",INDEX(Factory_PO!$D$2:$D$61,MATCH(B7&amp;"|"&amp;C7,Factory_PO!$E$2:$E$61,0))),"")</f>
        <v>1231</v>
      </c>
      <c r="V7" s="17">
        <f t="shared" si="8"/>
        <v>1231</v>
      </c>
      <c r="W7">
        <f t="shared" si="9"/>
        <v>1</v>
      </c>
      <c r="X7" t="str">
        <f t="shared" si="10"/>
        <v>Complete</v>
      </c>
      <c r="Y7">
        <f t="shared" si="11"/>
        <v>1</v>
      </c>
      <c r="Z7" s="10">
        <f t="shared" si="12"/>
        <v>-0.1701597617662971</v>
      </c>
      <c r="AA7" s="18">
        <f t="shared" si="13"/>
        <v>-0.1701597617662971</v>
      </c>
      <c r="AB7" t="s">
        <v>1362</v>
      </c>
    </row>
    <row r="8" spans="1:28" ht="15" customHeight="1" x14ac:dyDescent="0.25">
      <c r="A8" t="s">
        <v>1</v>
      </c>
      <c r="B8" t="s">
        <v>58</v>
      </c>
      <c r="C8">
        <v>7</v>
      </c>
      <c r="D8" t="str">
        <f t="shared" si="0"/>
        <v>S1|7</v>
      </c>
      <c r="E8" t="str">
        <f>UPPER(MID(INDEX(raw_comp_PTA!$C$2:$C$81,MATCH(D8,raw_comp_PTA!$J$2:$J$81,0)),5,2))</f>
        <v>RD</v>
      </c>
      <c r="F8" s="3">
        <f>_xlfn.MINIFS(raw_outputtable!$J$2:$J$816,raw_outputtable!$A$2:$A$816,A8,raw_outputtable!$B$2:$B$816,C8)</f>
        <v>720</v>
      </c>
      <c r="G8" s="3">
        <f>_xlfn.MAXIFS(raw_outputtable!$K$2:$K$816,raw_outputtable!$A$2:$A$816,A8,raw_outputtable!$B$2:$B$816,C8)</f>
        <v>1801.5333333145827</v>
      </c>
      <c r="H8" s="3">
        <f t="shared" si="1"/>
        <v>1081.5333333145827</v>
      </c>
      <c r="I8" s="16">
        <f t="shared" si="2"/>
        <v>1081.5333333145827</v>
      </c>
      <c r="J8" s="3">
        <f>INDEX(raw_comp_PTA!$H$2:$H$81,MATCH(D8,raw_comp_PTA!$J$2:$J$81,0))</f>
        <v>445.1</v>
      </c>
      <c r="K8" s="16">
        <f t="shared" si="3"/>
        <v>445.1</v>
      </c>
      <c r="L8" s="3">
        <f>SUMIFS(raw_comp_PTA_stations!$E$2:$E$461,raw_comp_PTA_stations!$A$2:$A$461,A8,raw_comp_PTA_stations!$B$2:$B$461,C8,raw_comp_PTA_stations!$C$2:$C$461,"ws*")</f>
        <v>595.42999999999995</v>
      </c>
      <c r="M8" s="16">
        <f t="shared" si="4"/>
        <v>595.42999999999995</v>
      </c>
      <c r="N8" s="3">
        <f>INDEX(raw_comp_PTA!$G$2:$G$81,MATCH(D8,raw_comp_PTA!$J$2:$J$81,0))</f>
        <v>1046.53</v>
      </c>
      <c r="O8" s="16">
        <f t="shared" si="5"/>
        <v>1046.53</v>
      </c>
      <c r="P8">
        <f>COUNTIFS(raw_outputtable!$A$2:$A$816,A8,raw_outputtable!$B$2:$B$816,C8)</f>
        <v>8</v>
      </c>
      <c r="Q8">
        <f>INDEX(raw_casetable!$F$2:$F$81,MATCH(D8,raw_casetable!$G$2:$G$81,0))</f>
        <v>8</v>
      </c>
      <c r="R8">
        <f t="shared" si="6"/>
        <v>1</v>
      </c>
      <c r="S8">
        <f>IFERROR(IF(INDEX(Factory_PO!$C$2:$C$61,MATCH(B8&amp;"|"&amp;C8,Factory_PO!$E$2:$E$61,0))="","",INDEX(Factory_PO!$C$2:$C$61,MATCH(B8&amp;"|"&amp;C8,Factory_PO!$E$2:$E$61,0))),"")</f>
        <v>383</v>
      </c>
      <c r="T8" s="17">
        <f t="shared" si="7"/>
        <v>383</v>
      </c>
      <c r="U8">
        <f>IFERROR(IF(INDEX(Factory_PO!$D$2:$D$61,MATCH(B8&amp;"|"&amp;C8,Factory_PO!$E$2:$E$61,0))="","",INDEX(Factory_PO!$D$2:$D$61,MATCH(B8&amp;"|"&amp;C8,Factory_PO!$E$2:$E$61,0))),"")</f>
        <v>941</v>
      </c>
      <c r="V8" s="17">
        <f t="shared" si="8"/>
        <v>941</v>
      </c>
      <c r="W8">
        <f t="shared" si="9"/>
        <v>1</v>
      </c>
      <c r="X8" t="str">
        <f t="shared" si="10"/>
        <v>Complete</v>
      </c>
      <c r="Y8">
        <f t="shared" si="11"/>
        <v>1</v>
      </c>
      <c r="Z8" s="10">
        <f t="shared" si="12"/>
        <v>0.14934466877213889</v>
      </c>
      <c r="AA8" s="18">
        <f t="shared" si="13"/>
        <v>0.14934466877213889</v>
      </c>
      <c r="AB8" t="s">
        <v>1362</v>
      </c>
    </row>
    <row r="9" spans="1:28" ht="15" customHeight="1" x14ac:dyDescent="0.25">
      <c r="A9" t="s">
        <v>1</v>
      </c>
      <c r="B9" t="s">
        <v>58</v>
      </c>
      <c r="C9">
        <v>8</v>
      </c>
      <c r="D9" t="str">
        <f t="shared" si="0"/>
        <v>S1|8</v>
      </c>
      <c r="E9" t="str">
        <f>UPPER(MID(INDEX(raw_comp_PTA!$C$2:$C$81,MATCH(D9,raw_comp_PTA!$J$2:$J$81,0)),5,2))</f>
        <v>TL</v>
      </c>
      <c r="F9" s="3">
        <f>_xlfn.MINIFS(raw_outputtable!$J$2:$J$816,raw_outputtable!$A$2:$A$816,A9,raw_outputtable!$B$2:$B$816,C9)</f>
        <v>870.00000004889444</v>
      </c>
      <c r="G9" s="3">
        <f>_xlfn.MAXIFS(raw_outputtable!$K$2:$K$816,raw_outputtable!$A$2:$A$816,A9,raw_outputtable!$B$2:$B$816,C9)</f>
        <v>1860.8666666352656</v>
      </c>
      <c r="H9" s="3">
        <f t="shared" si="1"/>
        <v>990.86666658637114</v>
      </c>
      <c r="I9" s="16">
        <f t="shared" si="2"/>
        <v>990.86666658637114</v>
      </c>
      <c r="J9" s="3">
        <f>INDEX(raw_comp_PTA!$H$2:$H$81,MATCH(D9,raw_comp_PTA!$J$2:$J$81,0))</f>
        <v>374.1</v>
      </c>
      <c r="K9" s="16">
        <f t="shared" si="3"/>
        <v>374.1</v>
      </c>
      <c r="L9" s="3">
        <f>SUMIFS(raw_comp_PTA_stations!$E$2:$E$461,raw_comp_PTA_stations!$A$2:$A$461,A9,raw_comp_PTA_stations!$B$2:$B$461,C9,raw_comp_PTA_stations!$C$2:$C$461,"ws*")</f>
        <v>581.37</v>
      </c>
      <c r="M9" s="16">
        <f t="shared" si="4"/>
        <v>581.37</v>
      </c>
      <c r="N9" s="3">
        <f>INDEX(raw_comp_PTA!$G$2:$G$81,MATCH(D9,raw_comp_PTA!$J$2:$J$81,0))</f>
        <v>957.4</v>
      </c>
      <c r="O9" s="16">
        <f t="shared" si="5"/>
        <v>957.4</v>
      </c>
      <c r="P9">
        <f>COUNTIFS(raw_outputtable!$A$2:$A$816,A9,raw_outputtable!$B$2:$B$816,C9)</f>
        <v>8</v>
      </c>
      <c r="Q9">
        <f>INDEX(raw_casetable!$F$2:$F$81,MATCH(D9,raw_casetable!$G$2:$G$81,0))</f>
        <v>8</v>
      </c>
      <c r="R9">
        <f t="shared" si="6"/>
        <v>1</v>
      </c>
      <c r="S9">
        <f>IFERROR(IF(INDEX(Factory_PO!$C$2:$C$61,MATCH(B9&amp;"|"&amp;C9,Factory_PO!$E$2:$E$61,0))="","",INDEX(Factory_PO!$C$2:$C$61,MATCH(B9&amp;"|"&amp;C9,Factory_PO!$E$2:$E$61,0))),"")</f>
        <v>403</v>
      </c>
      <c r="T9" s="17">
        <f t="shared" si="7"/>
        <v>403</v>
      </c>
      <c r="U9">
        <f>IFERROR(IF(INDEX(Factory_PO!$D$2:$D$61,MATCH(B9&amp;"|"&amp;C9,Factory_PO!$E$2:$E$61,0))="","",INDEX(Factory_PO!$D$2:$D$61,MATCH(B9&amp;"|"&amp;C9,Factory_PO!$E$2:$E$61,0))),"")</f>
        <v>931</v>
      </c>
      <c r="V9" s="17">
        <f t="shared" si="8"/>
        <v>931</v>
      </c>
      <c r="W9">
        <f t="shared" si="9"/>
        <v>1</v>
      </c>
      <c r="X9" t="str">
        <f t="shared" si="10"/>
        <v>Complete</v>
      </c>
      <c r="Y9">
        <f t="shared" si="11"/>
        <v>1</v>
      </c>
      <c r="Z9" s="10">
        <f t="shared" si="12"/>
        <v>6.4303616097068889E-2</v>
      </c>
      <c r="AA9" s="18">
        <f t="shared" si="13"/>
        <v>6.4303616097068889E-2</v>
      </c>
      <c r="AB9" t="s">
        <v>1362</v>
      </c>
    </row>
    <row r="10" spans="1:28" ht="15" customHeight="1" x14ac:dyDescent="0.25">
      <c r="A10" t="s">
        <v>1</v>
      </c>
      <c r="B10" t="s">
        <v>58</v>
      </c>
      <c r="C10">
        <v>9</v>
      </c>
      <c r="D10" t="str">
        <f t="shared" si="0"/>
        <v>S1|9</v>
      </c>
      <c r="E10" t="str">
        <f>UPPER(MID(INDEX(raw_comp_PTA!$C$2:$C$81,MATCH(D10,raw_comp_PTA!$J$2:$J$81,0)),5,2))</f>
        <v>RD</v>
      </c>
      <c r="F10" s="3">
        <f>_xlfn.MINIFS(raw_outputtable!$J$2:$J$816,raw_outputtable!$A$2:$A$816,A10,raw_outputtable!$B$2:$B$816,C10)</f>
        <v>1109.9999999511056</v>
      </c>
      <c r="G10" s="3">
        <f>_xlfn.MAXIFS(raw_outputtable!$K$2:$K$816,raw_outputtable!$A$2:$A$816,A10,raw_outputtable!$B$2:$B$816,C10)</f>
        <v>2341.5333333145827</v>
      </c>
      <c r="H10" s="3">
        <f t="shared" si="1"/>
        <v>1231.5333333634771</v>
      </c>
      <c r="I10" s="16">
        <f t="shared" si="2"/>
        <v>1231.5333333634771</v>
      </c>
      <c r="J10" s="3">
        <f>INDEX(raw_comp_PTA!$H$2:$H$81,MATCH(D10,raw_comp_PTA!$J$2:$J$81,0))</f>
        <v>445.1</v>
      </c>
      <c r="K10" s="16">
        <f t="shared" si="3"/>
        <v>445.1</v>
      </c>
      <c r="L10" s="3">
        <f>SUMIFS(raw_comp_PTA_stations!$E$2:$E$461,raw_comp_PTA_stations!$A$2:$A$461,A10,raw_comp_PTA_stations!$B$2:$B$461,C10,raw_comp_PTA_stations!$C$2:$C$461,"ws*")</f>
        <v>745.43999999999994</v>
      </c>
      <c r="M10" s="16">
        <f t="shared" si="4"/>
        <v>745.43999999999994</v>
      </c>
      <c r="N10" s="3">
        <f>INDEX(raw_comp_PTA!$G$2:$G$81,MATCH(D10,raw_comp_PTA!$J$2:$J$81,0))</f>
        <v>1198.06</v>
      </c>
      <c r="O10" s="16">
        <f t="shared" si="5"/>
        <v>1198.06</v>
      </c>
      <c r="P10">
        <f>COUNTIFS(raw_outputtable!$A$2:$A$816,A10,raw_outputtable!$B$2:$B$816,C10)</f>
        <v>8</v>
      </c>
      <c r="Q10">
        <f>INDEX(raw_casetable!$F$2:$F$81,MATCH(D10,raw_casetable!$G$2:$G$81,0))</f>
        <v>8</v>
      </c>
      <c r="R10">
        <f t="shared" si="6"/>
        <v>1</v>
      </c>
      <c r="S10">
        <f>IFERROR(IF(INDEX(Factory_PO!$C$2:$C$61,MATCH(B10&amp;"|"&amp;C10,Factory_PO!$E$2:$E$61,0))="","",INDEX(Factory_PO!$C$2:$C$61,MATCH(B10&amp;"|"&amp;C10,Factory_PO!$E$2:$E$61,0))),"")</f>
        <v>285</v>
      </c>
      <c r="T10" s="17">
        <f t="shared" si="7"/>
        <v>285</v>
      </c>
      <c r="U10">
        <f>IFERROR(IF(INDEX(Factory_PO!$D$2:$D$61,MATCH(B10&amp;"|"&amp;C10,Factory_PO!$E$2:$E$61,0))="","",INDEX(Factory_PO!$D$2:$D$61,MATCH(B10&amp;"|"&amp;C10,Factory_PO!$E$2:$E$61,0))),"")</f>
        <v>1082</v>
      </c>
      <c r="V10" s="17">
        <f t="shared" si="8"/>
        <v>1082</v>
      </c>
      <c r="W10">
        <f t="shared" si="9"/>
        <v>1</v>
      </c>
      <c r="X10" t="str">
        <f t="shared" si="10"/>
        <v>Complete</v>
      </c>
      <c r="Y10">
        <f t="shared" si="11"/>
        <v>1</v>
      </c>
      <c r="Z10" s="10">
        <f t="shared" si="12"/>
        <v>0.13820086262798256</v>
      </c>
      <c r="AA10" s="18">
        <f t="shared" si="13"/>
        <v>0.13820086262798256</v>
      </c>
      <c r="AB10" t="s">
        <v>1362</v>
      </c>
    </row>
    <row r="11" spans="1:28" ht="15" customHeight="1" x14ac:dyDescent="0.25">
      <c r="A11" t="s">
        <v>1</v>
      </c>
      <c r="B11" t="s">
        <v>58</v>
      </c>
      <c r="C11">
        <v>10</v>
      </c>
      <c r="D11" t="str">
        <f t="shared" si="0"/>
        <v>S1|10</v>
      </c>
      <c r="E11" t="str">
        <f>UPPER(MID(INDEX(raw_comp_PTA!$C$2:$C$81,MATCH(D11,raw_comp_PTA!$J$2:$J$81,0)),5,2))</f>
        <v>SA</v>
      </c>
      <c r="F11" s="3">
        <f>_xlfn.MINIFS(raw_outputtable!$J$2:$J$816,raw_outputtable!$A$2:$A$816,A11,raw_outputtable!$B$2:$B$816,C11)</f>
        <v>1800</v>
      </c>
      <c r="G11" s="3">
        <f>_xlfn.MAXIFS(raw_outputtable!$K$2:$K$816,raw_outputtable!$A$2:$A$816,A11,raw_outputtable!$B$2:$B$816,C11)</f>
        <v>2371.5333332656883</v>
      </c>
      <c r="H11" s="3">
        <f t="shared" si="1"/>
        <v>571.53333326568827</v>
      </c>
      <c r="I11" s="16" t="str">
        <f t="shared" si="2"/>
        <v>DNF</v>
      </c>
      <c r="J11" s="3">
        <f>INDEX(raw_comp_PTA!$H$2:$H$81,MATCH(D11,raw_comp_PTA!$J$2:$J$81,0))</f>
        <v>236</v>
      </c>
      <c r="K11" s="16" t="str">
        <f t="shared" si="3"/>
        <v>DNF</v>
      </c>
      <c r="L11" s="3">
        <f>SUMIFS(raw_comp_PTA_stations!$E$2:$E$461,raw_comp_PTA_stations!$A$2:$A$461,A11,raw_comp_PTA_stations!$B$2:$B$461,C11,raw_comp_PTA_stations!$C$2:$C$461,"ws*")</f>
        <v>296.94</v>
      </c>
      <c r="M11" s="16" t="str">
        <f t="shared" si="4"/>
        <v>DNF</v>
      </c>
      <c r="N11" s="3">
        <f>INDEX(raw_comp_PTA!$G$2:$G$81,MATCH(D11,raw_comp_PTA!$J$2:$J$81,0))</f>
        <v>538.05999999999995</v>
      </c>
      <c r="O11" s="16" t="str">
        <f t="shared" si="5"/>
        <v>DNF</v>
      </c>
      <c r="P11">
        <f>COUNTIFS(raw_outputtable!$A$2:$A$816,A11,raw_outputtable!$B$2:$B$816,C11)</f>
        <v>5</v>
      </c>
      <c r="Q11">
        <f>INDEX(raw_casetable!$F$2:$F$81,MATCH(D11,raw_casetable!$G$2:$G$81,0))</f>
        <v>9</v>
      </c>
      <c r="R11">
        <f t="shared" si="6"/>
        <v>0</v>
      </c>
      <c r="S11">
        <f>IFERROR(IF(INDEX(Factory_PO!$C$2:$C$61,MATCH(B11&amp;"|"&amp;C11,Factory_PO!$E$2:$E$61,0))="","",INDEX(Factory_PO!$C$2:$C$61,MATCH(B11&amp;"|"&amp;C11,Factory_PO!$E$2:$E$61,0))),"")</f>
        <v>330</v>
      </c>
      <c r="T11" s="17" t="str">
        <f t="shared" si="7"/>
        <v>DNF</v>
      </c>
      <c r="U11">
        <f>IFERROR(IF(INDEX(Factory_PO!$D$2:$D$61,MATCH(B11&amp;"|"&amp;C11,Factory_PO!$E$2:$E$61,0))="","",INDEX(Factory_PO!$D$2:$D$61,MATCH(B11&amp;"|"&amp;C11,Factory_PO!$E$2:$E$61,0))),"")</f>
        <v>616</v>
      </c>
      <c r="V11" s="17" t="str">
        <f t="shared" si="8"/>
        <v>DNF</v>
      </c>
      <c r="W11">
        <f t="shared" si="9"/>
        <v>1</v>
      </c>
      <c r="X11" t="str">
        <f t="shared" si="10"/>
        <v>DNF (sim)</v>
      </c>
      <c r="Y11">
        <f t="shared" si="11"/>
        <v>0</v>
      </c>
      <c r="Z11" s="10">
        <f t="shared" si="12"/>
        <v>-7.2186147295960595E-2</v>
      </c>
      <c r="AA11" s="18" t="str">
        <f t="shared" si="13"/>
        <v>DNF</v>
      </c>
      <c r="AB11" t="s">
        <v>1362</v>
      </c>
    </row>
    <row r="12" spans="1:28" ht="15" customHeight="1" x14ac:dyDescent="0.25">
      <c r="A12" t="s">
        <v>2</v>
      </c>
      <c r="B12" t="s">
        <v>60</v>
      </c>
      <c r="C12">
        <v>1</v>
      </c>
      <c r="D12" t="str">
        <f t="shared" si="0"/>
        <v>S2|1</v>
      </c>
      <c r="E12" t="str">
        <f>UPPER(MID(INDEX(raw_comp_PTA!$C$2:$C$81,MATCH(D12,raw_comp_PTA!$J$2:$J$81,0)),5,2))</f>
        <v>HD</v>
      </c>
      <c r="F12" s="3">
        <f>_xlfn.MINIFS(raw_outputtable!$J$2:$J$816,raw_outputtable!$A$2:$A$816,A12,raw_outputtable!$B$2:$B$816,C12)</f>
        <v>0</v>
      </c>
      <c r="G12" s="3">
        <f>_xlfn.MAXIFS(raw_outputtable!$K$2:$K$816,raw_outputtable!$A$2:$A$816,A12,raw_outputtable!$B$2:$B$816,C12)</f>
        <v>1171.5333333145827</v>
      </c>
      <c r="H12" s="3">
        <f t="shared" si="1"/>
        <v>1171.5333333145827</v>
      </c>
      <c r="I12" s="16">
        <f t="shared" si="2"/>
        <v>1171.5333333145827</v>
      </c>
      <c r="J12" s="3">
        <f>INDEX(raw_comp_PTA!$H$2:$H$81,MATCH(D12,raw_comp_PTA!$J$2:$J$81,0))</f>
        <v>1089.3</v>
      </c>
      <c r="K12" s="16">
        <f t="shared" si="3"/>
        <v>1089.3</v>
      </c>
      <c r="L12" s="3">
        <f>SUMIFS(raw_comp_PTA_stations!$E$2:$E$461,raw_comp_PTA_stations!$A$2:$A$461,A12,raw_comp_PTA_stations!$B$2:$B$461,C12,raw_comp_PTA_stations!$C$2:$C$461,"ws*")</f>
        <v>49.43</v>
      </c>
      <c r="M12" s="16">
        <f t="shared" si="4"/>
        <v>49.43</v>
      </c>
      <c r="N12" s="3">
        <f>INDEX(raw_comp_PTA!$G$2:$G$81,MATCH(D12,raw_comp_PTA!$J$2:$J$81,0))</f>
        <v>1141.33</v>
      </c>
      <c r="O12" s="16">
        <f t="shared" si="5"/>
        <v>1141.33</v>
      </c>
      <c r="P12">
        <f>COUNTIFS(raw_outputtable!$A$2:$A$816,A12,raw_outputtable!$B$2:$B$816,C12)</f>
        <v>14</v>
      </c>
      <c r="Q12">
        <f>INDEX(raw_casetable!$F$2:$F$81,MATCH(D12,raw_casetable!$G$2:$G$81,0))</f>
        <v>14</v>
      </c>
      <c r="R12">
        <f t="shared" si="6"/>
        <v>1</v>
      </c>
      <c r="S12">
        <f>IFERROR(IF(INDEX(Factory_PO!$C$2:$C$61,MATCH(B12&amp;"|"&amp;C12,Factory_PO!$E$2:$E$61,0))="","",INDEX(Factory_PO!$C$2:$C$61,MATCH(B12&amp;"|"&amp;C12,Factory_PO!$E$2:$E$61,0))),"")</f>
        <v>1155</v>
      </c>
      <c r="T12" s="17">
        <f t="shared" si="7"/>
        <v>1155</v>
      </c>
      <c r="U12">
        <f>IFERROR(IF(INDEX(Factory_PO!$D$2:$D$61,MATCH(B12&amp;"|"&amp;C12,Factory_PO!$E$2:$E$61,0))="","",INDEX(Factory_PO!$D$2:$D$61,MATCH(B12&amp;"|"&amp;C12,Factory_PO!$E$2:$E$61,0))),"")</f>
        <v>1231</v>
      </c>
      <c r="V12" s="17">
        <f t="shared" si="8"/>
        <v>1231</v>
      </c>
      <c r="W12">
        <f t="shared" si="9"/>
        <v>1</v>
      </c>
      <c r="X12" t="str">
        <f t="shared" si="10"/>
        <v>Complete</v>
      </c>
      <c r="Y12">
        <f t="shared" si="11"/>
        <v>1</v>
      </c>
      <c r="Z12" s="10">
        <f t="shared" si="12"/>
        <v>-4.8307609005213074E-2</v>
      </c>
      <c r="AA12" s="18">
        <f t="shared" si="13"/>
        <v>-4.8307609005213074E-2</v>
      </c>
      <c r="AB12" t="s">
        <v>1363</v>
      </c>
    </row>
    <row r="13" spans="1:28" ht="15" customHeight="1" x14ac:dyDescent="0.25">
      <c r="A13" t="s">
        <v>2</v>
      </c>
      <c r="B13" t="s">
        <v>60</v>
      </c>
      <c r="C13">
        <v>2</v>
      </c>
      <c r="D13" t="str">
        <f t="shared" si="0"/>
        <v>S2|2</v>
      </c>
      <c r="E13" t="str">
        <f>UPPER(MID(INDEX(raw_comp_PTA!$C$2:$C$81,MATCH(D13,raw_comp_PTA!$J$2:$J$81,0)),5,2))</f>
        <v>HD</v>
      </c>
      <c r="F13" s="3">
        <f>_xlfn.MINIFS(raw_outputtable!$J$2:$J$816,raw_outputtable!$A$2:$A$816,A13,raw_outputtable!$B$2:$B$816,C13)</f>
        <v>60.000000048894435</v>
      </c>
      <c r="G13" s="3">
        <f>_xlfn.MAXIFS(raw_outputtable!$K$2:$K$816,raw_outputtable!$A$2:$A$816,A13,raw_outputtable!$B$2:$B$816,C13)</f>
        <v>1233.0666666675825</v>
      </c>
      <c r="H13" s="3">
        <f t="shared" si="1"/>
        <v>1173.066666618688</v>
      </c>
      <c r="I13" s="16">
        <f t="shared" si="2"/>
        <v>1173.066666618688</v>
      </c>
      <c r="J13" s="3">
        <f>INDEX(raw_comp_PTA!$H$2:$H$81,MATCH(D13,raw_comp_PTA!$J$2:$J$81,0))</f>
        <v>1089.3</v>
      </c>
      <c r="K13" s="16">
        <f t="shared" si="3"/>
        <v>1089.3</v>
      </c>
      <c r="L13" s="3">
        <f>SUMIFS(raw_comp_PTA_stations!$E$2:$E$461,raw_comp_PTA_stations!$A$2:$A$461,A13,raw_comp_PTA_stations!$B$2:$B$461,C13,raw_comp_PTA_stations!$C$2:$C$461,"ws*")</f>
        <v>46.1</v>
      </c>
      <c r="M13" s="16">
        <f t="shared" si="4"/>
        <v>46.1</v>
      </c>
      <c r="N13" s="3">
        <f>INDEX(raw_comp_PTA!$G$2:$G$81,MATCH(D13,raw_comp_PTA!$J$2:$J$81,0))</f>
        <v>1140.27</v>
      </c>
      <c r="O13" s="16">
        <f t="shared" si="5"/>
        <v>1140.27</v>
      </c>
      <c r="P13">
        <f>COUNTIFS(raw_outputtable!$A$2:$A$816,A13,raw_outputtable!$B$2:$B$816,C13)</f>
        <v>14</v>
      </c>
      <c r="Q13">
        <f>INDEX(raw_casetable!$F$2:$F$81,MATCH(D13,raw_casetable!$G$2:$G$81,0))</f>
        <v>14</v>
      </c>
      <c r="R13">
        <f t="shared" si="6"/>
        <v>1</v>
      </c>
      <c r="S13">
        <f>IFERROR(IF(INDEX(Factory_PO!$C$2:$C$61,MATCH(B13&amp;"|"&amp;C13,Factory_PO!$E$2:$E$61,0))="","",INDEX(Factory_PO!$C$2:$C$61,MATCH(B13&amp;"|"&amp;C13,Factory_PO!$E$2:$E$61,0))),"")</f>
        <v>1325</v>
      </c>
      <c r="T13" s="17">
        <f t="shared" si="7"/>
        <v>1325</v>
      </c>
      <c r="U13">
        <f>IFERROR(IF(INDEX(Factory_PO!$D$2:$D$61,MATCH(B13&amp;"|"&amp;C13,Factory_PO!$E$2:$E$61,0))="","",INDEX(Factory_PO!$D$2:$D$61,MATCH(B13&amp;"|"&amp;C13,Factory_PO!$E$2:$E$61,0))),"")</f>
        <v>1051</v>
      </c>
      <c r="V13" s="17">
        <f t="shared" si="8"/>
        <v>1051</v>
      </c>
      <c r="W13">
        <f t="shared" si="9"/>
        <v>1</v>
      </c>
      <c r="X13" t="str">
        <f t="shared" si="10"/>
        <v>Complete</v>
      </c>
      <c r="Y13">
        <f t="shared" si="11"/>
        <v>1</v>
      </c>
      <c r="Z13" s="10">
        <f t="shared" si="12"/>
        <v>0.11614335548876122</v>
      </c>
      <c r="AA13" s="18">
        <f t="shared" si="13"/>
        <v>0.11614335548876122</v>
      </c>
      <c r="AB13" t="s">
        <v>1363</v>
      </c>
    </row>
    <row r="14" spans="1:28" ht="15" customHeight="1" x14ac:dyDescent="0.25">
      <c r="A14" t="s">
        <v>2</v>
      </c>
      <c r="B14" t="s">
        <v>60</v>
      </c>
      <c r="C14">
        <v>3</v>
      </c>
      <c r="D14" t="str">
        <f t="shared" si="0"/>
        <v>S2|3</v>
      </c>
      <c r="E14" t="str">
        <f>UPPER(MID(INDEX(raw_comp_PTA!$C$2:$C$81,MATCH(D14,raw_comp_PTA!$J$2:$J$81,0)),5,2))</f>
        <v>HD</v>
      </c>
      <c r="F14" s="3">
        <f>_xlfn.MINIFS(raw_outputtable!$J$2:$J$816,raw_outputtable!$A$2:$A$816,A14,raw_outputtable!$B$2:$B$816,C14)</f>
        <v>119.99999995110556</v>
      </c>
      <c r="G14" s="3">
        <f>_xlfn.MAXIFS(raw_outputtable!$K$2:$K$816,raw_outputtable!$A$2:$A$816,A14,raw_outputtable!$B$2:$B$816,C14)</f>
        <v>1293.0666667164769</v>
      </c>
      <c r="H14" s="3">
        <f t="shared" si="1"/>
        <v>1173.0666667653713</v>
      </c>
      <c r="I14" s="16">
        <f t="shared" si="2"/>
        <v>1173.0666667653713</v>
      </c>
      <c r="J14" s="3">
        <f>INDEX(raw_comp_PTA!$H$2:$H$81,MATCH(D14,raw_comp_PTA!$J$2:$J$81,0))</f>
        <v>1089.3</v>
      </c>
      <c r="K14" s="16">
        <f t="shared" si="3"/>
        <v>1089.3</v>
      </c>
      <c r="L14" s="3">
        <f>SUMIFS(raw_comp_PTA_stations!$E$2:$E$461,raw_comp_PTA_stations!$A$2:$A$461,A14,raw_comp_PTA_stations!$B$2:$B$461,C14,raw_comp_PTA_stations!$C$2:$C$461,"ws*")</f>
        <v>44.47</v>
      </c>
      <c r="M14" s="16">
        <f t="shared" si="4"/>
        <v>44.47</v>
      </c>
      <c r="N14" s="3">
        <f>INDEX(raw_comp_PTA!$G$2:$G$81,MATCH(D14,raw_comp_PTA!$J$2:$J$81,0))</f>
        <v>1137.9000000000001</v>
      </c>
      <c r="O14" s="16">
        <f t="shared" si="5"/>
        <v>1137.9000000000001</v>
      </c>
      <c r="P14">
        <f>COUNTIFS(raw_outputtable!$A$2:$A$816,A14,raw_outputtable!$B$2:$B$816,C14)</f>
        <v>14</v>
      </c>
      <c r="Q14">
        <f>INDEX(raw_casetable!$F$2:$F$81,MATCH(D14,raw_casetable!$G$2:$G$81,0))</f>
        <v>14</v>
      </c>
      <c r="R14">
        <f t="shared" si="6"/>
        <v>1</v>
      </c>
      <c r="S14">
        <f>IFERROR(IF(INDEX(Factory_PO!$C$2:$C$61,MATCH(B14&amp;"|"&amp;C14,Factory_PO!$E$2:$E$61,0))="","",INDEX(Factory_PO!$C$2:$C$61,MATCH(B14&amp;"|"&amp;C14,Factory_PO!$E$2:$E$61,0))),"")</f>
        <v>1140</v>
      </c>
      <c r="T14" s="17">
        <f t="shared" si="7"/>
        <v>1140</v>
      </c>
      <c r="U14">
        <f>IFERROR(IF(INDEX(Factory_PO!$D$2:$D$61,MATCH(B14&amp;"|"&amp;C14,Factory_PO!$E$2:$E$61,0))="","",INDEX(Factory_PO!$D$2:$D$61,MATCH(B14&amp;"|"&amp;C14,Factory_PO!$E$2:$E$61,0))),"")</f>
        <v>1171</v>
      </c>
      <c r="V14" s="17">
        <f t="shared" si="8"/>
        <v>1171</v>
      </c>
      <c r="W14">
        <f t="shared" si="9"/>
        <v>1</v>
      </c>
      <c r="X14" t="str">
        <f t="shared" si="10"/>
        <v>Complete</v>
      </c>
      <c r="Y14">
        <f t="shared" si="11"/>
        <v>1</v>
      </c>
      <c r="Z14" s="10">
        <f t="shared" si="12"/>
        <v>1.7648734119311165E-3</v>
      </c>
      <c r="AA14" s="18">
        <f t="shared" si="13"/>
        <v>1.7648734119311165E-3</v>
      </c>
      <c r="AB14" t="s">
        <v>1363</v>
      </c>
    </row>
    <row r="15" spans="1:28" ht="15" customHeight="1" x14ac:dyDescent="0.25">
      <c r="A15" t="s">
        <v>2</v>
      </c>
      <c r="B15" t="s">
        <v>60</v>
      </c>
      <c r="C15">
        <v>4</v>
      </c>
      <c r="D15" t="str">
        <f t="shared" si="0"/>
        <v>S2|4</v>
      </c>
      <c r="E15" t="str">
        <f>UPPER(MID(INDEX(raw_comp_PTA!$C$2:$C$81,MATCH(D15,raw_comp_PTA!$J$2:$J$81,0)),5,2))</f>
        <v>HD</v>
      </c>
      <c r="F15" s="3">
        <f>_xlfn.MINIFS(raw_outputtable!$J$2:$J$816,raw_outputtable!$A$2:$A$816,A15,raw_outputtable!$B$2:$B$816,C15)</f>
        <v>180</v>
      </c>
      <c r="G15" s="3">
        <f>_xlfn.MAXIFS(raw_outputtable!$K$2:$K$816,raw_outputtable!$A$2:$A$816,A15,raw_outputtable!$B$2:$B$816,C15)</f>
        <v>1353.0666666291654</v>
      </c>
      <c r="H15" s="3">
        <f t="shared" si="1"/>
        <v>1173.0666666291654</v>
      </c>
      <c r="I15" s="16">
        <f t="shared" si="2"/>
        <v>1173.0666666291654</v>
      </c>
      <c r="J15" s="3">
        <f>INDEX(raw_comp_PTA!$H$2:$H$81,MATCH(D15,raw_comp_PTA!$J$2:$J$81,0))</f>
        <v>1089.3</v>
      </c>
      <c r="K15" s="16">
        <f t="shared" si="3"/>
        <v>1089.3</v>
      </c>
      <c r="L15" s="3">
        <f>SUMIFS(raw_comp_PTA_stations!$E$2:$E$461,raw_comp_PTA_stations!$A$2:$A$461,A15,raw_comp_PTA_stations!$B$2:$B$461,C15,raw_comp_PTA_stations!$C$2:$C$461,"ws*")</f>
        <v>43</v>
      </c>
      <c r="M15" s="16">
        <f t="shared" si="4"/>
        <v>43</v>
      </c>
      <c r="N15" s="3">
        <f>INDEX(raw_comp_PTA!$G$2:$G$81,MATCH(D15,raw_comp_PTA!$J$2:$J$81,0))</f>
        <v>1137.17</v>
      </c>
      <c r="O15" s="16">
        <f t="shared" si="5"/>
        <v>1137.17</v>
      </c>
      <c r="P15">
        <f>COUNTIFS(raw_outputtable!$A$2:$A$816,A15,raw_outputtable!$B$2:$B$816,C15)</f>
        <v>14</v>
      </c>
      <c r="Q15">
        <f>INDEX(raw_casetable!$F$2:$F$81,MATCH(D15,raw_casetable!$G$2:$G$81,0))</f>
        <v>14</v>
      </c>
      <c r="R15">
        <f t="shared" si="6"/>
        <v>1</v>
      </c>
      <c r="S15">
        <f>IFERROR(IF(INDEX(Factory_PO!$C$2:$C$61,MATCH(B15&amp;"|"&amp;C15,Factory_PO!$E$2:$E$61,0))="","",INDEX(Factory_PO!$C$2:$C$61,MATCH(B15&amp;"|"&amp;C15,Factory_PO!$E$2:$E$61,0))),"")</f>
        <v>959</v>
      </c>
      <c r="T15" s="17">
        <f t="shared" si="7"/>
        <v>959</v>
      </c>
      <c r="U15">
        <f>IFERROR(IF(INDEX(Factory_PO!$D$2:$D$61,MATCH(B15&amp;"|"&amp;C15,Factory_PO!$E$2:$E$61,0))="","",INDEX(Factory_PO!$D$2:$D$61,MATCH(B15&amp;"|"&amp;C15,Factory_PO!$E$2:$E$61,0))),"")</f>
        <v>1006</v>
      </c>
      <c r="V15" s="17">
        <f t="shared" si="8"/>
        <v>1006</v>
      </c>
      <c r="W15">
        <f t="shared" si="9"/>
        <v>1</v>
      </c>
      <c r="X15" t="str">
        <f t="shared" si="10"/>
        <v>Complete</v>
      </c>
      <c r="Y15">
        <f t="shared" si="11"/>
        <v>1</v>
      </c>
      <c r="Z15" s="10">
        <f t="shared" si="12"/>
        <v>0.16607024515821611</v>
      </c>
      <c r="AA15" s="18">
        <f t="shared" si="13"/>
        <v>0.16607024515821611</v>
      </c>
      <c r="AB15" t="s">
        <v>1363</v>
      </c>
    </row>
    <row r="16" spans="1:28" ht="15" customHeight="1" x14ac:dyDescent="0.25">
      <c r="A16" t="s">
        <v>2</v>
      </c>
      <c r="B16" t="s">
        <v>60</v>
      </c>
      <c r="C16">
        <v>5</v>
      </c>
      <c r="D16" t="str">
        <f t="shared" si="0"/>
        <v>S2|5</v>
      </c>
      <c r="E16" t="str">
        <f>UPPER(MID(INDEX(raw_comp_PTA!$C$2:$C$81,MATCH(D16,raw_comp_PTA!$J$2:$J$81,0)),5,2))</f>
        <v>HD</v>
      </c>
      <c r="F16" s="3">
        <f>_xlfn.MINIFS(raw_outputtable!$J$2:$J$816,raw_outputtable!$A$2:$A$816,A16,raw_outputtable!$B$2:$B$816,C16)</f>
        <v>240.00000004889444</v>
      </c>
      <c r="G16" s="3">
        <f>_xlfn.MAXIFS(raw_outputtable!$K$2:$K$816,raw_outputtable!$A$2:$A$816,A16,raw_outputtable!$B$2:$B$816,C16)</f>
        <v>2251.5333333145827</v>
      </c>
      <c r="H16" s="3">
        <f t="shared" si="1"/>
        <v>2011.5333332656883</v>
      </c>
      <c r="I16" s="16">
        <f t="shared" si="2"/>
        <v>2011.5333332656883</v>
      </c>
      <c r="J16" s="3">
        <f>INDEX(raw_comp_PTA!$H$2:$H$81,MATCH(D16,raw_comp_PTA!$J$2:$J$81,0))</f>
        <v>1089.3</v>
      </c>
      <c r="K16" s="16">
        <f t="shared" si="3"/>
        <v>1089.3</v>
      </c>
      <c r="L16" s="3">
        <f>SUMIFS(raw_comp_PTA_stations!$E$2:$E$461,raw_comp_PTA_stations!$A$2:$A$461,A16,raw_comp_PTA_stations!$B$2:$B$461,C16,raw_comp_PTA_stations!$C$2:$C$461,"ws*")</f>
        <v>884.63</v>
      </c>
      <c r="M16" s="16">
        <f t="shared" si="4"/>
        <v>884.63</v>
      </c>
      <c r="N16" s="3">
        <f>INDEX(raw_comp_PTA!$G$2:$G$81,MATCH(D16,raw_comp_PTA!$J$2:$J$81,0))</f>
        <v>1976.53</v>
      </c>
      <c r="O16" s="16">
        <f t="shared" si="5"/>
        <v>1976.53</v>
      </c>
      <c r="P16">
        <f>COUNTIFS(raw_outputtable!$A$2:$A$816,A16,raw_outputtable!$B$2:$B$816,C16)</f>
        <v>14</v>
      </c>
      <c r="Q16">
        <f>INDEX(raw_casetable!$F$2:$F$81,MATCH(D16,raw_casetable!$G$2:$G$81,0))</f>
        <v>14</v>
      </c>
      <c r="R16">
        <f t="shared" si="6"/>
        <v>1</v>
      </c>
      <c r="S16">
        <f>IFERROR(IF(INDEX(Factory_PO!$C$2:$C$61,MATCH(B16&amp;"|"&amp;C16,Factory_PO!$E$2:$E$61,0))="","",INDEX(Factory_PO!$C$2:$C$61,MATCH(B16&amp;"|"&amp;C16,Factory_PO!$E$2:$E$61,0))),"")</f>
        <v>943</v>
      </c>
      <c r="T16" s="17">
        <f t="shared" si="7"/>
        <v>943</v>
      </c>
      <c r="U16">
        <f>IFERROR(IF(INDEX(Factory_PO!$D$2:$D$61,MATCH(B16&amp;"|"&amp;C16,Factory_PO!$E$2:$E$61,0))="","",INDEX(Factory_PO!$D$2:$D$61,MATCH(B16&amp;"|"&amp;C16,Factory_PO!$E$2:$E$61,0))),"")</f>
        <v>1877</v>
      </c>
      <c r="V16" s="17">
        <f t="shared" si="8"/>
        <v>1877</v>
      </c>
      <c r="W16">
        <f t="shared" si="9"/>
        <v>1</v>
      </c>
      <c r="X16" t="str">
        <f t="shared" si="10"/>
        <v>Complete</v>
      </c>
      <c r="Y16">
        <f t="shared" si="11"/>
        <v>1</v>
      </c>
      <c r="Z16" s="10">
        <f t="shared" si="12"/>
        <v>7.1674658106386929E-2</v>
      </c>
      <c r="AA16" s="18">
        <f t="shared" si="13"/>
        <v>7.1674658106386929E-2</v>
      </c>
      <c r="AB16" t="s">
        <v>1363</v>
      </c>
    </row>
    <row r="17" spans="1:28" ht="15" customHeight="1" x14ac:dyDescent="0.25">
      <c r="A17" t="s">
        <v>2</v>
      </c>
      <c r="B17" t="s">
        <v>60</v>
      </c>
      <c r="C17">
        <v>6</v>
      </c>
      <c r="D17" t="str">
        <f t="shared" si="0"/>
        <v>S2|6</v>
      </c>
      <c r="E17" t="str">
        <f>UPPER(MID(INDEX(raw_comp_PTA!$C$2:$C$81,MATCH(D17,raw_comp_PTA!$J$2:$J$81,0)),5,2))</f>
        <v>HD</v>
      </c>
      <c r="F17" s="3">
        <f>_xlfn.MINIFS(raw_outputtable!$J$2:$J$816,raw_outputtable!$A$2:$A$816,A17,raw_outputtable!$B$2:$B$816,C17)</f>
        <v>299.99999995110556</v>
      </c>
      <c r="G17" s="3">
        <f>_xlfn.MAXIFS(raw_outputtable!$K$2:$K$816,raw_outputtable!$A$2:$A$816,A17,raw_outputtable!$B$2:$B$816,C17)</f>
        <v>2311.5333333634771</v>
      </c>
      <c r="H17" s="3">
        <f t="shared" si="1"/>
        <v>2011.5333334123716</v>
      </c>
      <c r="I17" s="16">
        <f t="shared" si="2"/>
        <v>2011.5333334123716</v>
      </c>
      <c r="J17" s="3">
        <f>INDEX(raw_comp_PTA!$H$2:$H$81,MATCH(D17,raw_comp_PTA!$J$2:$J$81,0))</f>
        <v>1089.3</v>
      </c>
      <c r="K17" s="16">
        <f t="shared" si="3"/>
        <v>1089.3</v>
      </c>
      <c r="L17" s="3">
        <f>SUMIFS(raw_comp_PTA_stations!$E$2:$E$461,raw_comp_PTA_stations!$A$2:$A$461,A17,raw_comp_PTA_stations!$B$2:$B$461,C17,raw_comp_PTA_stations!$C$2:$C$461,"ws*")</f>
        <v>883.9</v>
      </c>
      <c r="M17" s="16">
        <f t="shared" si="4"/>
        <v>883.9</v>
      </c>
      <c r="N17" s="3">
        <f>INDEX(raw_comp_PTA!$G$2:$G$81,MATCH(D17,raw_comp_PTA!$J$2:$J$81,0))</f>
        <v>1976.53</v>
      </c>
      <c r="O17" s="16">
        <f t="shared" si="5"/>
        <v>1976.53</v>
      </c>
      <c r="P17">
        <f>COUNTIFS(raw_outputtable!$A$2:$A$816,A17,raw_outputtable!$B$2:$B$816,C17)</f>
        <v>14</v>
      </c>
      <c r="Q17">
        <f>INDEX(raw_casetable!$F$2:$F$81,MATCH(D17,raw_casetable!$G$2:$G$81,0))</f>
        <v>14</v>
      </c>
      <c r="R17">
        <f t="shared" si="6"/>
        <v>1</v>
      </c>
      <c r="S17">
        <f>IFERROR(IF(INDEX(Factory_PO!$C$2:$C$61,MATCH(B17&amp;"|"&amp;C17,Factory_PO!$E$2:$E$61,0))="","",INDEX(Factory_PO!$C$2:$C$61,MATCH(B17&amp;"|"&amp;C17,Factory_PO!$E$2:$E$61,0))),"")</f>
        <v>1125</v>
      </c>
      <c r="T17" s="17">
        <f t="shared" si="7"/>
        <v>1125</v>
      </c>
      <c r="U17">
        <f>IFERROR(IF(INDEX(Factory_PO!$D$2:$D$61,MATCH(B17&amp;"|"&amp;C17,Factory_PO!$E$2:$E$61,0))="","",INDEX(Factory_PO!$D$2:$D$61,MATCH(B17&amp;"|"&amp;C17,Factory_PO!$E$2:$E$61,0))),"")</f>
        <v>2041</v>
      </c>
      <c r="V17" s="17">
        <f t="shared" si="8"/>
        <v>2041</v>
      </c>
      <c r="W17">
        <f t="shared" si="9"/>
        <v>1</v>
      </c>
      <c r="X17" t="str">
        <f t="shared" si="10"/>
        <v>Complete</v>
      </c>
      <c r="Y17">
        <f t="shared" si="11"/>
        <v>1</v>
      </c>
      <c r="Z17" s="10">
        <f t="shared" si="12"/>
        <v>-1.4437367264884088E-2</v>
      </c>
      <c r="AA17" s="18">
        <f t="shared" si="13"/>
        <v>-1.4437367264884088E-2</v>
      </c>
      <c r="AB17" t="s">
        <v>1363</v>
      </c>
    </row>
    <row r="18" spans="1:28" ht="15" customHeight="1" x14ac:dyDescent="0.25">
      <c r="A18" t="s">
        <v>2</v>
      </c>
      <c r="B18" t="s">
        <v>60</v>
      </c>
      <c r="C18">
        <v>7</v>
      </c>
      <c r="D18" t="str">
        <f t="shared" si="0"/>
        <v>S2|7</v>
      </c>
      <c r="E18" t="str">
        <f>UPPER(MID(INDEX(raw_comp_PTA!$C$2:$C$81,MATCH(D18,raw_comp_PTA!$J$2:$J$81,0)),5,2))</f>
        <v>HD</v>
      </c>
      <c r="F18" s="3">
        <f>_xlfn.MINIFS(raw_outputtable!$J$2:$J$816,raw_outputtable!$A$2:$A$816,A18,raw_outputtable!$B$2:$B$816,C18)</f>
        <v>389.99999995110556</v>
      </c>
      <c r="G18" s="3">
        <f>_xlfn.MAXIFS(raw_outputtable!$K$2:$K$816,raw_outputtable!$A$2:$A$816,A18,raw_outputtable!$B$2:$B$816,C18)</f>
        <v>2371.5333332656883</v>
      </c>
      <c r="H18" s="3">
        <f t="shared" si="1"/>
        <v>1981.5333333145827</v>
      </c>
      <c r="I18" s="16">
        <f t="shared" si="2"/>
        <v>1981.5333333145827</v>
      </c>
      <c r="J18" s="3">
        <f>INDEX(raw_comp_PTA!$H$2:$H$81,MATCH(D18,raw_comp_PTA!$J$2:$J$81,0))</f>
        <v>1089.3</v>
      </c>
      <c r="K18" s="16">
        <f t="shared" si="3"/>
        <v>1089.3</v>
      </c>
      <c r="L18" s="3">
        <f>SUMIFS(raw_comp_PTA_stations!$E$2:$E$461,raw_comp_PTA_stations!$A$2:$A$461,A18,raw_comp_PTA_stations!$B$2:$B$461,C18,raw_comp_PTA_stations!$C$2:$C$461,"ws*")</f>
        <v>854.63</v>
      </c>
      <c r="M18" s="16">
        <f t="shared" si="4"/>
        <v>854.63</v>
      </c>
      <c r="N18" s="3">
        <f>INDEX(raw_comp_PTA!$G$2:$G$81,MATCH(D18,raw_comp_PTA!$J$2:$J$81,0))</f>
        <v>1946.53</v>
      </c>
      <c r="O18" s="16">
        <f t="shared" si="5"/>
        <v>1946.53</v>
      </c>
      <c r="P18">
        <f>COUNTIFS(raw_outputtable!$A$2:$A$816,A18,raw_outputtable!$B$2:$B$816,C18)</f>
        <v>14</v>
      </c>
      <c r="Q18">
        <f>INDEX(raw_casetable!$F$2:$F$81,MATCH(D18,raw_casetable!$G$2:$G$81,0))</f>
        <v>14</v>
      </c>
      <c r="R18">
        <f t="shared" si="6"/>
        <v>1</v>
      </c>
      <c r="S18">
        <f>IFERROR(IF(INDEX(Factory_PO!$C$2:$C$61,MATCH(B18&amp;"|"&amp;C18,Factory_PO!$E$2:$E$61,0))="","",INDEX(Factory_PO!$C$2:$C$61,MATCH(B18&amp;"|"&amp;C18,Factory_PO!$E$2:$E$61,0))),"")</f>
        <v>1200</v>
      </c>
      <c r="T18" s="17">
        <f t="shared" si="7"/>
        <v>1200</v>
      </c>
      <c r="U18">
        <f>IFERROR(IF(INDEX(Factory_PO!$D$2:$D$61,MATCH(B18&amp;"|"&amp;C18,Factory_PO!$E$2:$E$61,0))="","",INDEX(Factory_PO!$D$2:$D$61,MATCH(B18&amp;"|"&amp;C18,Factory_PO!$E$2:$E$61,0))),"")</f>
        <v>1997</v>
      </c>
      <c r="V18" s="17">
        <f t="shared" si="8"/>
        <v>1997</v>
      </c>
      <c r="W18">
        <f t="shared" si="9"/>
        <v>1</v>
      </c>
      <c r="X18" t="str">
        <f t="shared" si="10"/>
        <v>Complete</v>
      </c>
      <c r="Y18">
        <f t="shared" si="11"/>
        <v>1</v>
      </c>
      <c r="Z18" s="10">
        <f t="shared" si="12"/>
        <v>-7.7449507688619398E-3</v>
      </c>
      <c r="AA18" s="18">
        <f t="shared" si="13"/>
        <v>-7.7449507688619398E-3</v>
      </c>
      <c r="AB18" t="s">
        <v>1363</v>
      </c>
    </row>
    <row r="19" spans="1:28" ht="15" customHeight="1" x14ac:dyDescent="0.25">
      <c r="A19" t="s">
        <v>2</v>
      </c>
      <c r="B19" t="s">
        <v>60</v>
      </c>
      <c r="C19">
        <v>8</v>
      </c>
      <c r="D19" t="str">
        <f t="shared" si="0"/>
        <v>S2|8</v>
      </c>
      <c r="E19" t="str">
        <f>UPPER(MID(INDEX(raw_comp_PTA!$C$2:$C$81,MATCH(D19,raw_comp_PTA!$J$2:$J$81,0)),5,2))</f>
        <v>HD</v>
      </c>
      <c r="F19" s="3">
        <f>_xlfn.MINIFS(raw_outputtable!$J$2:$J$816,raw_outputtable!$A$2:$A$816,A19,raw_outputtable!$B$2:$B$816,C19)</f>
        <v>434.99999995110556</v>
      </c>
      <c r="G19" s="3">
        <f>_xlfn.MAXIFS(raw_outputtable!$K$2:$K$816,raw_outputtable!$A$2:$A$816,A19,raw_outputtable!$B$2:$B$816,C19)</f>
        <v>2346.1333333945367</v>
      </c>
      <c r="H19" s="3">
        <f t="shared" si="1"/>
        <v>1911.1333334434312</v>
      </c>
      <c r="I19" s="16" t="str">
        <f t="shared" si="2"/>
        <v>DNF</v>
      </c>
      <c r="J19" s="3">
        <f>INDEX(raw_comp_PTA!$H$2:$H$81,MATCH(D19,raw_comp_PTA!$J$2:$J$81,0))</f>
        <v>1008.7</v>
      </c>
      <c r="K19" s="16" t="str">
        <f t="shared" si="3"/>
        <v>DNF</v>
      </c>
      <c r="L19" s="3">
        <f>SUMIFS(raw_comp_PTA_stations!$E$2:$E$461,raw_comp_PTA_stations!$A$2:$A$461,A19,raw_comp_PTA_stations!$B$2:$B$461,C19,raw_comp_PTA_stations!$C$2:$C$461,"ws*")</f>
        <v>872.3</v>
      </c>
      <c r="M19" s="16" t="str">
        <f t="shared" si="4"/>
        <v>DNF</v>
      </c>
      <c r="N19" s="3">
        <f>INDEX(raw_comp_PTA!$G$2:$G$81,MATCH(D19,raw_comp_PTA!$J$2:$J$81,0))</f>
        <v>1888.93</v>
      </c>
      <c r="O19" s="16" t="str">
        <f t="shared" si="5"/>
        <v>DNF</v>
      </c>
      <c r="P19">
        <f>COUNTIFS(raw_outputtable!$A$2:$A$816,A19,raw_outputtable!$B$2:$B$816,C19)</f>
        <v>12</v>
      </c>
      <c r="Q19">
        <f>INDEX(raw_casetable!$F$2:$F$81,MATCH(D19,raw_casetable!$G$2:$G$81,0))</f>
        <v>14</v>
      </c>
      <c r="R19">
        <f t="shared" si="6"/>
        <v>0</v>
      </c>
      <c r="S19">
        <f>IFERROR(IF(INDEX(Factory_PO!$C$2:$C$61,MATCH(B19&amp;"|"&amp;C19,Factory_PO!$E$2:$E$61,0))="","",INDEX(Factory_PO!$C$2:$C$61,MATCH(B19&amp;"|"&amp;C19,Factory_PO!$E$2:$E$61,0))),"")</f>
        <v>930</v>
      </c>
      <c r="T19" s="17" t="str">
        <f t="shared" si="7"/>
        <v>DNF</v>
      </c>
      <c r="U19">
        <f>IFERROR(IF(INDEX(Factory_PO!$D$2:$D$61,MATCH(B19&amp;"|"&amp;C19,Factory_PO!$E$2:$E$61,0))="","",INDEX(Factory_PO!$D$2:$D$61,MATCH(B19&amp;"|"&amp;C19,Factory_PO!$E$2:$E$61,0))),"")</f>
        <v>1786</v>
      </c>
      <c r="V19" s="17" t="str">
        <f t="shared" si="8"/>
        <v>DNF</v>
      </c>
      <c r="W19">
        <f t="shared" si="9"/>
        <v>1</v>
      </c>
      <c r="X19" t="str">
        <f t="shared" si="10"/>
        <v>DNF (sim)</v>
      </c>
      <c r="Y19">
        <f t="shared" si="11"/>
        <v>0</v>
      </c>
      <c r="Z19" s="10">
        <f t="shared" si="12"/>
        <v>7.0063456575269425E-2</v>
      </c>
      <c r="AA19" s="18" t="str">
        <f t="shared" si="13"/>
        <v>DNF</v>
      </c>
      <c r="AB19" t="s">
        <v>1363</v>
      </c>
    </row>
    <row r="20" spans="1:28" ht="15" customHeight="1" x14ac:dyDescent="0.25">
      <c r="A20" t="s">
        <v>2</v>
      </c>
      <c r="B20" t="s">
        <v>60</v>
      </c>
      <c r="C20">
        <v>9</v>
      </c>
      <c r="D20" t="str">
        <f t="shared" si="0"/>
        <v>S2|9</v>
      </c>
      <c r="E20" t="str">
        <f>UPPER(MID(INDEX(raw_comp_PTA!$C$2:$C$81,MATCH(D20,raw_comp_PTA!$J$2:$J$81,0)),5,2))</f>
        <v>HD</v>
      </c>
      <c r="F20" s="3">
        <f>_xlfn.MINIFS(raw_outputtable!$J$2:$J$816,raw_outputtable!$A$2:$A$816,A20,raw_outputtable!$B$2:$B$816,C20)</f>
        <v>479.99999995110556</v>
      </c>
      <c r="G20" s="3">
        <f>_xlfn.MAXIFS(raw_outputtable!$K$2:$K$816,raw_outputtable!$A$2:$A$816,A20,raw_outputtable!$B$2:$B$816,C20)</f>
        <v>2341.5333333145827</v>
      </c>
      <c r="H20" s="3">
        <f t="shared" si="1"/>
        <v>1861.5333333634771</v>
      </c>
      <c r="I20" s="16" t="str">
        <f t="shared" si="2"/>
        <v>DNF</v>
      </c>
      <c r="J20" s="3">
        <f>INDEX(raw_comp_PTA!$H$2:$H$81,MATCH(D20,raw_comp_PTA!$J$2:$J$81,0))</f>
        <v>97</v>
      </c>
      <c r="K20" s="16" t="str">
        <f t="shared" si="3"/>
        <v>DNF</v>
      </c>
      <c r="L20" s="3">
        <f>SUMIFS(raw_comp_PTA_stations!$E$2:$E$461,raw_comp_PTA_stations!$A$2:$A$461,A20,raw_comp_PTA_stations!$B$2:$B$461,C20,raw_comp_PTA_stations!$C$2:$C$461,"ws*")</f>
        <v>1725.4</v>
      </c>
      <c r="M20" s="16" t="str">
        <f t="shared" si="4"/>
        <v>DNF</v>
      </c>
      <c r="N20" s="3">
        <f>INDEX(raw_comp_PTA!$G$2:$G$81,MATCH(D20,raw_comp_PTA!$J$2:$J$81,0))</f>
        <v>1825</v>
      </c>
      <c r="O20" s="16" t="str">
        <f t="shared" si="5"/>
        <v>DNF</v>
      </c>
      <c r="P20">
        <f>COUNTIFS(raw_outputtable!$A$2:$A$816,A20,raw_outputtable!$B$2:$B$816,C20)</f>
        <v>2</v>
      </c>
      <c r="Q20">
        <f>INDEX(raw_casetable!$F$2:$F$81,MATCH(D20,raw_casetable!$G$2:$G$81,0))</f>
        <v>14</v>
      </c>
      <c r="R20">
        <f t="shared" si="6"/>
        <v>0</v>
      </c>
      <c r="S20">
        <f>IFERROR(IF(INDEX(Factory_PO!$C$2:$C$61,MATCH(B20&amp;"|"&amp;C20,Factory_PO!$E$2:$E$61,0))="","",INDEX(Factory_PO!$C$2:$C$61,MATCH(B20&amp;"|"&amp;C20,Factory_PO!$E$2:$E$61,0))),"")</f>
        <v>149</v>
      </c>
      <c r="T20" s="17" t="str">
        <f t="shared" si="7"/>
        <v>DNF</v>
      </c>
      <c r="U20" t="str">
        <f>IFERROR(IF(INDEX(Factory_PO!$D$2:$D$61,MATCH(B20&amp;"|"&amp;C20,Factory_PO!$E$2:$E$61,0))="","",INDEX(Factory_PO!$D$2:$D$61,MATCH(B20&amp;"|"&amp;C20,Factory_PO!$E$2:$E$61,0))),"")</f>
        <v/>
      </c>
      <c r="V20" s="17" t="str">
        <f t="shared" si="8"/>
        <v>DNF</v>
      </c>
      <c r="W20">
        <f t="shared" si="9"/>
        <v>0</v>
      </c>
      <c r="X20" t="str">
        <f t="shared" si="10"/>
        <v>DNF (sim + factory)</v>
      </c>
      <c r="Y20">
        <f t="shared" si="11"/>
        <v>0</v>
      </c>
      <c r="Z20" s="10" t="str">
        <f t="shared" si="12"/>
        <v/>
      </c>
      <c r="AA20" s="18" t="str">
        <f t="shared" si="13"/>
        <v>DNF</v>
      </c>
      <c r="AB20" t="s">
        <v>1363</v>
      </c>
    </row>
    <row r="21" spans="1:28" ht="15" customHeight="1" x14ac:dyDescent="0.25">
      <c r="A21" t="s">
        <v>2</v>
      </c>
      <c r="B21" t="s">
        <v>60</v>
      </c>
      <c r="C21">
        <v>10</v>
      </c>
      <c r="D21" t="str">
        <f t="shared" si="0"/>
        <v>S2|10</v>
      </c>
      <c r="E21" t="str">
        <f>UPPER(MID(INDEX(raw_comp_PTA!$C$2:$C$81,MATCH(D21,raw_comp_PTA!$J$2:$J$81,0)),5,2))</f>
        <v>HD</v>
      </c>
      <c r="F21" s="3">
        <f>_xlfn.MINIFS(raw_outputtable!$J$2:$J$816,raw_outputtable!$A$2:$A$816,A21,raw_outputtable!$B$2:$B$816,C21)</f>
        <v>540</v>
      </c>
      <c r="G21" s="3">
        <f>_xlfn.MAXIFS(raw_outputtable!$K$2:$K$816,raw_outputtable!$A$2:$A$816,A21,raw_outputtable!$B$2:$B$816,C21)</f>
        <v>2343.0666666291654</v>
      </c>
      <c r="H21" s="3">
        <f t="shared" si="1"/>
        <v>1803.0666666291654</v>
      </c>
      <c r="I21" s="16" t="str">
        <f t="shared" si="2"/>
        <v>DNF</v>
      </c>
      <c r="J21" s="3">
        <f>INDEX(raw_comp_PTA!$H$2:$H$81,MATCH(D21,raw_comp_PTA!$J$2:$J$81,0))</f>
        <v>97</v>
      </c>
      <c r="K21" s="16" t="str">
        <f t="shared" si="3"/>
        <v>DNF</v>
      </c>
      <c r="L21" s="3">
        <f>SUMIFS(raw_comp_PTA_stations!$E$2:$E$461,raw_comp_PTA_stations!$A$2:$A$461,A21,raw_comp_PTA_stations!$B$2:$B$461,C21,raw_comp_PTA_stations!$C$2:$C$461,"ws*")</f>
        <v>1699.33</v>
      </c>
      <c r="M21" s="16" t="str">
        <f t="shared" si="4"/>
        <v>DNF</v>
      </c>
      <c r="N21" s="3">
        <f>INDEX(raw_comp_PTA!$G$2:$G$81,MATCH(D21,raw_comp_PTA!$J$2:$J$81,0))</f>
        <v>1767.4</v>
      </c>
      <c r="O21" s="16" t="str">
        <f t="shared" si="5"/>
        <v>DNF</v>
      </c>
      <c r="P21">
        <f>COUNTIFS(raw_outputtable!$A$2:$A$816,A21,raw_outputtable!$B$2:$B$816,C21)</f>
        <v>1</v>
      </c>
      <c r="Q21">
        <f>INDEX(raw_casetable!$F$2:$F$81,MATCH(D21,raw_casetable!$G$2:$G$81,0))</f>
        <v>14</v>
      </c>
      <c r="R21">
        <f t="shared" si="6"/>
        <v>0</v>
      </c>
      <c r="S21">
        <f>IFERROR(IF(INDEX(Factory_PO!$C$2:$C$61,MATCH(B21&amp;"|"&amp;C21,Factory_PO!$E$2:$E$61,0))="","",INDEX(Factory_PO!$C$2:$C$61,MATCH(B21&amp;"|"&amp;C21,Factory_PO!$E$2:$E$61,0))),"")</f>
        <v>165</v>
      </c>
      <c r="T21" s="17" t="str">
        <f t="shared" si="7"/>
        <v>DNF</v>
      </c>
      <c r="U21" t="str">
        <f>IFERROR(IF(INDEX(Factory_PO!$D$2:$D$61,MATCH(B21&amp;"|"&amp;C21,Factory_PO!$E$2:$E$61,0))="","",INDEX(Factory_PO!$D$2:$D$61,MATCH(B21&amp;"|"&amp;C21,Factory_PO!$E$2:$E$61,0))),"")</f>
        <v/>
      </c>
      <c r="V21" s="17" t="str">
        <f t="shared" si="8"/>
        <v>DNF</v>
      </c>
      <c r="W21">
        <f t="shared" si="9"/>
        <v>0</v>
      </c>
      <c r="X21" t="str">
        <f t="shared" si="10"/>
        <v>DNF (sim + factory)</v>
      </c>
      <c r="Y21">
        <f t="shared" si="11"/>
        <v>0</v>
      </c>
      <c r="Z21" s="10" t="str">
        <f t="shared" si="12"/>
        <v/>
      </c>
      <c r="AA21" s="18" t="str">
        <f t="shared" si="13"/>
        <v>DNF</v>
      </c>
      <c r="AB21" t="s">
        <v>1363</v>
      </c>
    </row>
    <row r="22" spans="1:28" ht="15" customHeight="1" x14ac:dyDescent="0.25">
      <c r="A22" t="s">
        <v>3</v>
      </c>
      <c r="B22" t="s">
        <v>62</v>
      </c>
      <c r="C22">
        <v>1</v>
      </c>
      <c r="D22" t="str">
        <f t="shared" si="0"/>
        <v>S3|1</v>
      </c>
      <c r="E22" t="str">
        <f>UPPER(MID(INDEX(raw_comp_PTA!$C$2:$C$81,MATCH(D22,raw_comp_PTA!$J$2:$J$81,0)),5,2))</f>
        <v>HD</v>
      </c>
      <c r="F22" s="3">
        <f>_xlfn.MINIFS(raw_outputtable!$J$2:$J$816,raw_outputtable!$A$2:$A$816,A22,raw_outputtable!$B$2:$B$816,C22)</f>
        <v>0</v>
      </c>
      <c r="G22" s="3">
        <f>_xlfn.MAXIFS(raw_outputtable!$K$2:$K$816,raw_outputtable!$A$2:$A$816,A22,raw_outputtable!$B$2:$B$816,C22)</f>
        <v>843.93333331332542</v>
      </c>
      <c r="H22" s="3">
        <f t="shared" si="1"/>
        <v>843.93333331332542</v>
      </c>
      <c r="I22" s="16">
        <f t="shared" si="2"/>
        <v>843.93333331332542</v>
      </c>
      <c r="J22" s="3">
        <f>INDEX(raw_comp_PTA!$H$2:$H$81,MATCH(D22,raw_comp_PTA!$J$2:$J$81,0))</f>
        <v>700.3</v>
      </c>
      <c r="K22" s="16">
        <f t="shared" si="3"/>
        <v>700.3</v>
      </c>
      <c r="L22" s="3">
        <f>SUMIFS(raw_comp_PTA_stations!$E$2:$E$461,raw_comp_PTA_stations!$A$2:$A$461,A22,raw_comp_PTA_stations!$B$2:$B$461,C22,raw_comp_PTA_stations!$C$2:$C$461,"ws*")</f>
        <v>109.86999999999999</v>
      </c>
      <c r="M22" s="16">
        <f t="shared" si="4"/>
        <v>109.86999999999999</v>
      </c>
      <c r="N22" s="3">
        <f>INDEX(raw_comp_PTA!$G$2:$G$81,MATCH(D22,raw_comp_PTA!$J$2:$J$81,0))</f>
        <v>813.73</v>
      </c>
      <c r="O22" s="16">
        <f t="shared" si="5"/>
        <v>813.73</v>
      </c>
      <c r="P22">
        <f>COUNTIFS(raw_outputtable!$A$2:$A$816,A22,raw_outputtable!$B$2:$B$816,C22)</f>
        <v>14</v>
      </c>
      <c r="Q22">
        <f>INDEX(raw_casetable!$F$2:$F$81,MATCH(D22,raw_casetable!$G$2:$G$81,0))</f>
        <v>14</v>
      </c>
      <c r="R22">
        <f t="shared" si="6"/>
        <v>1</v>
      </c>
      <c r="S22">
        <f>IFERROR(IF(INDEX(Factory_PO!$C$2:$C$61,MATCH(B22&amp;"|"&amp;C22,Factory_PO!$E$2:$E$61,0))="","",INDEX(Factory_PO!$C$2:$C$61,MATCH(B22&amp;"|"&amp;C22,Factory_PO!$E$2:$E$61,0))),"")</f>
        <v>910</v>
      </c>
      <c r="T22" s="17">
        <f t="shared" si="7"/>
        <v>910</v>
      </c>
      <c r="U22">
        <f>IFERROR(IF(INDEX(Factory_PO!$D$2:$D$61,MATCH(B22&amp;"|"&amp;C22,Factory_PO!$E$2:$E$61,0))="","",INDEX(Factory_PO!$D$2:$D$61,MATCH(B22&amp;"|"&amp;C22,Factory_PO!$E$2:$E$61,0))),"")</f>
        <v>1066</v>
      </c>
      <c r="V22" s="17">
        <f t="shared" si="8"/>
        <v>1066</v>
      </c>
      <c r="W22">
        <f t="shared" si="9"/>
        <v>1</v>
      </c>
      <c r="X22" t="str">
        <f t="shared" si="10"/>
        <v>Complete</v>
      </c>
      <c r="Y22">
        <f t="shared" si="11"/>
        <v>1</v>
      </c>
      <c r="Z22" s="10">
        <f t="shared" si="12"/>
        <v>-0.20831769858037014</v>
      </c>
      <c r="AA22" s="18">
        <f t="shared" si="13"/>
        <v>-0.20831769858037014</v>
      </c>
      <c r="AB22" t="s">
        <v>1424</v>
      </c>
    </row>
    <row r="23" spans="1:28" ht="15" customHeight="1" x14ac:dyDescent="0.25">
      <c r="A23" t="s">
        <v>3</v>
      </c>
      <c r="B23" t="s">
        <v>62</v>
      </c>
      <c r="C23">
        <v>2</v>
      </c>
      <c r="D23" t="str">
        <f t="shared" si="0"/>
        <v>S3|2</v>
      </c>
      <c r="E23" t="str">
        <f>UPPER(MID(INDEX(raw_comp_PTA!$C$2:$C$81,MATCH(D23,raw_comp_PTA!$J$2:$J$81,0)),5,2))</f>
        <v>HD</v>
      </c>
      <c r="F23" s="3">
        <f>_xlfn.MINIFS(raw_outputtable!$J$2:$J$816,raw_outputtable!$A$2:$A$816,A23,raw_outputtable!$B$2:$B$816,C23)</f>
        <v>90</v>
      </c>
      <c r="G23" s="3">
        <f>_xlfn.MAXIFS(raw_outputtable!$K$2:$K$816,raw_outputtable!$A$2:$A$816,A23,raw_outputtable!$B$2:$B$816,C23)</f>
        <v>1084.5999999332707</v>
      </c>
      <c r="H23" s="3">
        <f t="shared" si="1"/>
        <v>994.59999993327074</v>
      </c>
      <c r="I23" s="16">
        <f t="shared" si="2"/>
        <v>994.59999993327074</v>
      </c>
      <c r="J23" s="3">
        <f>INDEX(raw_comp_PTA!$H$2:$H$81,MATCH(D23,raw_comp_PTA!$J$2:$J$81,0))</f>
        <v>823.3</v>
      </c>
      <c r="K23" s="16">
        <f t="shared" si="3"/>
        <v>823.3</v>
      </c>
      <c r="L23" s="3">
        <f>SUMIFS(raw_comp_PTA_stations!$E$2:$E$461,raw_comp_PTA_stations!$A$2:$A$461,A23,raw_comp_PTA_stations!$B$2:$B$461,C23,raw_comp_PTA_stations!$C$2:$C$461,"ws*")</f>
        <v>258.14</v>
      </c>
      <c r="M23" s="16">
        <f t="shared" si="4"/>
        <v>258.14</v>
      </c>
      <c r="N23" s="3">
        <f>INDEX(raw_comp_PTA!$G$2:$G$81,MATCH(D23,raw_comp_PTA!$J$2:$J$81,0))</f>
        <v>962.67</v>
      </c>
      <c r="O23" s="16">
        <f t="shared" si="5"/>
        <v>962.67</v>
      </c>
      <c r="P23">
        <f>COUNTIFS(raw_outputtable!$A$2:$A$816,A23,raw_outputtable!$B$2:$B$816,C23)</f>
        <v>14</v>
      </c>
      <c r="Q23">
        <f>INDEX(raw_casetable!$F$2:$F$81,MATCH(D23,raw_casetable!$G$2:$G$81,0))</f>
        <v>14</v>
      </c>
      <c r="R23">
        <f t="shared" si="6"/>
        <v>1</v>
      </c>
      <c r="S23">
        <f>IFERROR(IF(INDEX(Factory_PO!$C$2:$C$61,MATCH(B23&amp;"|"&amp;C23,Factory_PO!$E$2:$E$61,0))="","",INDEX(Factory_PO!$C$2:$C$61,MATCH(B23&amp;"|"&amp;C23,Factory_PO!$E$2:$E$61,0))),"")</f>
        <v>752</v>
      </c>
      <c r="T23" s="17">
        <f t="shared" si="7"/>
        <v>752</v>
      </c>
      <c r="U23">
        <f>IFERROR(IF(INDEX(Factory_PO!$D$2:$D$61,MATCH(B23&amp;"|"&amp;C23,Factory_PO!$E$2:$E$61,0))="","",INDEX(Factory_PO!$D$2:$D$61,MATCH(B23&amp;"|"&amp;C23,Factory_PO!$E$2:$E$61,0))),"")</f>
        <v>1636</v>
      </c>
      <c r="V23" s="17">
        <f t="shared" si="8"/>
        <v>1636</v>
      </c>
      <c r="W23">
        <f t="shared" si="9"/>
        <v>1</v>
      </c>
      <c r="X23" t="str">
        <f t="shared" si="10"/>
        <v>Complete</v>
      </c>
      <c r="Y23">
        <f t="shared" si="11"/>
        <v>1</v>
      </c>
      <c r="Z23" s="10">
        <f t="shared" si="12"/>
        <v>-0.39205378977183941</v>
      </c>
      <c r="AA23" s="18">
        <f t="shared" si="13"/>
        <v>-0.39205378977183941</v>
      </c>
      <c r="AB23" t="s">
        <v>1424</v>
      </c>
    </row>
    <row r="24" spans="1:28" ht="15" customHeight="1" x14ac:dyDescent="0.25">
      <c r="A24" t="s">
        <v>3</v>
      </c>
      <c r="B24" t="s">
        <v>62</v>
      </c>
      <c r="C24">
        <v>3</v>
      </c>
      <c r="D24" t="str">
        <f t="shared" si="0"/>
        <v>S3|3</v>
      </c>
      <c r="E24" t="str">
        <f>UPPER(MID(INDEX(raw_comp_PTA!$C$2:$C$81,MATCH(D24,raw_comp_PTA!$J$2:$J$81,0)),5,2))</f>
        <v>HD</v>
      </c>
      <c r="F24" s="3">
        <f>_xlfn.MINIFS(raw_outputtable!$J$2:$J$816,raw_outputtable!$A$2:$A$816,A24,raw_outputtable!$B$2:$B$816,C24)</f>
        <v>180</v>
      </c>
      <c r="G24" s="3">
        <f>_xlfn.MAXIFS(raw_outputtable!$K$2:$K$816,raw_outputtable!$A$2:$A$816,A24,raw_outputtable!$B$2:$B$816,C24)</f>
        <v>1321.5333333634771</v>
      </c>
      <c r="H24" s="3">
        <f t="shared" si="1"/>
        <v>1141.5333333634771</v>
      </c>
      <c r="I24" s="16">
        <f t="shared" si="2"/>
        <v>1141.5333333634771</v>
      </c>
      <c r="J24" s="3">
        <f>INDEX(raw_comp_PTA!$H$2:$H$81,MATCH(D24,raw_comp_PTA!$J$2:$J$81,0))</f>
        <v>823.3</v>
      </c>
      <c r="K24" s="16">
        <f t="shared" si="3"/>
        <v>823.3</v>
      </c>
      <c r="L24" s="3">
        <f>SUMIFS(raw_comp_PTA_stations!$E$2:$E$461,raw_comp_PTA_stations!$A$2:$A$461,A24,raw_comp_PTA_stations!$B$2:$B$461,C24,raw_comp_PTA_stations!$C$2:$C$461,"ws*")</f>
        <v>278.26</v>
      </c>
      <c r="M24" s="16">
        <f t="shared" si="4"/>
        <v>278.26</v>
      </c>
      <c r="N24" s="3">
        <f>INDEX(raw_comp_PTA!$G$2:$G$81,MATCH(D24,raw_comp_PTA!$J$2:$J$81,0))</f>
        <v>1106.53</v>
      </c>
      <c r="O24" s="16">
        <f t="shared" si="5"/>
        <v>1106.53</v>
      </c>
      <c r="P24">
        <f>COUNTIFS(raw_outputtable!$A$2:$A$816,A24,raw_outputtable!$B$2:$B$816,C24)</f>
        <v>14</v>
      </c>
      <c r="Q24">
        <f>INDEX(raw_casetable!$F$2:$F$81,MATCH(D24,raw_casetable!$G$2:$G$81,0))</f>
        <v>14</v>
      </c>
      <c r="R24">
        <f t="shared" si="6"/>
        <v>1</v>
      </c>
      <c r="S24">
        <f>IFERROR(IF(INDEX(Factory_PO!$C$2:$C$61,MATCH(B24&amp;"|"&amp;C24,Factory_PO!$E$2:$E$61,0))="","",INDEX(Factory_PO!$C$2:$C$61,MATCH(B24&amp;"|"&amp;C24,Factory_PO!$E$2:$E$61,0))),"")</f>
        <v>720</v>
      </c>
      <c r="T24" s="17">
        <f t="shared" si="7"/>
        <v>720</v>
      </c>
      <c r="U24">
        <f>IFERROR(IF(INDEX(Factory_PO!$D$2:$D$61,MATCH(B24&amp;"|"&amp;C24,Factory_PO!$E$2:$E$61,0))="","",INDEX(Factory_PO!$D$2:$D$61,MATCH(B24&amp;"|"&amp;C24,Factory_PO!$E$2:$E$61,0))),"")</f>
        <v>1186</v>
      </c>
      <c r="V24" s="17">
        <f t="shared" si="8"/>
        <v>1186</v>
      </c>
      <c r="W24">
        <f t="shared" si="9"/>
        <v>1</v>
      </c>
      <c r="X24" t="str">
        <f t="shared" si="10"/>
        <v>Complete</v>
      </c>
      <c r="Y24">
        <f t="shared" si="11"/>
        <v>1</v>
      </c>
      <c r="Z24" s="10">
        <f t="shared" si="12"/>
        <v>-3.7492973555246931E-2</v>
      </c>
      <c r="AA24" s="18">
        <f t="shared" si="13"/>
        <v>-3.7492973555246931E-2</v>
      </c>
      <c r="AB24" t="s">
        <v>1424</v>
      </c>
    </row>
    <row r="25" spans="1:28" ht="15" customHeight="1" x14ac:dyDescent="0.25">
      <c r="A25" t="s">
        <v>3</v>
      </c>
      <c r="B25" t="s">
        <v>62</v>
      </c>
      <c r="C25">
        <v>4</v>
      </c>
      <c r="D25" t="str">
        <f t="shared" si="0"/>
        <v>S3|4</v>
      </c>
      <c r="E25" t="str">
        <f>UPPER(MID(INDEX(raw_comp_PTA!$C$2:$C$81,MATCH(D25,raw_comp_PTA!$J$2:$J$81,0)),5,2))</f>
        <v>HD</v>
      </c>
      <c r="F25" s="3">
        <f>_xlfn.MINIFS(raw_outputtable!$J$2:$J$816,raw_outputtable!$A$2:$A$816,A25,raw_outputtable!$B$2:$B$816,C25)</f>
        <v>270</v>
      </c>
      <c r="G25" s="3">
        <f>_xlfn.MAXIFS(raw_outputtable!$K$2:$K$816,raw_outputtable!$A$2:$A$816,A25,raw_outputtable!$B$2:$B$816,C25)</f>
        <v>1563.0666667164769</v>
      </c>
      <c r="H25" s="3">
        <f t="shared" si="1"/>
        <v>1293.0666667164769</v>
      </c>
      <c r="I25" s="16">
        <f t="shared" si="2"/>
        <v>1293.0666667164769</v>
      </c>
      <c r="J25" s="3">
        <f>INDEX(raw_comp_PTA!$H$2:$H$81,MATCH(D25,raw_comp_PTA!$J$2:$J$81,0))</f>
        <v>823.3</v>
      </c>
      <c r="K25" s="16">
        <f t="shared" si="3"/>
        <v>823.3</v>
      </c>
      <c r="L25" s="3">
        <f>SUMIFS(raw_comp_PTA_stations!$E$2:$E$461,raw_comp_PTA_stations!$A$2:$A$461,A25,raw_comp_PTA_stations!$B$2:$B$461,C25,raw_comp_PTA_stations!$C$2:$C$461,"ws*")</f>
        <v>410.40999999999997</v>
      </c>
      <c r="M25" s="16">
        <f t="shared" si="4"/>
        <v>410.40999999999997</v>
      </c>
      <c r="N25" s="3">
        <f>INDEX(raw_comp_PTA!$G$2:$G$81,MATCH(D25,raw_comp_PTA!$J$2:$J$81,0))</f>
        <v>1259.5999999999999</v>
      </c>
      <c r="O25" s="16">
        <f t="shared" si="5"/>
        <v>1259.5999999999999</v>
      </c>
      <c r="P25">
        <f>COUNTIFS(raw_outputtable!$A$2:$A$816,A25,raw_outputtable!$B$2:$B$816,C25)</f>
        <v>14</v>
      </c>
      <c r="Q25">
        <f>INDEX(raw_casetable!$F$2:$F$81,MATCH(D25,raw_casetable!$G$2:$G$81,0))</f>
        <v>14</v>
      </c>
      <c r="R25">
        <f t="shared" si="6"/>
        <v>1</v>
      </c>
      <c r="S25">
        <f>IFERROR(IF(INDEX(Factory_PO!$C$2:$C$61,MATCH(B25&amp;"|"&amp;C25,Factory_PO!$E$2:$E$61,0))="","",INDEX(Factory_PO!$C$2:$C$61,MATCH(B25&amp;"|"&amp;C25,Factory_PO!$E$2:$E$61,0))),"")</f>
        <v>848</v>
      </c>
      <c r="T25" s="17">
        <f t="shared" si="7"/>
        <v>848</v>
      </c>
      <c r="U25">
        <f>IFERROR(IF(INDEX(Factory_PO!$D$2:$D$61,MATCH(B25&amp;"|"&amp;C25,Factory_PO!$E$2:$E$61,0))="","",INDEX(Factory_PO!$D$2:$D$61,MATCH(B25&amp;"|"&amp;C25,Factory_PO!$E$2:$E$61,0))),"")</f>
        <v>2027</v>
      </c>
      <c r="V25" s="17">
        <f t="shared" si="8"/>
        <v>2027</v>
      </c>
      <c r="W25">
        <f t="shared" si="9"/>
        <v>1</v>
      </c>
      <c r="X25" t="str">
        <f t="shared" si="10"/>
        <v>Complete</v>
      </c>
      <c r="Y25">
        <f t="shared" si="11"/>
        <v>1</v>
      </c>
      <c r="Z25" s="10">
        <f t="shared" si="12"/>
        <v>-0.36207860546794429</v>
      </c>
      <c r="AA25" s="18">
        <f t="shared" si="13"/>
        <v>-0.36207860546794429</v>
      </c>
      <c r="AB25" t="s">
        <v>1424</v>
      </c>
    </row>
    <row r="26" spans="1:28" ht="15" customHeight="1" x14ac:dyDescent="0.25">
      <c r="A26" t="s">
        <v>3</v>
      </c>
      <c r="B26" t="s">
        <v>62</v>
      </c>
      <c r="C26">
        <v>5</v>
      </c>
      <c r="D26" t="str">
        <f t="shared" si="0"/>
        <v>S3|5</v>
      </c>
      <c r="E26" t="str">
        <f>UPPER(MID(INDEX(raw_comp_PTA!$C$2:$C$81,MATCH(D26,raw_comp_PTA!$J$2:$J$81,0)),5,2))</f>
        <v>HD</v>
      </c>
      <c r="F26" s="3">
        <f>_xlfn.MINIFS(raw_outputtable!$J$2:$J$816,raw_outputtable!$A$2:$A$816,A26,raw_outputtable!$B$2:$B$816,C26)</f>
        <v>360</v>
      </c>
      <c r="G26" s="3">
        <f>_xlfn.MAXIFS(raw_outputtable!$K$2:$K$816,raw_outputtable!$A$2:$A$816,A26,raw_outputtable!$B$2:$B$816,C26)</f>
        <v>1803.0666666291654</v>
      </c>
      <c r="H26" s="3">
        <f t="shared" si="1"/>
        <v>1443.0666666291654</v>
      </c>
      <c r="I26" s="16">
        <f t="shared" si="2"/>
        <v>1443.0666666291654</v>
      </c>
      <c r="J26" s="3">
        <f>INDEX(raw_comp_PTA!$H$2:$H$81,MATCH(D26,raw_comp_PTA!$J$2:$J$81,0))</f>
        <v>823.3</v>
      </c>
      <c r="K26" s="16">
        <f t="shared" si="3"/>
        <v>823.3</v>
      </c>
      <c r="L26" s="3">
        <f>SUMIFS(raw_comp_PTA_stations!$E$2:$E$461,raw_comp_PTA_stations!$A$2:$A$461,A26,raw_comp_PTA_stations!$B$2:$B$461,C26,raw_comp_PTA_stations!$C$2:$C$461,"ws*")</f>
        <v>561.94000000000005</v>
      </c>
      <c r="M26" s="16">
        <f t="shared" si="4"/>
        <v>561.94000000000005</v>
      </c>
      <c r="N26" s="3">
        <f>INDEX(raw_comp_PTA!$G$2:$G$81,MATCH(D26,raw_comp_PTA!$J$2:$J$81,0))</f>
        <v>1407.74</v>
      </c>
      <c r="O26" s="16">
        <f t="shared" si="5"/>
        <v>1407.74</v>
      </c>
      <c r="P26">
        <f>COUNTIFS(raw_outputtable!$A$2:$A$816,A26,raw_outputtable!$B$2:$B$816,C26)</f>
        <v>14</v>
      </c>
      <c r="Q26">
        <f>INDEX(raw_casetable!$F$2:$F$81,MATCH(D26,raw_casetable!$G$2:$G$81,0))</f>
        <v>14</v>
      </c>
      <c r="R26">
        <f t="shared" si="6"/>
        <v>1</v>
      </c>
      <c r="S26">
        <f>IFERROR(IF(INDEX(Factory_PO!$C$2:$C$61,MATCH(B26&amp;"|"&amp;C26,Factory_PO!$E$2:$E$61,0))="","",INDEX(Factory_PO!$C$2:$C$61,MATCH(B26&amp;"|"&amp;C26,Factory_PO!$E$2:$E$61,0))),"")</f>
        <v>600</v>
      </c>
      <c r="T26" s="17">
        <f t="shared" si="7"/>
        <v>600</v>
      </c>
      <c r="U26">
        <f>IFERROR(IF(INDEX(Factory_PO!$D$2:$D$61,MATCH(B26&amp;"|"&amp;C26,Factory_PO!$E$2:$E$61,0))="","",INDEX(Factory_PO!$D$2:$D$61,MATCH(B26&amp;"|"&amp;C26,Factory_PO!$E$2:$E$61,0))),"")</f>
        <v>2027</v>
      </c>
      <c r="V26" s="17">
        <f t="shared" si="8"/>
        <v>2027</v>
      </c>
      <c r="W26">
        <f t="shared" si="9"/>
        <v>1</v>
      </c>
      <c r="X26" t="str">
        <f t="shared" si="10"/>
        <v>Complete</v>
      </c>
      <c r="Y26">
        <f t="shared" si="11"/>
        <v>1</v>
      </c>
      <c r="Z26" s="10">
        <f t="shared" si="12"/>
        <v>-0.28807761883119615</v>
      </c>
      <c r="AA26" s="18">
        <f t="shared" si="13"/>
        <v>-0.28807761883119615</v>
      </c>
      <c r="AB26" t="s">
        <v>1424</v>
      </c>
    </row>
    <row r="27" spans="1:28" ht="15" customHeight="1" x14ac:dyDescent="0.25">
      <c r="A27" t="s">
        <v>3</v>
      </c>
      <c r="B27" t="s">
        <v>62</v>
      </c>
      <c r="C27">
        <v>6</v>
      </c>
      <c r="D27" t="str">
        <f t="shared" si="0"/>
        <v>S3|6</v>
      </c>
      <c r="E27" t="str">
        <f>UPPER(MID(INDEX(raw_comp_PTA!$C$2:$C$81,MATCH(D27,raw_comp_PTA!$J$2:$J$81,0)),5,2))</f>
        <v>HD</v>
      </c>
      <c r="F27" s="3">
        <f>_xlfn.MINIFS(raw_outputtable!$J$2:$J$816,raw_outputtable!$A$2:$A$816,A27,raw_outputtable!$B$2:$B$816,C27)</f>
        <v>450</v>
      </c>
      <c r="G27" s="3">
        <f>_xlfn.MAXIFS(raw_outputtable!$K$2:$K$816,raw_outputtable!$A$2:$A$816,A27,raw_outputtable!$B$2:$B$816,C27)</f>
        <v>2016.4666667045094</v>
      </c>
      <c r="H27" s="3">
        <f t="shared" si="1"/>
        <v>1566.4666667045094</v>
      </c>
      <c r="I27" s="16" t="str">
        <f t="shared" si="2"/>
        <v>DNF</v>
      </c>
      <c r="J27" s="3">
        <f>INDEX(raw_comp_PTA!$H$2:$H$81,MATCH(D27,raw_comp_PTA!$J$2:$J$81,0))</f>
        <v>823.3</v>
      </c>
      <c r="K27" s="16" t="str">
        <f t="shared" si="3"/>
        <v>DNF</v>
      </c>
      <c r="L27" s="3">
        <f>SUMIFS(raw_comp_PTA_stations!$E$2:$E$461,raw_comp_PTA_stations!$A$2:$A$461,A27,raw_comp_PTA_stations!$B$2:$B$461,C27,raw_comp_PTA_stations!$C$2:$C$461,"ws*")</f>
        <v>688.38000000000011</v>
      </c>
      <c r="M27" s="16" t="str">
        <f t="shared" si="4"/>
        <v>DNF</v>
      </c>
      <c r="N27" s="3">
        <f>INDEX(raw_comp_PTA!$G$2:$G$81,MATCH(D27,raw_comp_PTA!$J$2:$J$81,0))</f>
        <v>1529.6</v>
      </c>
      <c r="O27" s="16" t="str">
        <f t="shared" si="5"/>
        <v>DNF</v>
      </c>
      <c r="P27">
        <f>COUNTIFS(raw_outputtable!$A$2:$A$816,A27,raw_outputtable!$B$2:$B$816,C27)</f>
        <v>14</v>
      </c>
      <c r="Q27">
        <f>INDEX(raw_casetable!$F$2:$F$81,MATCH(D27,raw_casetable!$G$2:$G$81,0))</f>
        <v>14</v>
      </c>
      <c r="R27">
        <f t="shared" si="6"/>
        <v>1</v>
      </c>
      <c r="S27">
        <f>IFERROR(IF(INDEX(Factory_PO!$C$2:$C$61,MATCH(B27&amp;"|"&amp;C27,Factory_PO!$E$2:$E$61,0))="","",INDEX(Factory_PO!$C$2:$C$61,MATCH(B27&amp;"|"&amp;C27,Factory_PO!$E$2:$E$61,0))),"")</f>
        <v>707</v>
      </c>
      <c r="T27" s="17" t="str">
        <f t="shared" si="7"/>
        <v>DNF</v>
      </c>
      <c r="U27" t="str">
        <f>IFERROR(IF(INDEX(Factory_PO!$D$2:$D$61,MATCH(B27&amp;"|"&amp;C27,Factory_PO!$E$2:$E$61,0))="","",INDEX(Factory_PO!$D$2:$D$61,MATCH(B27&amp;"|"&amp;C27,Factory_PO!$E$2:$E$61,0))),"")</f>
        <v/>
      </c>
      <c r="V27" s="17" t="str">
        <f t="shared" si="8"/>
        <v>DNF</v>
      </c>
      <c r="W27">
        <f t="shared" si="9"/>
        <v>0</v>
      </c>
      <c r="X27" t="str">
        <f t="shared" si="10"/>
        <v>DNF (factory)</v>
      </c>
      <c r="Y27">
        <f t="shared" si="11"/>
        <v>0</v>
      </c>
      <c r="Z27" s="10" t="str">
        <f t="shared" si="12"/>
        <v/>
      </c>
      <c r="AA27" s="18" t="str">
        <f t="shared" si="13"/>
        <v>DNF</v>
      </c>
      <c r="AB27" t="s">
        <v>1424</v>
      </c>
    </row>
    <row r="28" spans="1:28" ht="15" customHeight="1" x14ac:dyDescent="0.25">
      <c r="A28" t="s">
        <v>3</v>
      </c>
      <c r="B28" t="s">
        <v>62</v>
      </c>
      <c r="C28">
        <v>7</v>
      </c>
      <c r="D28" t="str">
        <f t="shared" si="0"/>
        <v>S3|7</v>
      </c>
      <c r="E28" t="str">
        <f>UPPER(MID(INDEX(raw_comp_PTA!$C$2:$C$81,MATCH(D28,raw_comp_PTA!$J$2:$J$81,0)),5,2))</f>
        <v>HD</v>
      </c>
      <c r="F28" s="3">
        <f>_xlfn.MINIFS(raw_outputtable!$J$2:$J$816,raw_outputtable!$A$2:$A$816,A28,raw_outputtable!$B$2:$B$816,C28)</f>
        <v>600.00000004889444</v>
      </c>
      <c r="G28" s="3">
        <f>_xlfn.MAXIFS(raw_outputtable!$K$2:$K$816,raw_outputtable!$A$2:$A$816,A28,raw_outputtable!$B$2:$B$816,C28)</f>
        <v>2251.5333333145827</v>
      </c>
      <c r="H28" s="3">
        <f t="shared" si="1"/>
        <v>1651.5333332656883</v>
      </c>
      <c r="I28" s="16" t="str">
        <f t="shared" si="2"/>
        <v>DNF</v>
      </c>
      <c r="J28" s="3">
        <f>INDEX(raw_comp_PTA!$H$2:$H$81,MATCH(D28,raw_comp_PTA!$J$2:$J$81,0))</f>
        <v>823.3</v>
      </c>
      <c r="K28" s="16" t="str">
        <f t="shared" si="3"/>
        <v>DNF</v>
      </c>
      <c r="L28" s="3">
        <f>SUMIFS(raw_comp_PTA_stations!$E$2:$E$461,raw_comp_PTA_stations!$A$2:$A$461,A28,raw_comp_PTA_stations!$B$2:$B$461,C28,raw_comp_PTA_stations!$C$2:$C$461,"ws*")</f>
        <v>773.17000000000007</v>
      </c>
      <c r="M28" s="16" t="str">
        <f t="shared" si="4"/>
        <v>DNF</v>
      </c>
      <c r="N28" s="3">
        <f>INDEX(raw_comp_PTA!$G$2:$G$81,MATCH(D28,raw_comp_PTA!$J$2:$J$81,0))</f>
        <v>1616.53</v>
      </c>
      <c r="O28" s="16" t="str">
        <f t="shared" si="5"/>
        <v>DNF</v>
      </c>
      <c r="P28">
        <f>COUNTIFS(raw_outputtable!$A$2:$A$816,A28,raw_outputtable!$B$2:$B$816,C28)</f>
        <v>14</v>
      </c>
      <c r="Q28">
        <f>INDEX(raw_casetable!$F$2:$F$81,MATCH(D28,raw_casetable!$G$2:$G$81,0))</f>
        <v>14</v>
      </c>
      <c r="R28">
        <f t="shared" si="6"/>
        <v>1</v>
      </c>
      <c r="S28">
        <f>IFERROR(IF(INDEX(Factory_PO!$C$2:$C$61,MATCH(B28&amp;"|"&amp;C28,Factory_PO!$E$2:$E$61,0))="","",INDEX(Factory_PO!$C$2:$C$61,MATCH(B28&amp;"|"&amp;C28,Factory_PO!$E$2:$E$61,0))),"")</f>
        <v>909</v>
      </c>
      <c r="T28" s="17" t="str">
        <f t="shared" si="7"/>
        <v>DNF</v>
      </c>
      <c r="U28" t="str">
        <f>IFERROR(IF(INDEX(Factory_PO!$D$2:$D$61,MATCH(B28&amp;"|"&amp;C28,Factory_PO!$E$2:$E$61,0))="","",INDEX(Factory_PO!$D$2:$D$61,MATCH(B28&amp;"|"&amp;C28,Factory_PO!$E$2:$E$61,0))),"")</f>
        <v/>
      </c>
      <c r="V28" s="17" t="str">
        <f t="shared" si="8"/>
        <v>DNF</v>
      </c>
      <c r="W28">
        <f t="shared" si="9"/>
        <v>0</v>
      </c>
      <c r="X28" t="str">
        <f t="shared" si="10"/>
        <v>DNF (factory)</v>
      </c>
      <c r="Y28">
        <f t="shared" si="11"/>
        <v>0</v>
      </c>
      <c r="Z28" s="10" t="str">
        <f t="shared" si="12"/>
        <v/>
      </c>
      <c r="AA28" s="18" t="str">
        <f t="shared" si="13"/>
        <v>DNF</v>
      </c>
      <c r="AB28" t="s">
        <v>1424</v>
      </c>
    </row>
    <row r="29" spans="1:28" ht="15" customHeight="1" x14ac:dyDescent="0.25">
      <c r="A29" t="s">
        <v>3</v>
      </c>
      <c r="B29" t="s">
        <v>62</v>
      </c>
      <c r="C29">
        <v>8</v>
      </c>
      <c r="D29" t="str">
        <f t="shared" si="0"/>
        <v>S3|8</v>
      </c>
      <c r="E29" t="str">
        <f>UPPER(MID(INDEX(raw_comp_PTA!$C$2:$C$81,MATCH(D29,raw_comp_PTA!$J$2:$J$81,0)),5,2))</f>
        <v>HD</v>
      </c>
      <c r="F29" s="3">
        <f>_xlfn.MINIFS(raw_outputtable!$J$2:$J$816,raw_outputtable!$A$2:$A$816,A29,raw_outputtable!$B$2:$B$816,C29)</f>
        <v>630</v>
      </c>
      <c r="G29" s="3">
        <f>_xlfn.MAXIFS(raw_outputtable!$K$2:$K$816,raw_outputtable!$A$2:$A$816,A29,raw_outputtable!$B$2:$B$816,C29)</f>
        <v>2374.9333333899267</v>
      </c>
      <c r="H29" s="3">
        <f t="shared" si="1"/>
        <v>1744.9333333899267</v>
      </c>
      <c r="I29" s="16" t="str">
        <f t="shared" si="2"/>
        <v>DNF</v>
      </c>
      <c r="J29" s="3">
        <f>INDEX(raw_comp_PTA!$H$2:$H$81,MATCH(D29,raw_comp_PTA!$J$2:$J$81,0))</f>
        <v>768.7</v>
      </c>
      <c r="K29" s="16" t="str">
        <f t="shared" si="3"/>
        <v>DNF</v>
      </c>
      <c r="L29" s="3">
        <f>SUMIFS(raw_comp_PTA_stations!$E$2:$E$461,raw_comp_PTA_stations!$A$2:$A$461,A29,raw_comp_PTA_stations!$B$2:$B$461,C29,raw_comp_PTA_stations!$C$2:$C$461,"ws*")</f>
        <v>937.7</v>
      </c>
      <c r="M29" s="16" t="str">
        <f t="shared" si="4"/>
        <v>DNF</v>
      </c>
      <c r="N29" s="3">
        <f>INDEX(raw_comp_PTA!$G$2:$G$81,MATCH(D29,raw_comp_PTA!$J$2:$J$81,0))</f>
        <v>1710.6</v>
      </c>
      <c r="O29" s="16" t="str">
        <f t="shared" si="5"/>
        <v>DNF</v>
      </c>
      <c r="P29">
        <f>COUNTIFS(raw_outputtable!$A$2:$A$816,A29,raw_outputtable!$B$2:$B$816,C29)</f>
        <v>11</v>
      </c>
      <c r="Q29">
        <f>INDEX(raw_casetable!$F$2:$F$81,MATCH(D29,raw_casetable!$G$2:$G$81,0))</f>
        <v>14</v>
      </c>
      <c r="R29">
        <f t="shared" si="6"/>
        <v>0</v>
      </c>
      <c r="S29">
        <f>IFERROR(IF(INDEX(Factory_PO!$C$2:$C$61,MATCH(B29&amp;"|"&amp;C29,Factory_PO!$E$2:$E$61,0))="","",INDEX(Factory_PO!$C$2:$C$61,MATCH(B29&amp;"|"&amp;C29,Factory_PO!$E$2:$E$61,0))),"")</f>
        <v>858</v>
      </c>
      <c r="T29" s="17" t="str">
        <f t="shared" si="7"/>
        <v>DNF</v>
      </c>
      <c r="U29" t="str">
        <f>IFERROR(IF(INDEX(Factory_PO!$D$2:$D$61,MATCH(B29&amp;"|"&amp;C29,Factory_PO!$E$2:$E$61,0))="","",INDEX(Factory_PO!$D$2:$D$61,MATCH(B29&amp;"|"&amp;C29,Factory_PO!$E$2:$E$61,0))),"")</f>
        <v/>
      </c>
      <c r="V29" s="17" t="str">
        <f t="shared" si="8"/>
        <v>DNF</v>
      </c>
      <c r="W29">
        <f t="shared" si="9"/>
        <v>0</v>
      </c>
      <c r="X29" t="str">
        <f t="shared" si="10"/>
        <v>DNF (sim + factory)</v>
      </c>
      <c r="Y29">
        <f t="shared" si="11"/>
        <v>0</v>
      </c>
      <c r="Z29" s="10" t="str">
        <f t="shared" si="12"/>
        <v/>
      </c>
      <c r="AA29" s="18" t="str">
        <f t="shared" si="13"/>
        <v>DNF</v>
      </c>
      <c r="AB29" t="s">
        <v>1424</v>
      </c>
    </row>
    <row r="30" spans="1:28" ht="15" customHeight="1" x14ac:dyDescent="0.25">
      <c r="A30" t="s">
        <v>3</v>
      </c>
      <c r="B30" t="s">
        <v>62</v>
      </c>
      <c r="C30">
        <v>9</v>
      </c>
      <c r="D30" t="str">
        <f t="shared" si="0"/>
        <v>S3|9</v>
      </c>
      <c r="E30" t="str">
        <f>UPPER(MID(INDEX(raw_comp_PTA!$C$2:$C$81,MATCH(D30,raw_comp_PTA!$J$2:$J$81,0)),5,2))</f>
        <v>HD</v>
      </c>
      <c r="F30" s="3">
        <f>_xlfn.MINIFS(raw_outputtable!$J$2:$J$816,raw_outputtable!$A$2:$A$816,A30,raw_outputtable!$B$2:$B$816,C30)</f>
        <v>780.00000004889444</v>
      </c>
      <c r="G30" s="3">
        <f>_xlfn.MAXIFS(raw_outputtable!$K$2:$K$816,raw_outputtable!$A$2:$A$816,A30,raw_outputtable!$B$2:$B$816,C30)</f>
        <v>2193.400000075344</v>
      </c>
      <c r="H30" s="3">
        <f t="shared" si="1"/>
        <v>1413.4000000264496</v>
      </c>
      <c r="I30" s="16" t="str">
        <f t="shared" si="2"/>
        <v>DNF</v>
      </c>
      <c r="J30" s="3">
        <f>INDEX(raw_comp_PTA!$H$2:$H$81,MATCH(D30,raw_comp_PTA!$J$2:$J$81,0))</f>
        <v>590.1</v>
      </c>
      <c r="K30" s="16" t="str">
        <f t="shared" si="3"/>
        <v>DNF</v>
      </c>
      <c r="L30" s="3">
        <f>SUMIFS(raw_comp_PTA_stations!$E$2:$E$461,raw_comp_PTA_stations!$A$2:$A$461,A30,raw_comp_PTA_stations!$B$2:$B$461,C30,raw_comp_PTA_stations!$C$2:$C$461,"ws*")</f>
        <v>767.7399999999999</v>
      </c>
      <c r="M30" s="16" t="str">
        <f t="shared" si="4"/>
        <v>DNF</v>
      </c>
      <c r="N30" s="3">
        <f>INDEX(raw_comp_PTA!$G$2:$G$81,MATCH(D30,raw_comp_PTA!$J$2:$J$81,0))</f>
        <v>1376.53</v>
      </c>
      <c r="O30" s="16" t="str">
        <f t="shared" si="5"/>
        <v>DNF</v>
      </c>
      <c r="P30">
        <f>COUNTIFS(raw_outputtable!$A$2:$A$816,A30,raw_outputtable!$B$2:$B$816,C30)</f>
        <v>8</v>
      </c>
      <c r="Q30">
        <f>INDEX(raw_casetable!$F$2:$F$81,MATCH(D30,raw_casetable!$G$2:$G$81,0))</f>
        <v>14</v>
      </c>
      <c r="R30">
        <f t="shared" si="6"/>
        <v>0</v>
      </c>
      <c r="S30">
        <f>IFERROR(IF(INDEX(Factory_PO!$C$2:$C$61,MATCH(B30&amp;"|"&amp;C30,Factory_PO!$E$2:$E$61,0))="","",INDEX(Factory_PO!$C$2:$C$61,MATCH(B30&amp;"|"&amp;C30,Factory_PO!$E$2:$E$61,0))),"")</f>
        <v>645</v>
      </c>
      <c r="T30" s="17" t="str">
        <f t="shared" si="7"/>
        <v>DNF</v>
      </c>
      <c r="U30" t="str">
        <f>IFERROR(IF(INDEX(Factory_PO!$D$2:$D$61,MATCH(B30&amp;"|"&amp;C30,Factory_PO!$E$2:$E$61,0))="","",INDEX(Factory_PO!$D$2:$D$61,MATCH(B30&amp;"|"&amp;C30,Factory_PO!$E$2:$E$61,0))),"")</f>
        <v/>
      </c>
      <c r="V30" s="17" t="str">
        <f t="shared" si="8"/>
        <v>DNF</v>
      </c>
      <c r="W30">
        <f t="shared" si="9"/>
        <v>0</v>
      </c>
      <c r="X30" t="str">
        <f t="shared" si="10"/>
        <v>DNF (sim + factory)</v>
      </c>
      <c r="Y30">
        <f t="shared" si="11"/>
        <v>0</v>
      </c>
      <c r="Z30" s="10" t="str">
        <f t="shared" si="12"/>
        <v/>
      </c>
      <c r="AA30" s="18" t="str">
        <f t="shared" si="13"/>
        <v>DNF</v>
      </c>
      <c r="AB30" t="s">
        <v>1424</v>
      </c>
    </row>
    <row r="31" spans="1:28" ht="15" customHeight="1" x14ac:dyDescent="0.25">
      <c r="A31" t="s">
        <v>3</v>
      </c>
      <c r="B31" t="s">
        <v>62</v>
      </c>
      <c r="C31">
        <v>10</v>
      </c>
      <c r="D31" t="str">
        <f t="shared" si="0"/>
        <v>S3|10</v>
      </c>
      <c r="E31" t="str">
        <f>UPPER(MID(INDEX(raw_comp_PTA!$C$2:$C$81,MATCH(D31,raw_comp_PTA!$J$2:$J$81,0)),5,2))</f>
        <v>HD</v>
      </c>
      <c r="F31" s="3">
        <f>_xlfn.MINIFS(raw_outputtable!$J$2:$J$816,raw_outputtable!$A$2:$A$816,A31,raw_outputtable!$B$2:$B$816,C31)</f>
        <v>839.99999995110556</v>
      </c>
      <c r="G31" s="3">
        <f>_xlfn.MAXIFS(raw_outputtable!$K$2:$K$816,raw_outputtable!$A$2:$A$816,A31,raw_outputtable!$B$2:$B$816,C31)</f>
        <v>2373.400000075344</v>
      </c>
      <c r="H31" s="3">
        <f t="shared" si="1"/>
        <v>1533.4000001242384</v>
      </c>
      <c r="I31" s="16" t="str">
        <f t="shared" si="2"/>
        <v>DNF</v>
      </c>
      <c r="J31" s="3">
        <f>INDEX(raw_comp_PTA!$H$2:$H$81,MATCH(D31,raw_comp_PTA!$J$2:$J$81,0))</f>
        <v>590.1</v>
      </c>
      <c r="K31" s="16" t="str">
        <f t="shared" si="3"/>
        <v>DNF</v>
      </c>
      <c r="L31" s="3">
        <f>SUMIFS(raw_comp_PTA_stations!$E$2:$E$461,raw_comp_PTA_stations!$A$2:$A$461,A31,raw_comp_PTA_stations!$B$2:$B$461,C31,raw_comp_PTA_stations!$C$2:$C$461,"ws*")</f>
        <v>891.06999999999994</v>
      </c>
      <c r="M31" s="16" t="str">
        <f t="shared" si="4"/>
        <v>DNF</v>
      </c>
      <c r="N31" s="3">
        <f>INDEX(raw_comp_PTA!$G$2:$G$81,MATCH(D31,raw_comp_PTA!$J$2:$J$81,0))</f>
        <v>1495</v>
      </c>
      <c r="O31" s="16" t="str">
        <f t="shared" si="5"/>
        <v>DNF</v>
      </c>
      <c r="P31">
        <f>COUNTIFS(raw_outputtable!$A$2:$A$816,A31,raw_outputtable!$B$2:$B$816,C31)</f>
        <v>8</v>
      </c>
      <c r="Q31">
        <f>INDEX(raw_casetable!$F$2:$F$81,MATCH(D31,raw_casetable!$G$2:$G$81,0))</f>
        <v>14</v>
      </c>
      <c r="R31">
        <f t="shared" si="6"/>
        <v>0</v>
      </c>
      <c r="S31">
        <f>IFERROR(IF(INDEX(Factory_PO!$C$2:$C$61,MATCH(B31&amp;"|"&amp;C31,Factory_PO!$E$2:$E$61,0))="","",INDEX(Factory_PO!$C$2:$C$61,MATCH(B31&amp;"|"&amp;C31,Factory_PO!$E$2:$E$61,0))),"")</f>
        <v>605</v>
      </c>
      <c r="T31" s="17" t="str">
        <f t="shared" si="7"/>
        <v>DNF</v>
      </c>
      <c r="U31" t="str">
        <f>IFERROR(IF(INDEX(Factory_PO!$D$2:$D$61,MATCH(B31&amp;"|"&amp;C31,Factory_PO!$E$2:$E$61,0))="","",INDEX(Factory_PO!$D$2:$D$61,MATCH(B31&amp;"|"&amp;C31,Factory_PO!$E$2:$E$61,0))),"")</f>
        <v/>
      </c>
      <c r="V31" s="17" t="str">
        <f t="shared" si="8"/>
        <v>DNF</v>
      </c>
      <c r="W31">
        <f t="shared" si="9"/>
        <v>0</v>
      </c>
      <c r="X31" t="str">
        <f t="shared" si="10"/>
        <v>DNF (sim + factory)</v>
      </c>
      <c r="Y31">
        <f t="shared" si="11"/>
        <v>0</v>
      </c>
      <c r="Z31" s="10" t="str">
        <f t="shared" si="12"/>
        <v/>
      </c>
      <c r="AA31" s="18" t="str">
        <f t="shared" si="13"/>
        <v>DNF</v>
      </c>
      <c r="AB31" t="s">
        <v>1424</v>
      </c>
    </row>
    <row r="32" spans="1:28" ht="15" customHeight="1" x14ac:dyDescent="0.25">
      <c r="A32" t="s">
        <v>4</v>
      </c>
      <c r="B32" t="s">
        <v>62</v>
      </c>
      <c r="C32">
        <v>1</v>
      </c>
      <c r="D32" t="str">
        <f t="shared" si="0"/>
        <v>S3s|1</v>
      </c>
      <c r="E32" t="str">
        <f>UPPER(MID(INDEX(raw_comp_PTA!$C$2:$C$81,MATCH(D32,raw_comp_PTA!$J$2:$J$81,0)),5,2))</f>
        <v>HD</v>
      </c>
      <c r="F32" s="3">
        <f>_xlfn.MINIFS(raw_outputtable!$J$2:$J$816,raw_outputtable!$A$2:$A$816,A32,raw_outputtable!$B$2:$B$816,C32)</f>
        <v>0</v>
      </c>
      <c r="G32" s="3">
        <f>_xlfn.MAXIFS(raw_outputtable!$K$2:$K$816,raw_outputtable!$A$2:$A$816,A32,raw_outputtable!$B$2:$B$816,C32)</f>
        <v>1083.0666666291654</v>
      </c>
      <c r="H32" s="3">
        <f t="shared" si="1"/>
        <v>1083.0666666291654</v>
      </c>
      <c r="I32" s="16">
        <f t="shared" si="2"/>
        <v>1083.0666666291654</v>
      </c>
      <c r="J32" s="3">
        <f>INDEX(raw_comp_PTA!$H$2:$H$81,MATCH(D32,raw_comp_PTA!$J$2:$J$81,0))</f>
        <v>1027.3</v>
      </c>
      <c r="K32" s="16">
        <f t="shared" si="3"/>
        <v>1027.3</v>
      </c>
      <c r="L32" s="3">
        <f>SUMIFS(raw_comp_PTA_stations!$E$2:$E$461,raw_comp_PTA_stations!$A$2:$A$461,A32,raw_comp_PTA_stations!$B$2:$B$461,C32,raw_comp_PTA_stations!$C$2:$C$461,"ws*")</f>
        <v>156.26</v>
      </c>
      <c r="M32" s="16">
        <f t="shared" si="4"/>
        <v>156.26</v>
      </c>
      <c r="N32" s="3">
        <f>INDEX(raw_comp_PTA!$G$2:$G$81,MATCH(D32,raw_comp_PTA!$J$2:$J$81,0))</f>
        <v>1052.8699999999999</v>
      </c>
      <c r="O32" s="16">
        <f t="shared" si="5"/>
        <v>1052.8699999999999</v>
      </c>
      <c r="P32">
        <f>COUNTIFS(raw_outputtable!$A$2:$A$816,A32,raw_outputtable!$B$2:$B$816,C32)</f>
        <v>14</v>
      </c>
      <c r="Q32">
        <f>INDEX(raw_casetable!$F$2:$F$81,MATCH(D32,raw_casetable!$G$2:$G$81,0))</f>
        <v>14</v>
      </c>
      <c r="R32">
        <f t="shared" si="6"/>
        <v>1</v>
      </c>
      <c r="S32">
        <f>IFERROR(IF(INDEX(Factory_PO!$C$2:$C$61,MATCH(B32&amp;"|"&amp;C32,Factory_PO!$E$2:$E$61,0))="","",INDEX(Factory_PO!$C$2:$C$61,MATCH(B32&amp;"|"&amp;C32,Factory_PO!$E$2:$E$61,0))),"")</f>
        <v>910</v>
      </c>
      <c r="T32" s="17">
        <f t="shared" si="7"/>
        <v>910</v>
      </c>
      <c r="U32">
        <f>IFERROR(IF(INDEX(Factory_PO!$D$2:$D$61,MATCH(B32&amp;"|"&amp;C32,Factory_PO!$E$2:$E$61,0))="","",INDEX(Factory_PO!$D$2:$D$61,MATCH(B32&amp;"|"&amp;C32,Factory_PO!$E$2:$E$61,0))),"")</f>
        <v>1066</v>
      </c>
      <c r="V32" s="17">
        <f t="shared" si="8"/>
        <v>1066</v>
      </c>
      <c r="W32">
        <f t="shared" si="9"/>
        <v>1</v>
      </c>
      <c r="X32" t="str">
        <f t="shared" si="10"/>
        <v>Complete</v>
      </c>
      <c r="Y32">
        <f t="shared" si="11"/>
        <v>1</v>
      </c>
      <c r="Z32" s="10">
        <f t="shared" si="12"/>
        <v>1.6010006218729278E-2</v>
      </c>
      <c r="AA32" s="18">
        <f t="shared" si="13"/>
        <v>1.6010006218729278E-2</v>
      </c>
      <c r="AB32" t="s">
        <v>1425</v>
      </c>
    </row>
    <row r="33" spans="1:28" ht="15" customHeight="1" x14ac:dyDescent="0.25">
      <c r="A33" t="s">
        <v>4</v>
      </c>
      <c r="B33" t="s">
        <v>62</v>
      </c>
      <c r="C33">
        <v>2</v>
      </c>
      <c r="D33" t="str">
        <f t="shared" si="0"/>
        <v>S3s|2</v>
      </c>
      <c r="E33" t="str">
        <f>UPPER(MID(INDEX(raw_comp_PTA!$C$2:$C$81,MATCH(D33,raw_comp_PTA!$J$2:$J$81,0)),5,2))</f>
        <v>HD</v>
      </c>
      <c r="F33" s="3">
        <f>_xlfn.MINIFS(raw_outputtable!$J$2:$J$816,raw_outputtable!$A$2:$A$816,A33,raw_outputtable!$B$2:$B$816,C33)</f>
        <v>90</v>
      </c>
      <c r="G33" s="3">
        <f>_xlfn.MAXIFS(raw_outputtable!$K$2:$K$816,raw_outputtable!$A$2:$A$816,A33,raw_outputtable!$B$2:$B$816,C33)</f>
        <v>1358.4666666237172</v>
      </c>
      <c r="H33" s="3">
        <f t="shared" si="1"/>
        <v>1268.4666666237172</v>
      </c>
      <c r="I33" s="16">
        <f t="shared" si="2"/>
        <v>1268.4666666237172</v>
      </c>
      <c r="J33" s="3">
        <f>INDEX(raw_comp_PTA!$H$2:$H$81,MATCH(D33,raw_comp_PTA!$J$2:$J$81,0))</f>
        <v>1027.3</v>
      </c>
      <c r="K33" s="16">
        <f t="shared" si="3"/>
        <v>1027.3</v>
      </c>
      <c r="L33" s="3">
        <f>SUMIFS(raw_comp_PTA_stations!$E$2:$E$461,raw_comp_PTA_stations!$A$2:$A$461,A33,raw_comp_PTA_stations!$B$2:$B$461,C33,raw_comp_PTA_stations!$C$2:$C$461,"ws*")</f>
        <v>327.05999999999995</v>
      </c>
      <c r="M33" s="16">
        <f t="shared" si="4"/>
        <v>327.05999999999995</v>
      </c>
      <c r="N33" s="3">
        <f>INDEX(raw_comp_PTA!$G$2:$G$81,MATCH(D33,raw_comp_PTA!$J$2:$J$81,0))</f>
        <v>1236.54</v>
      </c>
      <c r="O33" s="16">
        <f t="shared" si="5"/>
        <v>1236.54</v>
      </c>
      <c r="P33">
        <f>COUNTIFS(raw_outputtable!$A$2:$A$816,A33,raw_outputtable!$B$2:$B$816,C33)</f>
        <v>14</v>
      </c>
      <c r="Q33">
        <f>INDEX(raw_casetable!$F$2:$F$81,MATCH(D33,raw_casetable!$G$2:$G$81,0))</f>
        <v>14</v>
      </c>
      <c r="R33">
        <f t="shared" si="6"/>
        <v>1</v>
      </c>
      <c r="S33">
        <f>IFERROR(IF(INDEX(Factory_PO!$C$2:$C$61,MATCH(B33&amp;"|"&amp;C33,Factory_PO!$E$2:$E$61,0))="","",INDEX(Factory_PO!$C$2:$C$61,MATCH(B33&amp;"|"&amp;C33,Factory_PO!$E$2:$E$61,0))),"")</f>
        <v>752</v>
      </c>
      <c r="T33" s="17">
        <f t="shared" si="7"/>
        <v>752</v>
      </c>
      <c r="U33">
        <f>IFERROR(IF(INDEX(Factory_PO!$D$2:$D$61,MATCH(B33&amp;"|"&amp;C33,Factory_PO!$E$2:$E$61,0))="","",INDEX(Factory_PO!$D$2:$D$61,MATCH(B33&amp;"|"&amp;C33,Factory_PO!$E$2:$E$61,0))),"")</f>
        <v>1636</v>
      </c>
      <c r="V33" s="17">
        <f t="shared" si="8"/>
        <v>1636</v>
      </c>
      <c r="W33">
        <f t="shared" si="9"/>
        <v>1</v>
      </c>
      <c r="X33" t="str">
        <f t="shared" si="10"/>
        <v>Complete</v>
      </c>
      <c r="Y33">
        <f t="shared" si="11"/>
        <v>1</v>
      </c>
      <c r="Z33" s="10">
        <f t="shared" si="12"/>
        <v>-0.22465362675811909</v>
      </c>
      <c r="AA33" s="18">
        <f t="shared" si="13"/>
        <v>-0.22465362675811909</v>
      </c>
      <c r="AB33" t="s">
        <v>1425</v>
      </c>
    </row>
    <row r="34" spans="1:28" ht="15" customHeight="1" x14ac:dyDescent="0.25">
      <c r="A34" t="s">
        <v>4</v>
      </c>
      <c r="B34" t="s">
        <v>62</v>
      </c>
      <c r="C34">
        <v>3</v>
      </c>
      <c r="D34" t="str">
        <f t="shared" ref="D34:D65" si="14">A34&amp;"|"&amp;C34</f>
        <v>S3s|3</v>
      </c>
      <c r="E34" t="str">
        <f>UPPER(MID(INDEX(raw_comp_PTA!$C$2:$C$81,MATCH(D34,raw_comp_PTA!$J$2:$J$81,0)),5,2))</f>
        <v>HD</v>
      </c>
      <c r="F34" s="3">
        <f>_xlfn.MINIFS(raw_outputtable!$J$2:$J$816,raw_outputtable!$A$2:$A$816,A34,raw_outputtable!$B$2:$B$816,C34)</f>
        <v>180</v>
      </c>
      <c r="G34" s="3">
        <f>_xlfn.MAXIFS(raw_outputtable!$K$2:$K$816,raw_outputtable!$A$2:$A$816,A34,raw_outputtable!$B$2:$B$816,C34)</f>
        <v>1656.9333334069233</v>
      </c>
      <c r="H34" s="3">
        <f t="shared" ref="H34:H65" si="15">G34-F34</f>
        <v>1476.9333334069233</v>
      </c>
      <c r="I34" s="16">
        <f t="shared" ref="I34:I65" si="16">IF($Y34=1,H34,"DNF")</f>
        <v>1476.9333334069233</v>
      </c>
      <c r="J34" s="3">
        <f>INDEX(raw_comp_PTA!$H$2:$H$81,MATCH(D34,raw_comp_PTA!$J$2:$J$81,0))</f>
        <v>1027.3</v>
      </c>
      <c r="K34" s="16">
        <f t="shared" ref="K34:K65" si="17">IF($Y34=1,J34,"DNF")</f>
        <v>1027.3</v>
      </c>
      <c r="L34" s="3">
        <f>SUMIFS(raw_comp_PTA_stations!$E$2:$E$461,raw_comp_PTA_stations!$A$2:$A$461,A34,raw_comp_PTA_stations!$B$2:$B$461,C34,raw_comp_PTA_stations!$C$2:$C$461,"ws*")</f>
        <v>542.33000000000004</v>
      </c>
      <c r="M34" s="16">
        <f t="shared" ref="M34:M65" si="18">IF($Y34=1,L34,"DNF")</f>
        <v>542.33000000000004</v>
      </c>
      <c r="N34" s="3">
        <f>INDEX(raw_comp_PTA!$G$2:$G$81,MATCH(D34,raw_comp_PTA!$J$2:$J$81,0))</f>
        <v>1443.46</v>
      </c>
      <c r="O34" s="16">
        <f t="shared" ref="O34:O65" si="19">IF($Y34=1,N34,"DNF")</f>
        <v>1443.46</v>
      </c>
      <c r="P34">
        <f>COUNTIFS(raw_outputtable!$A$2:$A$816,A34,raw_outputtable!$B$2:$B$816,C34)</f>
        <v>14</v>
      </c>
      <c r="Q34">
        <f>INDEX(raw_casetable!$F$2:$F$81,MATCH(D34,raw_casetable!$G$2:$G$81,0))</f>
        <v>14</v>
      </c>
      <c r="R34">
        <f t="shared" ref="R34:R65" si="20">IF(P34&gt;=Q34,1,0)</f>
        <v>1</v>
      </c>
      <c r="S34">
        <f>IFERROR(IF(INDEX(Factory_PO!$C$2:$C$61,MATCH(B34&amp;"|"&amp;C34,Factory_PO!$E$2:$E$61,0))="","",INDEX(Factory_PO!$C$2:$C$61,MATCH(B34&amp;"|"&amp;C34,Factory_PO!$E$2:$E$61,0))),"")</f>
        <v>720</v>
      </c>
      <c r="T34" s="17">
        <f t="shared" ref="T34:T65" si="21">IF($Y34=1,S34,"DNF")</f>
        <v>720</v>
      </c>
      <c r="U34">
        <f>IFERROR(IF(INDEX(Factory_PO!$D$2:$D$61,MATCH(B34&amp;"|"&amp;C34,Factory_PO!$E$2:$E$61,0))="","",INDEX(Factory_PO!$D$2:$D$61,MATCH(B34&amp;"|"&amp;C34,Factory_PO!$E$2:$E$61,0))),"")</f>
        <v>1186</v>
      </c>
      <c r="V34" s="17">
        <f t="shared" ref="V34:V65" si="22">IF($Y34=1,U34,"DNF")</f>
        <v>1186</v>
      </c>
      <c r="W34">
        <f t="shared" ref="W34:W65" si="23">IF(U34="",0,1)</f>
        <v>1</v>
      </c>
      <c r="X34" t="str">
        <f t="shared" ref="X34:X65" si="24">IF(AND(R34=1,W34=1),"Complete",IF(AND(R34=0,W34=0),"DNF (sim + factory)",IF(R34=0,"DNF (sim)","DNF (factory)")))</f>
        <v>Complete</v>
      </c>
      <c r="Y34">
        <f t="shared" ref="Y34:Y65" si="25">IF(X34="Complete",1,0)</f>
        <v>1</v>
      </c>
      <c r="Z34" s="10">
        <f t="shared" ref="Z34:Z65" si="26">IF(U34="","",(H34-U34)/U34)</f>
        <v>0.24530635194512929</v>
      </c>
      <c r="AA34" s="18">
        <f t="shared" ref="AA34:AA65" si="27">IF($Y34=1,Z34,"DNF")</f>
        <v>0.24530635194512929</v>
      </c>
      <c r="AB34" t="s">
        <v>1425</v>
      </c>
    </row>
    <row r="35" spans="1:28" ht="15" customHeight="1" x14ac:dyDescent="0.25">
      <c r="A35" t="s">
        <v>4</v>
      </c>
      <c r="B35" t="s">
        <v>62</v>
      </c>
      <c r="C35">
        <v>4</v>
      </c>
      <c r="D35" t="str">
        <f t="shared" si="14"/>
        <v>S3s|4</v>
      </c>
      <c r="E35" t="str">
        <f>UPPER(MID(INDEX(raw_comp_PTA!$C$2:$C$81,MATCH(D35,raw_comp_PTA!$J$2:$J$81,0)),5,2))</f>
        <v>HD</v>
      </c>
      <c r="F35" s="3">
        <f>_xlfn.MINIFS(raw_outputtable!$J$2:$J$816,raw_outputtable!$A$2:$A$816,A35,raw_outputtable!$B$2:$B$816,C35)</f>
        <v>270</v>
      </c>
      <c r="G35" s="3">
        <f>_xlfn.MAXIFS(raw_outputtable!$K$2:$K$816,raw_outputtable!$A$2:$A$816,A35,raw_outputtable!$B$2:$B$816,C35)</f>
        <v>1958.4666666726116</v>
      </c>
      <c r="H35" s="3">
        <f t="shared" si="15"/>
        <v>1688.4666666726116</v>
      </c>
      <c r="I35" s="16">
        <f t="shared" si="16"/>
        <v>1688.4666666726116</v>
      </c>
      <c r="J35" s="3">
        <f>INDEX(raw_comp_PTA!$H$2:$H$81,MATCH(D35,raw_comp_PTA!$J$2:$J$81,0))</f>
        <v>1027.3</v>
      </c>
      <c r="K35" s="16">
        <f t="shared" si="17"/>
        <v>1027.3</v>
      </c>
      <c r="L35" s="3">
        <f>SUMIFS(raw_comp_PTA_stations!$E$2:$E$461,raw_comp_PTA_stations!$A$2:$A$461,A35,raw_comp_PTA_stations!$B$2:$B$461,C35,raw_comp_PTA_stations!$C$2:$C$461,"ws*")</f>
        <v>756.28</v>
      </c>
      <c r="M35" s="16">
        <f t="shared" si="18"/>
        <v>756.28</v>
      </c>
      <c r="N35" s="3">
        <f>INDEX(raw_comp_PTA!$G$2:$G$81,MATCH(D35,raw_comp_PTA!$J$2:$J$81,0))</f>
        <v>1655</v>
      </c>
      <c r="O35" s="16">
        <f t="shared" si="19"/>
        <v>1655</v>
      </c>
      <c r="P35">
        <f>COUNTIFS(raw_outputtable!$A$2:$A$816,A35,raw_outputtable!$B$2:$B$816,C35)</f>
        <v>14</v>
      </c>
      <c r="Q35">
        <f>INDEX(raw_casetable!$F$2:$F$81,MATCH(D35,raw_casetable!$G$2:$G$81,0))</f>
        <v>14</v>
      </c>
      <c r="R35">
        <f t="shared" si="20"/>
        <v>1</v>
      </c>
      <c r="S35">
        <f>IFERROR(IF(INDEX(Factory_PO!$C$2:$C$61,MATCH(B35&amp;"|"&amp;C35,Factory_PO!$E$2:$E$61,0))="","",INDEX(Factory_PO!$C$2:$C$61,MATCH(B35&amp;"|"&amp;C35,Factory_PO!$E$2:$E$61,0))),"")</f>
        <v>848</v>
      </c>
      <c r="T35" s="17">
        <f t="shared" si="21"/>
        <v>848</v>
      </c>
      <c r="U35">
        <f>IFERROR(IF(INDEX(Factory_PO!$D$2:$D$61,MATCH(B35&amp;"|"&amp;C35,Factory_PO!$E$2:$E$61,0))="","",INDEX(Factory_PO!$D$2:$D$61,MATCH(B35&amp;"|"&amp;C35,Factory_PO!$E$2:$E$61,0))),"")</f>
        <v>2027</v>
      </c>
      <c r="V35" s="17">
        <f t="shared" si="22"/>
        <v>2027</v>
      </c>
      <c r="W35">
        <f t="shared" si="23"/>
        <v>1</v>
      </c>
      <c r="X35" t="str">
        <f t="shared" si="24"/>
        <v>Complete</v>
      </c>
      <c r="Y35">
        <f t="shared" si="25"/>
        <v>1</v>
      </c>
      <c r="Z35" s="10">
        <f t="shared" si="26"/>
        <v>-0.16701200460157295</v>
      </c>
      <c r="AA35" s="18">
        <f t="shared" si="27"/>
        <v>-0.16701200460157295</v>
      </c>
      <c r="AB35" t="s">
        <v>1425</v>
      </c>
    </row>
    <row r="36" spans="1:28" ht="15" customHeight="1" x14ac:dyDescent="0.25">
      <c r="A36" t="s">
        <v>4</v>
      </c>
      <c r="B36" t="s">
        <v>62</v>
      </c>
      <c r="C36">
        <v>5</v>
      </c>
      <c r="D36" t="str">
        <f t="shared" si="14"/>
        <v>S3s|5</v>
      </c>
      <c r="E36" t="str">
        <f>UPPER(MID(INDEX(raw_comp_PTA!$C$2:$C$81,MATCH(D36,raw_comp_PTA!$J$2:$J$81,0)),5,2))</f>
        <v>HD</v>
      </c>
      <c r="F36" s="3">
        <f>_xlfn.MINIFS(raw_outputtable!$J$2:$J$816,raw_outputtable!$A$2:$A$816,A36,raw_outputtable!$B$2:$B$816,C36)</f>
        <v>360</v>
      </c>
      <c r="G36" s="3">
        <f>_xlfn.MAXIFS(raw_outputtable!$K$2:$K$816,raw_outputtable!$A$2:$A$816,A36,raw_outputtable!$B$2:$B$816,C36)</f>
        <v>2256.9333333091345</v>
      </c>
      <c r="H36" s="3">
        <f t="shared" si="15"/>
        <v>1896.9333333091345</v>
      </c>
      <c r="I36" s="16">
        <f t="shared" si="16"/>
        <v>1896.9333333091345</v>
      </c>
      <c r="J36" s="3">
        <f>INDEX(raw_comp_PTA!$H$2:$H$81,MATCH(D36,raw_comp_PTA!$J$2:$J$81,0))</f>
        <v>1027.3</v>
      </c>
      <c r="K36" s="16">
        <f t="shared" si="17"/>
        <v>1027.3</v>
      </c>
      <c r="L36" s="3">
        <f>SUMIFS(raw_comp_PTA_stations!$E$2:$E$461,raw_comp_PTA_stations!$A$2:$A$461,A36,raw_comp_PTA_stations!$B$2:$B$461,C36,raw_comp_PTA_stations!$C$2:$C$461,"ws*")</f>
        <v>961.33</v>
      </c>
      <c r="M36" s="16">
        <f t="shared" si="18"/>
        <v>961.33</v>
      </c>
      <c r="N36" s="3">
        <f>INDEX(raw_comp_PTA!$G$2:$G$81,MATCH(D36,raw_comp_PTA!$J$2:$J$81,0))</f>
        <v>1861.6</v>
      </c>
      <c r="O36" s="16">
        <f t="shared" si="19"/>
        <v>1861.6</v>
      </c>
      <c r="P36">
        <f>COUNTIFS(raw_outputtable!$A$2:$A$816,A36,raw_outputtable!$B$2:$B$816,C36)</f>
        <v>14</v>
      </c>
      <c r="Q36">
        <f>INDEX(raw_casetable!$F$2:$F$81,MATCH(D36,raw_casetable!$G$2:$G$81,0))</f>
        <v>14</v>
      </c>
      <c r="R36">
        <f t="shared" si="20"/>
        <v>1</v>
      </c>
      <c r="S36">
        <f>IFERROR(IF(INDEX(Factory_PO!$C$2:$C$61,MATCH(B36&amp;"|"&amp;C36,Factory_PO!$E$2:$E$61,0))="","",INDEX(Factory_PO!$C$2:$C$61,MATCH(B36&amp;"|"&amp;C36,Factory_PO!$E$2:$E$61,0))),"")</f>
        <v>600</v>
      </c>
      <c r="T36" s="17">
        <f t="shared" si="21"/>
        <v>600</v>
      </c>
      <c r="U36">
        <f>IFERROR(IF(INDEX(Factory_PO!$D$2:$D$61,MATCH(B36&amp;"|"&amp;C36,Factory_PO!$E$2:$E$61,0))="","",INDEX(Factory_PO!$D$2:$D$61,MATCH(B36&amp;"|"&amp;C36,Factory_PO!$E$2:$E$61,0))),"")</f>
        <v>2027</v>
      </c>
      <c r="V36" s="17">
        <f t="shared" si="22"/>
        <v>2027</v>
      </c>
      <c r="W36">
        <f t="shared" si="23"/>
        <v>1</v>
      </c>
      <c r="X36" t="str">
        <f t="shared" si="24"/>
        <v>Complete</v>
      </c>
      <c r="Y36">
        <f t="shared" si="25"/>
        <v>1</v>
      </c>
      <c r="Z36" s="10">
        <f t="shared" si="26"/>
        <v>-6.4167077795197605E-2</v>
      </c>
      <c r="AA36" s="18">
        <f t="shared" si="27"/>
        <v>-6.4167077795197605E-2</v>
      </c>
      <c r="AB36" t="s">
        <v>1425</v>
      </c>
    </row>
    <row r="37" spans="1:28" ht="15" customHeight="1" x14ac:dyDescent="0.25">
      <c r="A37" t="s">
        <v>4</v>
      </c>
      <c r="B37" t="s">
        <v>62</v>
      </c>
      <c r="C37">
        <v>6</v>
      </c>
      <c r="D37" t="str">
        <f t="shared" si="14"/>
        <v>S3s|6</v>
      </c>
      <c r="E37" t="str">
        <f>UPPER(MID(INDEX(raw_comp_PTA!$C$2:$C$81,MATCH(D37,raw_comp_PTA!$J$2:$J$81,0)),5,2))</f>
        <v>HD</v>
      </c>
      <c r="F37" s="3">
        <f>_xlfn.MINIFS(raw_outputtable!$J$2:$J$816,raw_outputtable!$A$2:$A$816,A37,raw_outputtable!$B$2:$B$816,C37)</f>
        <v>450</v>
      </c>
      <c r="G37" s="3">
        <f>_xlfn.MAXIFS(raw_outputtable!$K$2:$K$816,raw_outputtable!$A$2:$A$816,A37,raw_outputtable!$B$2:$B$816,C37)</f>
        <v>2341.5333333145827</v>
      </c>
      <c r="H37" s="3">
        <f t="shared" si="15"/>
        <v>1891.5333333145827</v>
      </c>
      <c r="I37" s="16" t="str">
        <f t="shared" si="16"/>
        <v>DNF</v>
      </c>
      <c r="J37" s="3">
        <f>INDEX(raw_comp_PTA!$H$2:$H$81,MATCH(D37,raw_comp_PTA!$J$2:$J$81,0))</f>
        <v>911.2</v>
      </c>
      <c r="K37" s="16" t="str">
        <f t="shared" si="17"/>
        <v>DNF</v>
      </c>
      <c r="L37" s="3">
        <f>SUMIFS(raw_comp_PTA_stations!$E$2:$E$461,raw_comp_PTA_stations!$A$2:$A$461,A37,raw_comp_PTA_stations!$B$2:$B$461,C37,raw_comp_PTA_stations!$C$2:$C$461,"ws*")</f>
        <v>1103.4100000000001</v>
      </c>
      <c r="M37" s="16" t="str">
        <f t="shared" si="18"/>
        <v>DNF</v>
      </c>
      <c r="N37" s="3">
        <f>INDEX(raw_comp_PTA!$G$2:$G$81,MATCH(D37,raw_comp_PTA!$J$2:$J$81,0))</f>
        <v>1854.66</v>
      </c>
      <c r="O37" s="16" t="str">
        <f t="shared" si="19"/>
        <v>DNF</v>
      </c>
      <c r="P37">
        <f>COUNTIFS(raw_outputtable!$A$2:$A$816,A37,raw_outputtable!$B$2:$B$816,C37)</f>
        <v>8</v>
      </c>
      <c r="Q37">
        <f>INDEX(raw_casetable!$F$2:$F$81,MATCH(D37,raw_casetable!$G$2:$G$81,0))</f>
        <v>14</v>
      </c>
      <c r="R37">
        <f t="shared" si="20"/>
        <v>0</v>
      </c>
      <c r="S37">
        <f>IFERROR(IF(INDEX(Factory_PO!$C$2:$C$61,MATCH(B37&amp;"|"&amp;C37,Factory_PO!$E$2:$E$61,0))="","",INDEX(Factory_PO!$C$2:$C$61,MATCH(B37&amp;"|"&amp;C37,Factory_PO!$E$2:$E$61,0))),"")</f>
        <v>707</v>
      </c>
      <c r="T37" s="17" t="str">
        <f t="shared" si="21"/>
        <v>DNF</v>
      </c>
      <c r="U37" t="str">
        <f>IFERROR(IF(INDEX(Factory_PO!$D$2:$D$61,MATCH(B37&amp;"|"&amp;C37,Factory_PO!$E$2:$E$61,0))="","",INDEX(Factory_PO!$D$2:$D$61,MATCH(B37&amp;"|"&amp;C37,Factory_PO!$E$2:$E$61,0))),"")</f>
        <v/>
      </c>
      <c r="V37" s="17" t="str">
        <f t="shared" si="22"/>
        <v>DNF</v>
      </c>
      <c r="W37">
        <f t="shared" si="23"/>
        <v>0</v>
      </c>
      <c r="X37" t="str">
        <f t="shared" si="24"/>
        <v>DNF (sim + factory)</v>
      </c>
      <c r="Y37">
        <f t="shared" si="25"/>
        <v>0</v>
      </c>
      <c r="Z37" s="10" t="str">
        <f t="shared" si="26"/>
        <v/>
      </c>
      <c r="AA37" s="18" t="str">
        <f t="shared" si="27"/>
        <v>DNF</v>
      </c>
      <c r="AB37" t="s">
        <v>1425</v>
      </c>
    </row>
    <row r="38" spans="1:28" ht="15" customHeight="1" x14ac:dyDescent="0.25">
      <c r="A38" t="s">
        <v>4</v>
      </c>
      <c r="B38" t="s">
        <v>62</v>
      </c>
      <c r="C38">
        <v>7</v>
      </c>
      <c r="D38" t="str">
        <f t="shared" si="14"/>
        <v>S3s|7</v>
      </c>
      <c r="E38" t="str">
        <f>UPPER(MID(INDEX(raw_comp_PTA!$C$2:$C$81,MATCH(D38,raw_comp_PTA!$J$2:$J$81,0)),5,2))</f>
        <v>HD</v>
      </c>
      <c r="F38" s="3">
        <f>_xlfn.MINIFS(raw_outputtable!$J$2:$J$816,raw_outputtable!$A$2:$A$816,A38,raw_outputtable!$B$2:$B$816,C38)</f>
        <v>600.00000004889444</v>
      </c>
      <c r="G38" s="3">
        <f>_xlfn.MAXIFS(raw_outputtable!$K$2:$K$816,raw_outputtable!$A$2:$A$816,A38,raw_outputtable!$B$2:$B$816,C38)</f>
        <v>1894.8666666203644</v>
      </c>
      <c r="H38" s="3">
        <f t="shared" si="15"/>
        <v>1294.86666657147</v>
      </c>
      <c r="I38" s="16" t="str">
        <f t="shared" si="16"/>
        <v>DNF</v>
      </c>
      <c r="J38" s="3">
        <f>INDEX(raw_comp_PTA!$H$2:$H$81,MATCH(D38,raw_comp_PTA!$J$2:$J$81,0))</f>
        <v>355</v>
      </c>
      <c r="K38" s="16" t="str">
        <f t="shared" si="17"/>
        <v>DNF</v>
      </c>
      <c r="L38" s="3">
        <f>SUMIFS(raw_comp_PTA_stations!$E$2:$E$461,raw_comp_PTA_stations!$A$2:$A$461,A38,raw_comp_PTA_stations!$B$2:$B$461,C38,raw_comp_PTA_stations!$C$2:$C$461,"ws*")</f>
        <v>1239.51</v>
      </c>
      <c r="M38" s="16" t="str">
        <f t="shared" si="18"/>
        <v>DNF</v>
      </c>
      <c r="N38" s="3">
        <f>INDEX(raw_comp_PTA!$G$2:$G$81,MATCH(D38,raw_comp_PTA!$J$2:$J$81,0))</f>
        <v>1261.4000000000001</v>
      </c>
      <c r="O38" s="16" t="str">
        <f t="shared" si="19"/>
        <v>DNF</v>
      </c>
      <c r="P38">
        <f>COUNTIFS(raw_outputtable!$A$2:$A$816,A38,raw_outputtable!$B$2:$B$816,C38)</f>
        <v>7</v>
      </c>
      <c r="Q38">
        <f>INDEX(raw_casetable!$F$2:$F$81,MATCH(D38,raw_casetable!$G$2:$G$81,0))</f>
        <v>14</v>
      </c>
      <c r="R38">
        <f t="shared" si="20"/>
        <v>0</v>
      </c>
      <c r="S38">
        <f>IFERROR(IF(INDEX(Factory_PO!$C$2:$C$61,MATCH(B38&amp;"|"&amp;C38,Factory_PO!$E$2:$E$61,0))="","",INDEX(Factory_PO!$C$2:$C$61,MATCH(B38&amp;"|"&amp;C38,Factory_PO!$E$2:$E$61,0))),"")</f>
        <v>909</v>
      </c>
      <c r="T38" s="17" t="str">
        <f t="shared" si="21"/>
        <v>DNF</v>
      </c>
      <c r="U38" t="str">
        <f>IFERROR(IF(INDEX(Factory_PO!$D$2:$D$61,MATCH(B38&amp;"|"&amp;C38,Factory_PO!$E$2:$E$61,0))="","",INDEX(Factory_PO!$D$2:$D$61,MATCH(B38&amp;"|"&amp;C38,Factory_PO!$E$2:$E$61,0))),"")</f>
        <v/>
      </c>
      <c r="V38" s="17" t="str">
        <f t="shared" si="22"/>
        <v>DNF</v>
      </c>
      <c r="W38">
        <f t="shared" si="23"/>
        <v>0</v>
      </c>
      <c r="X38" t="str">
        <f t="shared" si="24"/>
        <v>DNF (sim + factory)</v>
      </c>
      <c r="Y38">
        <f t="shared" si="25"/>
        <v>0</v>
      </c>
      <c r="Z38" s="10" t="str">
        <f t="shared" si="26"/>
        <v/>
      </c>
      <c r="AA38" s="18" t="str">
        <f t="shared" si="27"/>
        <v>DNF</v>
      </c>
      <c r="AB38" t="s">
        <v>1425</v>
      </c>
    </row>
    <row r="39" spans="1:28" ht="15" customHeight="1" x14ac:dyDescent="0.25">
      <c r="A39" t="s">
        <v>4</v>
      </c>
      <c r="B39" t="s">
        <v>62</v>
      </c>
      <c r="C39">
        <v>8</v>
      </c>
      <c r="D39" t="str">
        <f t="shared" si="14"/>
        <v>S3s|8</v>
      </c>
      <c r="E39" t="str">
        <f>UPPER(MID(INDEX(raw_comp_PTA!$C$2:$C$81,MATCH(D39,raw_comp_PTA!$J$2:$J$81,0)),5,2))</f>
        <v>HD</v>
      </c>
      <c r="F39" s="3">
        <f>_xlfn.MINIFS(raw_outputtable!$J$2:$J$816,raw_outputtable!$A$2:$A$816,A39,raw_outputtable!$B$2:$B$816,C39)</f>
        <v>630</v>
      </c>
      <c r="G39" s="3">
        <f>_xlfn.MAXIFS(raw_outputtable!$K$2:$K$816,raw_outputtable!$A$2:$A$816,A39,raw_outputtable!$B$2:$B$816,C39)</f>
        <v>2134.8666666692588</v>
      </c>
      <c r="H39" s="3">
        <f t="shared" si="15"/>
        <v>1504.8666666692588</v>
      </c>
      <c r="I39" s="16" t="str">
        <f t="shared" si="16"/>
        <v>DNF</v>
      </c>
      <c r="J39" s="3">
        <f>INDEX(raw_comp_PTA!$H$2:$H$81,MATCH(D39,raw_comp_PTA!$J$2:$J$81,0))</f>
        <v>355</v>
      </c>
      <c r="K39" s="16" t="str">
        <f t="shared" si="17"/>
        <v>DNF</v>
      </c>
      <c r="L39" s="3">
        <f>SUMIFS(raw_comp_PTA_stations!$E$2:$E$461,raw_comp_PTA_stations!$A$2:$A$461,A39,raw_comp_PTA_stations!$B$2:$B$461,C39,raw_comp_PTA_stations!$C$2:$C$461,"ws*")</f>
        <v>1104.57</v>
      </c>
      <c r="M39" s="16" t="str">
        <f t="shared" si="18"/>
        <v>DNF</v>
      </c>
      <c r="N39" s="3">
        <f>INDEX(raw_comp_PTA!$G$2:$G$81,MATCH(D39,raw_comp_PTA!$J$2:$J$81,0))</f>
        <v>1467.2</v>
      </c>
      <c r="O39" s="16" t="str">
        <f t="shared" si="19"/>
        <v>DNF</v>
      </c>
      <c r="P39">
        <f>COUNTIFS(raw_outputtable!$A$2:$A$816,A39,raw_outputtable!$B$2:$B$816,C39)</f>
        <v>7</v>
      </c>
      <c r="Q39">
        <f>INDEX(raw_casetable!$F$2:$F$81,MATCH(D39,raw_casetable!$G$2:$G$81,0))</f>
        <v>14</v>
      </c>
      <c r="R39">
        <f t="shared" si="20"/>
        <v>0</v>
      </c>
      <c r="S39">
        <f>IFERROR(IF(INDEX(Factory_PO!$C$2:$C$61,MATCH(B39&amp;"|"&amp;C39,Factory_PO!$E$2:$E$61,0))="","",INDEX(Factory_PO!$C$2:$C$61,MATCH(B39&amp;"|"&amp;C39,Factory_PO!$E$2:$E$61,0))),"")</f>
        <v>858</v>
      </c>
      <c r="T39" s="17" t="str">
        <f t="shared" si="21"/>
        <v>DNF</v>
      </c>
      <c r="U39" t="str">
        <f>IFERROR(IF(INDEX(Factory_PO!$D$2:$D$61,MATCH(B39&amp;"|"&amp;C39,Factory_PO!$E$2:$E$61,0))="","",INDEX(Factory_PO!$D$2:$D$61,MATCH(B39&amp;"|"&amp;C39,Factory_PO!$E$2:$E$61,0))),"")</f>
        <v/>
      </c>
      <c r="V39" s="17" t="str">
        <f t="shared" si="22"/>
        <v>DNF</v>
      </c>
      <c r="W39">
        <f t="shared" si="23"/>
        <v>0</v>
      </c>
      <c r="X39" t="str">
        <f t="shared" si="24"/>
        <v>DNF (sim + factory)</v>
      </c>
      <c r="Y39">
        <f t="shared" si="25"/>
        <v>0</v>
      </c>
      <c r="Z39" s="10" t="str">
        <f t="shared" si="26"/>
        <v/>
      </c>
      <c r="AA39" s="18" t="str">
        <f t="shared" si="27"/>
        <v>DNF</v>
      </c>
      <c r="AB39" t="s">
        <v>1425</v>
      </c>
    </row>
    <row r="40" spans="1:28" ht="15" customHeight="1" x14ac:dyDescent="0.25">
      <c r="A40" t="s">
        <v>4</v>
      </c>
      <c r="B40" t="s">
        <v>62</v>
      </c>
      <c r="C40">
        <v>9</v>
      </c>
      <c r="D40" t="str">
        <f t="shared" si="14"/>
        <v>S3s|9</v>
      </c>
      <c r="E40" t="str">
        <f>UPPER(MID(INDEX(raw_comp_PTA!$C$2:$C$81,MATCH(D40,raw_comp_PTA!$J$2:$J$81,0)),5,2))</f>
        <v>HD</v>
      </c>
      <c r="F40" s="3">
        <f>_xlfn.MINIFS(raw_outputtable!$J$2:$J$816,raw_outputtable!$A$2:$A$816,A40,raw_outputtable!$B$2:$B$816,C40)</f>
        <v>780.00000004889444</v>
      </c>
      <c r="G40" s="3">
        <f>_xlfn.MAXIFS(raw_outputtable!$K$2:$K$816,raw_outputtable!$A$2:$A$816,A40,raw_outputtable!$B$2:$B$816,C40)</f>
        <v>2374.8666667181533</v>
      </c>
      <c r="H40" s="3">
        <f t="shared" si="15"/>
        <v>1594.8666666692588</v>
      </c>
      <c r="I40" s="16" t="str">
        <f t="shared" si="16"/>
        <v>DNF</v>
      </c>
      <c r="J40" s="3">
        <f>INDEX(raw_comp_PTA!$H$2:$H$81,MATCH(D40,raw_comp_PTA!$J$2:$J$81,0))</f>
        <v>355</v>
      </c>
      <c r="K40" s="16" t="str">
        <f t="shared" si="17"/>
        <v>DNF</v>
      </c>
      <c r="L40" s="3">
        <f>SUMIFS(raw_comp_PTA_stations!$E$2:$E$461,raw_comp_PTA_stations!$A$2:$A$461,A40,raw_comp_PTA_stations!$B$2:$B$461,C40,raw_comp_PTA_stations!$C$2:$C$461,"ws*")</f>
        <v>1198.77</v>
      </c>
      <c r="M40" s="16" t="str">
        <f t="shared" si="18"/>
        <v>DNF</v>
      </c>
      <c r="N40" s="3">
        <f>INDEX(raw_comp_PTA!$G$2:$G$81,MATCH(D40,raw_comp_PTA!$J$2:$J$81,0))</f>
        <v>1561.4</v>
      </c>
      <c r="O40" s="16" t="str">
        <f t="shared" si="19"/>
        <v>DNF</v>
      </c>
      <c r="P40">
        <f>COUNTIFS(raw_outputtable!$A$2:$A$816,A40,raw_outputtable!$B$2:$B$816,C40)</f>
        <v>7</v>
      </c>
      <c r="Q40">
        <f>INDEX(raw_casetable!$F$2:$F$81,MATCH(D40,raw_casetable!$G$2:$G$81,0))</f>
        <v>14</v>
      </c>
      <c r="R40">
        <f t="shared" si="20"/>
        <v>0</v>
      </c>
      <c r="S40">
        <f>IFERROR(IF(INDEX(Factory_PO!$C$2:$C$61,MATCH(B40&amp;"|"&amp;C40,Factory_PO!$E$2:$E$61,0))="","",INDEX(Factory_PO!$C$2:$C$61,MATCH(B40&amp;"|"&amp;C40,Factory_PO!$E$2:$E$61,0))),"")</f>
        <v>645</v>
      </c>
      <c r="T40" s="17" t="str">
        <f t="shared" si="21"/>
        <v>DNF</v>
      </c>
      <c r="U40" t="str">
        <f>IFERROR(IF(INDEX(Factory_PO!$D$2:$D$61,MATCH(B40&amp;"|"&amp;C40,Factory_PO!$E$2:$E$61,0))="","",INDEX(Factory_PO!$D$2:$D$61,MATCH(B40&amp;"|"&amp;C40,Factory_PO!$E$2:$E$61,0))),"")</f>
        <v/>
      </c>
      <c r="V40" s="17" t="str">
        <f t="shared" si="22"/>
        <v>DNF</v>
      </c>
      <c r="W40">
        <f t="shared" si="23"/>
        <v>0</v>
      </c>
      <c r="X40" t="str">
        <f t="shared" si="24"/>
        <v>DNF (sim + factory)</v>
      </c>
      <c r="Y40">
        <f t="shared" si="25"/>
        <v>0</v>
      </c>
      <c r="Z40" s="10" t="str">
        <f t="shared" si="26"/>
        <v/>
      </c>
      <c r="AA40" s="18" t="str">
        <f t="shared" si="27"/>
        <v>DNF</v>
      </c>
      <c r="AB40" t="s">
        <v>1425</v>
      </c>
    </row>
    <row r="41" spans="1:28" ht="15" customHeight="1" x14ac:dyDescent="0.25">
      <c r="A41" t="s">
        <v>4</v>
      </c>
      <c r="B41" t="s">
        <v>62</v>
      </c>
      <c r="C41">
        <v>10</v>
      </c>
      <c r="D41" t="str">
        <f t="shared" si="14"/>
        <v>S3s|10</v>
      </c>
      <c r="E41" t="str">
        <f>UPPER(MID(INDEX(raw_comp_PTA!$C$2:$C$81,MATCH(D41,raw_comp_PTA!$J$2:$J$81,0)),5,2))</f>
        <v>HD</v>
      </c>
      <c r="F41" s="3">
        <f>_xlfn.MINIFS(raw_outputtable!$J$2:$J$816,raw_outputtable!$A$2:$A$816,A41,raw_outputtable!$B$2:$B$816,C41)</f>
        <v>839.99999995110556</v>
      </c>
      <c r="G41" s="3">
        <f>_xlfn.MAXIFS(raw_outputtable!$K$2:$K$816,raw_outputtable!$A$2:$A$816,A41,raw_outputtable!$B$2:$B$816,C41)</f>
        <v>1173.3999999880325</v>
      </c>
      <c r="H41" s="3">
        <f t="shared" si="15"/>
        <v>333.40000003692694</v>
      </c>
      <c r="I41" s="16" t="str">
        <f t="shared" si="16"/>
        <v>DNF</v>
      </c>
      <c r="J41" s="3">
        <f>INDEX(raw_comp_PTA!$H$2:$H$81,MATCH(D41,raw_comp_PTA!$J$2:$J$81,0))</f>
        <v>111</v>
      </c>
      <c r="K41" s="16" t="str">
        <f t="shared" si="17"/>
        <v>DNF</v>
      </c>
      <c r="L41" s="3">
        <f>SUMIFS(raw_comp_PTA_stations!$E$2:$E$461,raw_comp_PTA_stations!$A$2:$A$461,A41,raw_comp_PTA_stations!$B$2:$B$461,C41,raw_comp_PTA_stations!$C$2:$C$461,"ws*")</f>
        <v>1366.3</v>
      </c>
      <c r="M41" s="16" t="str">
        <f t="shared" si="18"/>
        <v>DNF</v>
      </c>
      <c r="N41" s="3">
        <f>INDEX(raw_comp_PTA!$G$2:$G$81,MATCH(D41,raw_comp_PTA!$J$2:$J$81,0))</f>
        <v>299.93</v>
      </c>
      <c r="O41" s="16" t="str">
        <f t="shared" si="19"/>
        <v>DNF</v>
      </c>
      <c r="P41">
        <f>COUNTIFS(raw_outputtable!$A$2:$A$816,A41,raw_outputtable!$B$2:$B$816,C41)</f>
        <v>3</v>
      </c>
      <c r="Q41">
        <f>INDEX(raw_casetable!$F$2:$F$81,MATCH(D41,raw_casetable!$G$2:$G$81,0))</f>
        <v>14</v>
      </c>
      <c r="R41">
        <f t="shared" si="20"/>
        <v>0</v>
      </c>
      <c r="S41">
        <f>IFERROR(IF(INDEX(Factory_PO!$C$2:$C$61,MATCH(B41&amp;"|"&amp;C41,Factory_PO!$E$2:$E$61,0))="","",INDEX(Factory_PO!$C$2:$C$61,MATCH(B41&amp;"|"&amp;C41,Factory_PO!$E$2:$E$61,0))),"")</f>
        <v>605</v>
      </c>
      <c r="T41" s="17" t="str">
        <f t="shared" si="21"/>
        <v>DNF</v>
      </c>
      <c r="U41" t="str">
        <f>IFERROR(IF(INDEX(Factory_PO!$D$2:$D$61,MATCH(B41&amp;"|"&amp;C41,Factory_PO!$E$2:$E$61,0))="","",INDEX(Factory_PO!$D$2:$D$61,MATCH(B41&amp;"|"&amp;C41,Factory_PO!$E$2:$E$61,0))),"")</f>
        <v/>
      </c>
      <c r="V41" s="17" t="str">
        <f t="shared" si="22"/>
        <v>DNF</v>
      </c>
      <c r="W41">
        <f t="shared" si="23"/>
        <v>0</v>
      </c>
      <c r="X41" t="str">
        <f t="shared" si="24"/>
        <v>DNF (sim + factory)</v>
      </c>
      <c r="Y41">
        <f t="shared" si="25"/>
        <v>0</v>
      </c>
      <c r="Z41" s="10" t="str">
        <f t="shared" si="26"/>
        <v/>
      </c>
      <c r="AA41" s="18" t="str">
        <f t="shared" si="27"/>
        <v>DNF</v>
      </c>
      <c r="AB41" t="s">
        <v>1425</v>
      </c>
    </row>
    <row r="42" spans="1:28" ht="15" customHeight="1" x14ac:dyDescent="0.25">
      <c r="A42" t="s">
        <v>5</v>
      </c>
      <c r="B42" t="s">
        <v>65</v>
      </c>
      <c r="C42">
        <v>1</v>
      </c>
      <c r="D42" t="str">
        <f t="shared" si="14"/>
        <v>S4|1</v>
      </c>
      <c r="E42" t="str">
        <f>UPPER(MID(INDEX(raw_comp_PTA!$C$2:$C$81,MATCH(D42,raw_comp_PTA!$J$2:$J$81,0)),5,2))</f>
        <v>HD</v>
      </c>
      <c r="F42" s="3">
        <f>_xlfn.MINIFS(raw_outputtable!$J$2:$J$816,raw_outputtable!$A$2:$A$816,A42,raw_outputtable!$B$2:$B$816,C42)</f>
        <v>0</v>
      </c>
      <c r="G42" s="3">
        <f>_xlfn.MAXIFS(raw_outputtable!$K$2:$K$816,raw_outputtable!$A$2:$A$816,A42,raw_outputtable!$B$2:$B$816,C42)</f>
        <v>1353.0666666291654</v>
      </c>
      <c r="H42" s="3">
        <f t="shared" si="15"/>
        <v>1353.0666666291654</v>
      </c>
      <c r="I42" s="16">
        <f t="shared" si="16"/>
        <v>1353.0666666291654</v>
      </c>
      <c r="J42" s="3">
        <f>INDEX(raw_comp_PTA!$H$2:$H$81,MATCH(D42,raw_comp_PTA!$J$2:$J$81,0))</f>
        <v>1211.3</v>
      </c>
      <c r="K42" s="16">
        <f t="shared" si="17"/>
        <v>1211.3</v>
      </c>
      <c r="L42" s="3">
        <f>SUMIFS(raw_comp_PTA_stations!$E$2:$E$461,raw_comp_PTA_stations!$A$2:$A$461,A42,raw_comp_PTA_stations!$B$2:$B$461,C42,raw_comp_PTA_stations!$C$2:$C$461,"ws*")</f>
        <v>76.56</v>
      </c>
      <c r="M42" s="16">
        <f t="shared" si="18"/>
        <v>76.56</v>
      </c>
      <c r="N42" s="3">
        <f>INDEX(raw_comp_PTA!$G$2:$G$81,MATCH(D42,raw_comp_PTA!$J$2:$J$81,0))</f>
        <v>1322.87</v>
      </c>
      <c r="O42" s="16">
        <f t="shared" si="19"/>
        <v>1322.87</v>
      </c>
      <c r="P42">
        <f>COUNTIFS(raw_outputtable!$A$2:$A$816,A42,raw_outputtable!$B$2:$B$816,C42)</f>
        <v>14</v>
      </c>
      <c r="Q42">
        <f>INDEX(raw_casetable!$F$2:$F$81,MATCH(D42,raw_casetable!$G$2:$G$81,0))</f>
        <v>14</v>
      </c>
      <c r="R42">
        <f t="shared" si="20"/>
        <v>1</v>
      </c>
      <c r="S42">
        <f>IFERROR(IF(INDEX(Factory_PO!$C$2:$C$61,MATCH(B42&amp;"|"&amp;C42,Factory_PO!$E$2:$E$61,0))="","",INDEX(Factory_PO!$C$2:$C$61,MATCH(B42&amp;"|"&amp;C42,Factory_PO!$E$2:$E$61,0))),"")</f>
        <v>1333</v>
      </c>
      <c r="T42" s="17">
        <f t="shared" si="21"/>
        <v>1333</v>
      </c>
      <c r="U42">
        <f>IFERROR(IF(INDEX(Factory_PO!$D$2:$D$61,MATCH(B42&amp;"|"&amp;C42,Factory_PO!$E$2:$E$61,0))="","",INDEX(Factory_PO!$D$2:$D$61,MATCH(B42&amp;"|"&amp;C42,Factory_PO!$E$2:$E$61,0))),"")</f>
        <v>1396</v>
      </c>
      <c r="V42" s="17">
        <f t="shared" si="22"/>
        <v>1396</v>
      </c>
      <c r="W42">
        <f t="shared" si="23"/>
        <v>1</v>
      </c>
      <c r="X42" t="str">
        <f t="shared" si="24"/>
        <v>Complete</v>
      </c>
      <c r="Y42">
        <f t="shared" si="25"/>
        <v>1</v>
      </c>
      <c r="Z42" s="10">
        <f t="shared" si="26"/>
        <v>-3.0754536798592112E-2</v>
      </c>
      <c r="AA42" s="18">
        <f t="shared" si="27"/>
        <v>-3.0754536798592112E-2</v>
      </c>
      <c r="AB42" t="s">
        <v>1364</v>
      </c>
    </row>
    <row r="43" spans="1:28" ht="15" customHeight="1" x14ac:dyDescent="0.25">
      <c r="A43" t="s">
        <v>5</v>
      </c>
      <c r="B43" t="s">
        <v>65</v>
      </c>
      <c r="C43">
        <v>2</v>
      </c>
      <c r="D43" t="str">
        <f t="shared" si="14"/>
        <v>S4|2</v>
      </c>
      <c r="E43" t="str">
        <f>UPPER(MID(INDEX(raw_comp_PTA!$C$2:$C$81,MATCH(D43,raw_comp_PTA!$J$2:$J$81,0)),5,2))</f>
        <v>HD</v>
      </c>
      <c r="F43" s="3">
        <f>_xlfn.MINIFS(raw_outputtable!$J$2:$J$816,raw_outputtable!$A$2:$A$816,A43,raw_outputtable!$B$2:$B$816,C43)</f>
        <v>90</v>
      </c>
      <c r="G43" s="3">
        <f>_xlfn.MAXIFS(raw_outputtable!$K$2:$K$816,raw_outputtable!$A$2:$A$816,A43,raw_outputtable!$B$2:$B$816,C43)</f>
        <v>1443.0666666291654</v>
      </c>
      <c r="H43" s="3">
        <f t="shared" si="15"/>
        <v>1353.0666666291654</v>
      </c>
      <c r="I43" s="16">
        <f t="shared" si="16"/>
        <v>1353.0666666291654</v>
      </c>
      <c r="J43" s="3">
        <f>INDEX(raw_comp_PTA!$H$2:$H$81,MATCH(D43,raw_comp_PTA!$J$2:$J$81,0))</f>
        <v>1211.3</v>
      </c>
      <c r="K43" s="16">
        <f t="shared" si="17"/>
        <v>1211.3</v>
      </c>
      <c r="L43" s="3">
        <f>SUMIFS(raw_comp_PTA_stations!$E$2:$E$461,raw_comp_PTA_stations!$A$2:$A$461,A43,raw_comp_PTA_stations!$B$2:$B$461,C43,raw_comp_PTA_stations!$C$2:$C$461,"ws*")</f>
        <v>72.37</v>
      </c>
      <c r="M43" s="16">
        <f t="shared" si="18"/>
        <v>72.37</v>
      </c>
      <c r="N43" s="3">
        <f>INDEX(raw_comp_PTA!$G$2:$G$81,MATCH(D43,raw_comp_PTA!$J$2:$J$81,0))</f>
        <v>1320.27</v>
      </c>
      <c r="O43" s="16">
        <f t="shared" si="19"/>
        <v>1320.27</v>
      </c>
      <c r="P43">
        <f>COUNTIFS(raw_outputtable!$A$2:$A$816,A43,raw_outputtable!$B$2:$B$816,C43)</f>
        <v>14</v>
      </c>
      <c r="Q43">
        <f>INDEX(raw_casetable!$F$2:$F$81,MATCH(D43,raw_casetable!$G$2:$G$81,0))</f>
        <v>14</v>
      </c>
      <c r="R43">
        <f t="shared" si="20"/>
        <v>1</v>
      </c>
      <c r="S43">
        <f>IFERROR(IF(INDEX(Factory_PO!$C$2:$C$61,MATCH(B43&amp;"|"&amp;C43,Factory_PO!$E$2:$E$61,0))="","",INDEX(Factory_PO!$C$2:$C$61,MATCH(B43&amp;"|"&amp;C43,Factory_PO!$E$2:$E$61,0))),"")</f>
        <v>1471</v>
      </c>
      <c r="T43" s="17">
        <f t="shared" si="21"/>
        <v>1471</v>
      </c>
      <c r="U43">
        <f>IFERROR(IF(INDEX(Factory_PO!$D$2:$D$61,MATCH(B43&amp;"|"&amp;C43,Factory_PO!$E$2:$E$61,0))="","",INDEX(Factory_PO!$D$2:$D$61,MATCH(B43&amp;"|"&amp;C43,Factory_PO!$E$2:$E$61,0))),"")</f>
        <v>1501</v>
      </c>
      <c r="V43" s="17">
        <f t="shared" si="22"/>
        <v>1501</v>
      </c>
      <c r="W43">
        <f t="shared" si="23"/>
        <v>1</v>
      </c>
      <c r="X43" t="str">
        <f t="shared" si="24"/>
        <v>Complete</v>
      </c>
      <c r="Y43">
        <f t="shared" si="25"/>
        <v>1</v>
      </c>
      <c r="Z43" s="10">
        <f t="shared" si="26"/>
        <v>-9.855651790195509E-2</v>
      </c>
      <c r="AA43" s="18">
        <f t="shared" si="27"/>
        <v>-9.855651790195509E-2</v>
      </c>
      <c r="AB43" t="s">
        <v>1364</v>
      </c>
    </row>
    <row r="44" spans="1:28" ht="15" customHeight="1" x14ac:dyDescent="0.25">
      <c r="A44" t="s">
        <v>5</v>
      </c>
      <c r="B44" t="s">
        <v>65</v>
      </c>
      <c r="C44">
        <v>3</v>
      </c>
      <c r="D44" t="str">
        <f t="shared" si="14"/>
        <v>S4|3</v>
      </c>
      <c r="E44" t="str">
        <f>UPPER(MID(INDEX(raw_comp_PTA!$C$2:$C$81,MATCH(D44,raw_comp_PTA!$J$2:$J$81,0)),5,2))</f>
        <v>HD</v>
      </c>
      <c r="F44" s="3">
        <f>_xlfn.MINIFS(raw_outputtable!$J$2:$J$816,raw_outputtable!$A$2:$A$816,A44,raw_outputtable!$B$2:$B$816,C44)</f>
        <v>180</v>
      </c>
      <c r="G44" s="3">
        <f>_xlfn.MAXIFS(raw_outputtable!$K$2:$K$816,raw_outputtable!$A$2:$A$816,A44,raw_outputtable!$B$2:$B$816,C44)</f>
        <v>1833.0666667164769</v>
      </c>
      <c r="H44" s="3">
        <f t="shared" si="15"/>
        <v>1653.0666667164769</v>
      </c>
      <c r="I44" s="16">
        <f t="shared" si="16"/>
        <v>1653.0666667164769</v>
      </c>
      <c r="J44" s="3">
        <f>INDEX(raw_comp_PTA!$H$2:$H$81,MATCH(D44,raw_comp_PTA!$J$2:$J$81,0))</f>
        <v>1211.3</v>
      </c>
      <c r="K44" s="16">
        <f t="shared" si="17"/>
        <v>1211.3</v>
      </c>
      <c r="L44" s="3">
        <f>SUMIFS(raw_comp_PTA_stations!$E$2:$E$461,raw_comp_PTA_stations!$A$2:$A$461,A44,raw_comp_PTA_stations!$B$2:$B$461,C44,raw_comp_PTA_stations!$C$2:$C$461,"ws*")</f>
        <v>371.77000000000004</v>
      </c>
      <c r="M44" s="16">
        <f t="shared" si="18"/>
        <v>371.77000000000004</v>
      </c>
      <c r="N44" s="3">
        <f>INDEX(raw_comp_PTA!$G$2:$G$81,MATCH(D44,raw_comp_PTA!$J$2:$J$81,0))</f>
        <v>1619.6</v>
      </c>
      <c r="O44" s="16">
        <f t="shared" si="19"/>
        <v>1619.6</v>
      </c>
      <c r="P44">
        <f>COUNTIFS(raw_outputtable!$A$2:$A$816,A44,raw_outputtable!$B$2:$B$816,C44)</f>
        <v>14</v>
      </c>
      <c r="Q44">
        <f>INDEX(raw_casetable!$F$2:$F$81,MATCH(D44,raw_casetable!$G$2:$G$81,0))</f>
        <v>14</v>
      </c>
      <c r="R44">
        <f t="shared" si="20"/>
        <v>1</v>
      </c>
      <c r="S44">
        <f>IFERROR(IF(INDEX(Factory_PO!$C$2:$C$61,MATCH(B44&amp;"|"&amp;C44,Factory_PO!$E$2:$E$61,0))="","",INDEX(Factory_PO!$C$2:$C$61,MATCH(B44&amp;"|"&amp;C44,Factory_PO!$E$2:$E$61,0))),"")</f>
        <v>1341</v>
      </c>
      <c r="T44" s="17">
        <f t="shared" si="21"/>
        <v>1341</v>
      </c>
      <c r="U44">
        <f>IFERROR(IF(INDEX(Factory_PO!$D$2:$D$61,MATCH(B44&amp;"|"&amp;C44,Factory_PO!$E$2:$E$61,0))="","",INDEX(Factory_PO!$D$2:$D$61,MATCH(B44&amp;"|"&amp;C44,Factory_PO!$E$2:$E$61,0))),"")</f>
        <v>1546</v>
      </c>
      <c r="V44" s="17">
        <f t="shared" si="22"/>
        <v>1546</v>
      </c>
      <c r="W44">
        <f t="shared" si="23"/>
        <v>1</v>
      </c>
      <c r="X44" t="str">
        <f t="shared" si="24"/>
        <v>Complete</v>
      </c>
      <c r="Y44">
        <f t="shared" si="25"/>
        <v>1</v>
      </c>
      <c r="Z44" s="10">
        <f t="shared" si="26"/>
        <v>6.9253988820489581E-2</v>
      </c>
      <c r="AA44" s="18">
        <f t="shared" si="27"/>
        <v>6.9253988820489581E-2</v>
      </c>
      <c r="AB44" t="s">
        <v>1364</v>
      </c>
    </row>
    <row r="45" spans="1:28" ht="15" customHeight="1" x14ac:dyDescent="0.25">
      <c r="A45" t="s">
        <v>5</v>
      </c>
      <c r="B45" t="s">
        <v>65</v>
      </c>
      <c r="C45">
        <v>4</v>
      </c>
      <c r="D45" t="str">
        <f t="shared" si="14"/>
        <v>S4|4</v>
      </c>
      <c r="E45" t="str">
        <f>UPPER(MID(INDEX(raw_comp_PTA!$C$2:$C$81,MATCH(D45,raw_comp_PTA!$J$2:$J$81,0)),5,2))</f>
        <v>HD</v>
      </c>
      <c r="F45" s="3">
        <f>_xlfn.MINIFS(raw_outputtable!$J$2:$J$816,raw_outputtable!$A$2:$A$816,A45,raw_outputtable!$B$2:$B$816,C45)</f>
        <v>270</v>
      </c>
      <c r="G45" s="3">
        <f>_xlfn.MAXIFS(raw_outputtable!$K$2:$K$816,raw_outputtable!$A$2:$A$816,A45,raw_outputtable!$B$2:$B$816,C45)</f>
        <v>2074.5999999332707</v>
      </c>
      <c r="H45" s="3">
        <f t="shared" si="15"/>
        <v>1804.5999999332707</v>
      </c>
      <c r="I45" s="16">
        <f t="shared" si="16"/>
        <v>1804.5999999332707</v>
      </c>
      <c r="J45" s="3">
        <f>INDEX(raw_comp_PTA!$H$2:$H$81,MATCH(D45,raw_comp_PTA!$J$2:$J$81,0))</f>
        <v>1211.3</v>
      </c>
      <c r="K45" s="16">
        <f t="shared" si="17"/>
        <v>1211.3</v>
      </c>
      <c r="L45" s="3">
        <f>SUMIFS(raw_comp_PTA_stations!$E$2:$E$461,raw_comp_PTA_stations!$A$2:$A$461,A45,raw_comp_PTA_stations!$B$2:$B$461,C45,raw_comp_PTA_stations!$C$2:$C$461,"ws*")</f>
        <v>521.03</v>
      </c>
      <c r="M45" s="16">
        <f t="shared" si="18"/>
        <v>521.03</v>
      </c>
      <c r="N45" s="3">
        <f>INDEX(raw_comp_PTA!$G$2:$G$81,MATCH(D45,raw_comp_PTA!$J$2:$J$81,0))</f>
        <v>1771.13</v>
      </c>
      <c r="O45" s="16">
        <f t="shared" si="19"/>
        <v>1771.13</v>
      </c>
      <c r="P45">
        <f>COUNTIFS(raw_outputtable!$A$2:$A$816,A45,raw_outputtable!$B$2:$B$816,C45)</f>
        <v>14</v>
      </c>
      <c r="Q45">
        <f>INDEX(raw_casetable!$F$2:$F$81,MATCH(D45,raw_casetable!$G$2:$G$81,0))</f>
        <v>14</v>
      </c>
      <c r="R45">
        <f t="shared" si="20"/>
        <v>1</v>
      </c>
      <c r="S45">
        <f>IFERROR(IF(INDEX(Factory_PO!$C$2:$C$61,MATCH(B45&amp;"|"&amp;C45,Factory_PO!$E$2:$E$61,0))="","",INDEX(Factory_PO!$C$2:$C$61,MATCH(B45&amp;"|"&amp;C45,Factory_PO!$E$2:$E$61,0))),"")</f>
        <v>1200</v>
      </c>
      <c r="T45" s="17">
        <f t="shared" si="21"/>
        <v>1200</v>
      </c>
      <c r="U45">
        <f>IFERROR(IF(INDEX(Factory_PO!$D$2:$D$61,MATCH(B45&amp;"|"&amp;C45,Factory_PO!$E$2:$E$61,0))="","",INDEX(Factory_PO!$D$2:$D$61,MATCH(B45&amp;"|"&amp;C45,Factory_PO!$E$2:$E$61,0))),"")</f>
        <v>1411</v>
      </c>
      <c r="V45" s="17">
        <f t="shared" si="22"/>
        <v>1411</v>
      </c>
      <c r="W45">
        <f t="shared" si="23"/>
        <v>1</v>
      </c>
      <c r="X45" t="str">
        <f t="shared" si="24"/>
        <v>Complete</v>
      </c>
      <c r="Y45">
        <f t="shared" si="25"/>
        <v>1</v>
      </c>
      <c r="Z45" s="10">
        <f t="shared" si="26"/>
        <v>0.27895109846440164</v>
      </c>
      <c r="AA45" s="18">
        <f t="shared" si="27"/>
        <v>0.27895109846440164</v>
      </c>
      <c r="AB45" t="s">
        <v>1364</v>
      </c>
    </row>
    <row r="46" spans="1:28" ht="15" customHeight="1" x14ac:dyDescent="0.25">
      <c r="A46" t="s">
        <v>5</v>
      </c>
      <c r="B46" t="s">
        <v>65</v>
      </c>
      <c r="C46">
        <v>5</v>
      </c>
      <c r="D46" t="str">
        <f t="shared" si="14"/>
        <v>S4|5</v>
      </c>
      <c r="E46" t="str">
        <f>UPPER(MID(INDEX(raw_comp_PTA!$C$2:$C$81,MATCH(D46,raw_comp_PTA!$J$2:$J$81,0)),5,2))</f>
        <v>HD</v>
      </c>
      <c r="F46" s="3">
        <f>_xlfn.MINIFS(raw_outputtable!$J$2:$J$816,raw_outputtable!$A$2:$A$816,A46,raw_outputtable!$B$2:$B$816,C46)</f>
        <v>360</v>
      </c>
      <c r="G46" s="3">
        <f>_xlfn.MAXIFS(raw_outputtable!$K$2:$K$816,raw_outputtable!$A$2:$A$816,A46,raw_outputtable!$B$2:$B$816,C46)</f>
        <v>2313.0666666675825</v>
      </c>
      <c r="H46" s="3">
        <f t="shared" si="15"/>
        <v>1953.0666666675825</v>
      </c>
      <c r="I46" s="16">
        <f t="shared" si="16"/>
        <v>1953.0666666675825</v>
      </c>
      <c r="J46" s="3">
        <f>INDEX(raw_comp_PTA!$H$2:$H$81,MATCH(D46,raw_comp_PTA!$J$2:$J$81,0))</f>
        <v>1211.3</v>
      </c>
      <c r="K46" s="16">
        <f t="shared" si="17"/>
        <v>1211.3</v>
      </c>
      <c r="L46" s="3">
        <f>SUMIFS(raw_comp_PTA_stations!$E$2:$E$461,raw_comp_PTA_stations!$A$2:$A$461,A46,raw_comp_PTA_stations!$B$2:$B$461,C46,raw_comp_PTA_stations!$C$2:$C$461,"ws*")</f>
        <v>674.83</v>
      </c>
      <c r="M46" s="16">
        <f t="shared" si="18"/>
        <v>674.83</v>
      </c>
      <c r="N46" s="3">
        <f>INDEX(raw_comp_PTA!$G$2:$G$81,MATCH(D46,raw_comp_PTA!$J$2:$J$81,0))</f>
        <v>1921.14</v>
      </c>
      <c r="O46" s="16">
        <f t="shared" si="19"/>
        <v>1921.14</v>
      </c>
      <c r="P46">
        <f>COUNTIFS(raw_outputtable!$A$2:$A$816,A46,raw_outputtable!$B$2:$B$816,C46)</f>
        <v>14</v>
      </c>
      <c r="Q46">
        <f>INDEX(raw_casetable!$F$2:$F$81,MATCH(D46,raw_casetable!$G$2:$G$81,0))</f>
        <v>14</v>
      </c>
      <c r="R46">
        <f t="shared" si="20"/>
        <v>1</v>
      </c>
      <c r="S46">
        <f>IFERROR(IF(INDEX(Factory_PO!$C$2:$C$61,MATCH(B46&amp;"|"&amp;C46,Factory_PO!$E$2:$E$61,0))="","",INDEX(Factory_PO!$C$2:$C$61,MATCH(B46&amp;"|"&amp;C46,Factory_PO!$E$2:$E$61,0))),"")</f>
        <v>1169</v>
      </c>
      <c r="T46" s="17">
        <f t="shared" si="21"/>
        <v>1169</v>
      </c>
      <c r="U46">
        <f>IFERROR(IF(INDEX(Factory_PO!$D$2:$D$61,MATCH(B46&amp;"|"&amp;C46,Factory_PO!$E$2:$E$61,0))="","",INDEX(Factory_PO!$D$2:$D$61,MATCH(B46&amp;"|"&amp;C46,Factory_PO!$E$2:$E$61,0))),"")</f>
        <v>1906</v>
      </c>
      <c r="V46" s="17">
        <f t="shared" si="22"/>
        <v>1906</v>
      </c>
      <c r="W46">
        <f t="shared" si="23"/>
        <v>1</v>
      </c>
      <c r="X46" t="str">
        <f t="shared" si="24"/>
        <v>Complete</v>
      </c>
      <c r="Y46">
        <f t="shared" si="25"/>
        <v>1</v>
      </c>
      <c r="Z46" s="10">
        <f t="shared" si="26"/>
        <v>2.4693948933673906E-2</v>
      </c>
      <c r="AA46" s="18">
        <f t="shared" si="27"/>
        <v>2.4693948933673906E-2</v>
      </c>
      <c r="AB46" t="s">
        <v>1364</v>
      </c>
    </row>
    <row r="47" spans="1:28" ht="15" customHeight="1" x14ac:dyDescent="0.25">
      <c r="A47" t="s">
        <v>5</v>
      </c>
      <c r="B47" t="s">
        <v>65</v>
      </c>
      <c r="C47">
        <v>6</v>
      </c>
      <c r="D47" t="str">
        <f t="shared" si="14"/>
        <v>S4|6</v>
      </c>
      <c r="E47" t="str">
        <f>UPPER(MID(INDEX(raw_comp_PTA!$C$2:$C$81,MATCH(D47,raw_comp_PTA!$J$2:$J$81,0)),5,2))</f>
        <v>HD</v>
      </c>
      <c r="F47" s="3">
        <f>_xlfn.MINIFS(raw_outputtable!$J$2:$J$816,raw_outputtable!$A$2:$A$816,A47,raw_outputtable!$B$2:$B$816,C47)</f>
        <v>450</v>
      </c>
      <c r="G47" s="3">
        <f>_xlfn.MAXIFS(raw_outputtable!$K$2:$K$816,raw_outputtable!$A$2:$A$816,A47,raw_outputtable!$B$2:$B$816,C47)</f>
        <v>2371.5333332656883</v>
      </c>
      <c r="H47" s="3">
        <f t="shared" si="15"/>
        <v>1921.5333332656883</v>
      </c>
      <c r="I47" s="16" t="str">
        <f t="shared" si="16"/>
        <v>DNF</v>
      </c>
      <c r="J47" s="3">
        <f>INDEX(raw_comp_PTA!$H$2:$H$81,MATCH(D47,raw_comp_PTA!$J$2:$J$81,0))</f>
        <v>1053.2</v>
      </c>
      <c r="K47" s="16" t="str">
        <f t="shared" si="17"/>
        <v>DNF</v>
      </c>
      <c r="L47" s="3">
        <f>SUMIFS(raw_comp_PTA_stations!$E$2:$E$461,raw_comp_PTA_stations!$A$2:$A$461,A47,raw_comp_PTA_stations!$B$2:$B$461,C47,raw_comp_PTA_stations!$C$2:$C$461,"ws*")</f>
        <v>797.6</v>
      </c>
      <c r="M47" s="16" t="str">
        <f t="shared" si="18"/>
        <v>DNF</v>
      </c>
      <c r="N47" s="3">
        <f>INDEX(raw_comp_PTA!$G$2:$G$81,MATCH(D47,raw_comp_PTA!$J$2:$J$81,0))</f>
        <v>1888.06</v>
      </c>
      <c r="O47" s="16" t="str">
        <f t="shared" si="19"/>
        <v>DNF</v>
      </c>
      <c r="P47">
        <f>COUNTIFS(raw_outputtable!$A$2:$A$816,A47,raw_outputtable!$B$2:$B$816,C47)</f>
        <v>11</v>
      </c>
      <c r="Q47">
        <f>INDEX(raw_casetable!$F$2:$F$81,MATCH(D47,raw_casetable!$G$2:$G$81,0))</f>
        <v>14</v>
      </c>
      <c r="R47">
        <f t="shared" si="20"/>
        <v>0</v>
      </c>
      <c r="S47">
        <f>IFERROR(IF(INDEX(Factory_PO!$C$2:$C$61,MATCH(B47&amp;"|"&amp;C47,Factory_PO!$E$2:$E$61,0))="","",INDEX(Factory_PO!$C$2:$C$61,MATCH(B47&amp;"|"&amp;C47,Factory_PO!$E$2:$E$61,0))),"")</f>
        <v>946</v>
      </c>
      <c r="T47" s="17" t="str">
        <f t="shared" si="21"/>
        <v>DNF</v>
      </c>
      <c r="U47">
        <f>IFERROR(IF(INDEX(Factory_PO!$D$2:$D$61,MATCH(B47&amp;"|"&amp;C47,Factory_PO!$E$2:$E$61,0))="","",INDEX(Factory_PO!$D$2:$D$61,MATCH(B47&amp;"|"&amp;C47,Factory_PO!$E$2:$E$61,0))),"")</f>
        <v>1832</v>
      </c>
      <c r="V47" s="17" t="str">
        <f t="shared" si="22"/>
        <v>DNF</v>
      </c>
      <c r="W47">
        <f t="shared" si="23"/>
        <v>1</v>
      </c>
      <c r="X47" t="str">
        <f t="shared" si="24"/>
        <v>DNF (sim)</v>
      </c>
      <c r="Y47">
        <f t="shared" si="25"/>
        <v>0</v>
      </c>
      <c r="Z47" s="10">
        <f t="shared" si="26"/>
        <v>4.8871906804414993E-2</v>
      </c>
      <c r="AA47" s="18" t="str">
        <f t="shared" si="27"/>
        <v>DNF</v>
      </c>
      <c r="AB47" t="s">
        <v>1364</v>
      </c>
    </row>
    <row r="48" spans="1:28" ht="15" customHeight="1" x14ac:dyDescent="0.25">
      <c r="A48" t="s">
        <v>5</v>
      </c>
      <c r="B48" t="s">
        <v>65</v>
      </c>
      <c r="C48">
        <v>7</v>
      </c>
      <c r="D48" t="str">
        <f t="shared" si="14"/>
        <v>S4|7</v>
      </c>
      <c r="E48" t="str">
        <f>UPPER(MID(INDEX(raw_comp_PTA!$C$2:$C$81,MATCH(D48,raw_comp_PTA!$J$2:$J$81,0)),5,2))</f>
        <v>HD</v>
      </c>
      <c r="F48" s="3">
        <f>_xlfn.MINIFS(raw_outputtable!$J$2:$J$816,raw_outputtable!$A$2:$A$816,A48,raw_outputtable!$B$2:$B$816,C48)</f>
        <v>600.00000004889444</v>
      </c>
      <c r="G48" s="3">
        <f>_xlfn.MAXIFS(raw_outputtable!$K$2:$K$816,raw_outputtable!$A$2:$A$816,A48,raw_outputtable!$B$2:$B$816,C48)</f>
        <v>2343.0666666291654</v>
      </c>
      <c r="H48" s="3">
        <f t="shared" si="15"/>
        <v>1743.066666580271</v>
      </c>
      <c r="I48" s="16" t="str">
        <f t="shared" si="16"/>
        <v>DNF</v>
      </c>
      <c r="J48" s="3">
        <f>INDEX(raw_comp_PTA!$H$2:$H$81,MATCH(D48,raw_comp_PTA!$J$2:$J$81,0))</f>
        <v>784.6</v>
      </c>
      <c r="K48" s="16" t="str">
        <f t="shared" si="17"/>
        <v>DNF</v>
      </c>
      <c r="L48" s="3">
        <f>SUMIFS(raw_comp_PTA_stations!$E$2:$E$461,raw_comp_PTA_stations!$A$2:$A$461,A48,raw_comp_PTA_stations!$B$2:$B$461,C48,raw_comp_PTA_stations!$C$2:$C$461,"ws*")</f>
        <v>886.93</v>
      </c>
      <c r="M48" s="16" t="str">
        <f t="shared" si="18"/>
        <v>DNF</v>
      </c>
      <c r="N48" s="3">
        <f>INDEX(raw_comp_PTA!$G$2:$G$81,MATCH(D48,raw_comp_PTA!$J$2:$J$81,0))</f>
        <v>1708.07</v>
      </c>
      <c r="O48" s="16" t="str">
        <f t="shared" si="19"/>
        <v>DNF</v>
      </c>
      <c r="P48">
        <f>COUNTIFS(raw_outputtable!$A$2:$A$816,A48,raw_outputtable!$B$2:$B$816,C48)</f>
        <v>8</v>
      </c>
      <c r="Q48">
        <f>INDEX(raw_casetable!$F$2:$F$81,MATCH(D48,raw_casetable!$G$2:$G$81,0))</f>
        <v>14</v>
      </c>
      <c r="R48">
        <f t="shared" si="20"/>
        <v>0</v>
      </c>
      <c r="S48">
        <f>IFERROR(IF(INDEX(Factory_PO!$C$2:$C$61,MATCH(B48&amp;"|"&amp;C48,Factory_PO!$E$2:$E$61,0))="","",INDEX(Factory_PO!$C$2:$C$61,MATCH(B48&amp;"|"&amp;C48,Factory_PO!$E$2:$E$61,0))),"")</f>
        <v>763</v>
      </c>
      <c r="T48" s="17" t="str">
        <f t="shared" si="21"/>
        <v>DNF</v>
      </c>
      <c r="U48" t="str">
        <f>IFERROR(IF(INDEX(Factory_PO!$D$2:$D$61,MATCH(B48&amp;"|"&amp;C48,Factory_PO!$E$2:$E$61,0))="","",INDEX(Factory_PO!$D$2:$D$61,MATCH(B48&amp;"|"&amp;C48,Factory_PO!$E$2:$E$61,0))),"")</f>
        <v/>
      </c>
      <c r="V48" s="17" t="str">
        <f t="shared" si="22"/>
        <v>DNF</v>
      </c>
      <c r="W48">
        <f t="shared" si="23"/>
        <v>0</v>
      </c>
      <c r="X48" t="str">
        <f t="shared" si="24"/>
        <v>DNF (sim + factory)</v>
      </c>
      <c r="Y48">
        <f t="shared" si="25"/>
        <v>0</v>
      </c>
      <c r="Z48" s="10" t="str">
        <f t="shared" si="26"/>
        <v/>
      </c>
      <c r="AA48" s="18" t="str">
        <f t="shared" si="27"/>
        <v>DNF</v>
      </c>
      <c r="AB48" t="s">
        <v>1364</v>
      </c>
    </row>
    <row r="49" spans="1:28" ht="15" customHeight="1" x14ac:dyDescent="0.25">
      <c r="A49" t="s">
        <v>5</v>
      </c>
      <c r="B49" t="s">
        <v>65</v>
      </c>
      <c r="C49">
        <v>8</v>
      </c>
      <c r="D49" t="str">
        <f t="shared" si="14"/>
        <v>S4|8</v>
      </c>
      <c r="E49" t="str">
        <f>UPPER(MID(INDEX(raw_comp_PTA!$C$2:$C$81,MATCH(D49,raw_comp_PTA!$J$2:$J$81,0)),5,2))</f>
        <v>HD</v>
      </c>
      <c r="F49" s="3">
        <f>_xlfn.MINIFS(raw_outputtable!$J$2:$J$816,raw_outputtable!$A$2:$A$816,A49,raw_outputtable!$B$2:$B$816,C49)</f>
        <v>810</v>
      </c>
      <c r="G49" s="3">
        <f>_xlfn.MAXIFS(raw_outputtable!$K$2:$K$816,raw_outputtable!$A$2:$A$816,A49,raw_outputtable!$B$2:$B$816,C49)</f>
        <v>2073.0666666291654</v>
      </c>
      <c r="H49" s="3">
        <f t="shared" si="15"/>
        <v>1263.0666666291654</v>
      </c>
      <c r="I49" s="16" t="str">
        <f t="shared" si="16"/>
        <v>DNF</v>
      </c>
      <c r="J49" s="3">
        <f>INDEX(raw_comp_PTA!$H$2:$H$81,MATCH(D49,raw_comp_PTA!$J$2:$J$81,0))</f>
        <v>483</v>
      </c>
      <c r="K49" s="16" t="str">
        <f t="shared" si="17"/>
        <v>DNF</v>
      </c>
      <c r="L49" s="3">
        <f>SUMIFS(raw_comp_PTA_stations!$E$2:$E$461,raw_comp_PTA_stations!$A$2:$A$461,A49,raw_comp_PTA_stations!$B$2:$B$461,C49,raw_comp_PTA_stations!$C$2:$C$461,"ws*")</f>
        <v>898.06000000000006</v>
      </c>
      <c r="M49" s="16" t="str">
        <f t="shared" si="18"/>
        <v>DNF</v>
      </c>
      <c r="N49" s="3">
        <f>INDEX(raw_comp_PTA!$G$2:$G$81,MATCH(D49,raw_comp_PTA!$J$2:$J$81,0))</f>
        <v>1260.46</v>
      </c>
      <c r="O49" s="16" t="str">
        <f t="shared" si="19"/>
        <v>DNF</v>
      </c>
      <c r="P49">
        <f>COUNTIFS(raw_outputtable!$A$2:$A$816,A49,raw_outputtable!$B$2:$B$816,C49)</f>
        <v>7</v>
      </c>
      <c r="Q49">
        <f>INDEX(raw_casetable!$F$2:$F$81,MATCH(D49,raw_casetable!$G$2:$G$81,0))</f>
        <v>14</v>
      </c>
      <c r="R49">
        <f t="shared" si="20"/>
        <v>0</v>
      </c>
      <c r="S49">
        <f>IFERROR(IF(INDEX(Factory_PO!$C$2:$C$61,MATCH(B49&amp;"|"&amp;C49,Factory_PO!$E$2:$E$61,0))="","",INDEX(Factory_PO!$C$2:$C$61,MATCH(B49&amp;"|"&amp;C49,Factory_PO!$E$2:$E$61,0))),"")</f>
        <v>390</v>
      </c>
      <c r="T49" s="17" t="str">
        <f t="shared" si="21"/>
        <v>DNF</v>
      </c>
      <c r="U49" t="str">
        <f>IFERROR(IF(INDEX(Factory_PO!$D$2:$D$61,MATCH(B49&amp;"|"&amp;C49,Factory_PO!$E$2:$E$61,0))="","",INDEX(Factory_PO!$D$2:$D$61,MATCH(B49&amp;"|"&amp;C49,Factory_PO!$E$2:$E$61,0))),"")</f>
        <v/>
      </c>
      <c r="V49" s="17" t="str">
        <f t="shared" si="22"/>
        <v>DNF</v>
      </c>
      <c r="W49">
        <f t="shared" si="23"/>
        <v>0</v>
      </c>
      <c r="X49" t="str">
        <f t="shared" si="24"/>
        <v>DNF (sim + factory)</v>
      </c>
      <c r="Y49">
        <f t="shared" si="25"/>
        <v>0</v>
      </c>
      <c r="Z49" s="10" t="str">
        <f t="shared" si="26"/>
        <v/>
      </c>
      <c r="AA49" s="18" t="str">
        <f t="shared" si="27"/>
        <v>DNF</v>
      </c>
      <c r="AB49" t="s">
        <v>1364</v>
      </c>
    </row>
    <row r="50" spans="1:28" ht="15" customHeight="1" x14ac:dyDescent="0.25">
      <c r="A50" t="s">
        <v>5</v>
      </c>
      <c r="B50" t="s">
        <v>65</v>
      </c>
      <c r="C50">
        <v>9</v>
      </c>
      <c r="D50" t="str">
        <f t="shared" si="14"/>
        <v>S4|9</v>
      </c>
      <c r="E50" t="str">
        <f>UPPER(MID(INDEX(raw_comp_PTA!$C$2:$C$81,MATCH(D50,raw_comp_PTA!$J$2:$J$81,0)),5,2))</f>
        <v>HD</v>
      </c>
      <c r="F50" s="3">
        <f>_xlfn.MINIFS(raw_outputtable!$J$2:$J$816,raw_outputtable!$A$2:$A$816,A50,raw_outputtable!$B$2:$B$816,C50)</f>
        <v>929.99999995110556</v>
      </c>
      <c r="G50" s="3">
        <f>_xlfn.MAXIFS(raw_outputtable!$K$2:$K$816,raw_outputtable!$A$2:$A$816,A50,raw_outputtable!$B$2:$B$816,C50)</f>
        <v>2311.5333333634771</v>
      </c>
      <c r="H50" s="3">
        <f t="shared" si="15"/>
        <v>1381.5333334123716</v>
      </c>
      <c r="I50" s="16" t="str">
        <f t="shared" si="16"/>
        <v>DNF</v>
      </c>
      <c r="J50" s="3">
        <f>INDEX(raw_comp_PTA!$H$2:$H$81,MATCH(D50,raw_comp_PTA!$J$2:$J$81,0))</f>
        <v>404.5</v>
      </c>
      <c r="K50" s="16" t="str">
        <f t="shared" si="17"/>
        <v>DNF</v>
      </c>
      <c r="L50" s="3">
        <f>SUMIFS(raw_comp_PTA_stations!$E$2:$E$461,raw_comp_PTA_stations!$A$2:$A$461,A50,raw_comp_PTA_stations!$B$2:$B$461,C50,raw_comp_PTA_stations!$C$2:$C$461,"ws*")</f>
        <v>1002</v>
      </c>
      <c r="M50" s="16" t="str">
        <f t="shared" si="18"/>
        <v>DNF</v>
      </c>
      <c r="N50" s="3">
        <f>INDEX(raw_comp_PTA!$G$2:$G$81,MATCH(D50,raw_comp_PTA!$J$2:$J$81,0))</f>
        <v>1346.53</v>
      </c>
      <c r="O50" s="16" t="str">
        <f t="shared" si="19"/>
        <v>DNF</v>
      </c>
      <c r="P50">
        <f>COUNTIFS(raw_outputtable!$A$2:$A$816,A50,raw_outputtable!$B$2:$B$816,C50)</f>
        <v>5</v>
      </c>
      <c r="Q50">
        <f>INDEX(raw_casetable!$F$2:$F$81,MATCH(D50,raw_casetable!$G$2:$G$81,0))</f>
        <v>14</v>
      </c>
      <c r="R50">
        <f t="shared" si="20"/>
        <v>0</v>
      </c>
      <c r="S50">
        <f>IFERROR(IF(INDEX(Factory_PO!$C$2:$C$61,MATCH(B50&amp;"|"&amp;C50,Factory_PO!$E$2:$E$61,0))="","",INDEX(Factory_PO!$C$2:$C$61,MATCH(B50&amp;"|"&amp;C50,Factory_PO!$E$2:$E$61,0))),"")</f>
        <v>345</v>
      </c>
      <c r="T50" s="17" t="str">
        <f t="shared" si="21"/>
        <v>DNF</v>
      </c>
      <c r="U50" t="str">
        <f>IFERROR(IF(INDEX(Factory_PO!$D$2:$D$61,MATCH(B50&amp;"|"&amp;C50,Factory_PO!$E$2:$E$61,0))="","",INDEX(Factory_PO!$D$2:$D$61,MATCH(B50&amp;"|"&amp;C50,Factory_PO!$E$2:$E$61,0))),"")</f>
        <v/>
      </c>
      <c r="V50" s="17" t="str">
        <f t="shared" si="22"/>
        <v>DNF</v>
      </c>
      <c r="W50">
        <f t="shared" si="23"/>
        <v>0</v>
      </c>
      <c r="X50" t="str">
        <f t="shared" si="24"/>
        <v>DNF (sim + factory)</v>
      </c>
      <c r="Y50">
        <f t="shared" si="25"/>
        <v>0</v>
      </c>
      <c r="Z50" s="10" t="str">
        <f t="shared" si="26"/>
        <v/>
      </c>
      <c r="AA50" s="18" t="str">
        <f t="shared" si="27"/>
        <v>DNF</v>
      </c>
      <c r="AB50" t="s">
        <v>1364</v>
      </c>
    </row>
    <row r="51" spans="1:28" ht="15" customHeight="1" x14ac:dyDescent="0.25">
      <c r="A51" t="s">
        <v>5</v>
      </c>
      <c r="B51" t="s">
        <v>65</v>
      </c>
      <c r="C51">
        <v>10</v>
      </c>
      <c r="D51" t="str">
        <f t="shared" si="14"/>
        <v>S4|10</v>
      </c>
      <c r="E51" t="str">
        <f>UPPER(MID(INDEX(raw_comp_PTA!$C$2:$C$81,MATCH(D51,raw_comp_PTA!$J$2:$J$81,0)),5,2))</f>
        <v>HD</v>
      </c>
      <c r="F51" s="3">
        <f>_xlfn.MINIFS(raw_outputtable!$J$2:$J$816,raw_outputtable!$A$2:$A$816,A51,raw_outputtable!$B$2:$B$816,C51)</f>
        <v>1199.9999999511056</v>
      </c>
      <c r="G51" s="3">
        <f>_xlfn.MAXIFS(raw_outputtable!$K$2:$K$816,raw_outputtable!$A$2:$A$816,A51,raw_outputtable!$B$2:$B$816,C51)</f>
        <v>2341.5333333145827</v>
      </c>
      <c r="H51" s="3">
        <f t="shared" si="15"/>
        <v>1141.5333333634771</v>
      </c>
      <c r="I51" s="16" t="str">
        <f t="shared" si="16"/>
        <v>DNF</v>
      </c>
      <c r="J51" s="3">
        <f>INDEX(raw_comp_PTA!$H$2:$H$81,MATCH(D51,raw_comp_PTA!$J$2:$J$81,0))</f>
        <v>326</v>
      </c>
      <c r="K51" s="16" t="str">
        <f t="shared" si="17"/>
        <v>DNF</v>
      </c>
      <c r="L51" s="3">
        <f>SUMIFS(raw_comp_PTA_stations!$E$2:$E$461,raw_comp_PTA_stations!$A$2:$A$461,A51,raw_comp_PTA_stations!$B$2:$B$461,C51,raw_comp_PTA_stations!$C$2:$C$461,"ws*")</f>
        <v>822.97</v>
      </c>
      <c r="M51" s="16" t="str">
        <f t="shared" si="18"/>
        <v>DNF</v>
      </c>
      <c r="N51" s="3">
        <f>INDEX(raw_comp_PTA!$G$2:$G$81,MATCH(D51,raw_comp_PTA!$J$2:$J$81,0))</f>
        <v>1105</v>
      </c>
      <c r="O51" s="16" t="str">
        <f t="shared" si="19"/>
        <v>DNF</v>
      </c>
      <c r="P51">
        <f>COUNTIFS(raw_outputtable!$A$2:$A$816,A51,raw_outputtable!$B$2:$B$816,C51)</f>
        <v>4</v>
      </c>
      <c r="Q51">
        <f>INDEX(raw_casetable!$F$2:$F$81,MATCH(D51,raw_casetable!$G$2:$G$81,0))</f>
        <v>14</v>
      </c>
      <c r="R51">
        <f t="shared" si="20"/>
        <v>0</v>
      </c>
      <c r="S51">
        <f>IFERROR(IF(INDEX(Factory_PO!$C$2:$C$61,MATCH(B51&amp;"|"&amp;C51,Factory_PO!$E$2:$E$61,0))="","",INDEX(Factory_PO!$C$2:$C$61,MATCH(B51&amp;"|"&amp;C51,Factory_PO!$E$2:$E$61,0))),"")</f>
        <v>165</v>
      </c>
      <c r="T51" s="17" t="str">
        <f t="shared" si="21"/>
        <v>DNF</v>
      </c>
      <c r="U51" t="str">
        <f>IFERROR(IF(INDEX(Factory_PO!$D$2:$D$61,MATCH(B51&amp;"|"&amp;C51,Factory_PO!$E$2:$E$61,0))="","",INDEX(Factory_PO!$D$2:$D$61,MATCH(B51&amp;"|"&amp;C51,Factory_PO!$E$2:$E$61,0))),"")</f>
        <v/>
      </c>
      <c r="V51" s="17" t="str">
        <f t="shared" si="22"/>
        <v>DNF</v>
      </c>
      <c r="W51">
        <f t="shared" si="23"/>
        <v>0</v>
      </c>
      <c r="X51" t="str">
        <f t="shared" si="24"/>
        <v>DNF (sim + factory)</v>
      </c>
      <c r="Y51">
        <f t="shared" si="25"/>
        <v>0</v>
      </c>
      <c r="Z51" s="10" t="str">
        <f t="shared" si="26"/>
        <v/>
      </c>
      <c r="AA51" s="18" t="str">
        <f t="shared" si="27"/>
        <v>DNF</v>
      </c>
      <c r="AB51" t="s">
        <v>1364</v>
      </c>
    </row>
    <row r="52" spans="1:28" ht="15" customHeight="1" x14ac:dyDescent="0.25">
      <c r="A52" t="s">
        <v>6</v>
      </c>
      <c r="B52" t="s">
        <v>67</v>
      </c>
      <c r="C52">
        <v>1</v>
      </c>
      <c r="D52" t="str">
        <f t="shared" si="14"/>
        <v>S5|1</v>
      </c>
      <c r="E52" t="str">
        <f>UPPER(MID(INDEX(raw_comp_PTA!$C$2:$C$81,MATCH(D52,raw_comp_PTA!$J$2:$J$81,0)),5,2))</f>
        <v>HD</v>
      </c>
      <c r="F52" s="3">
        <f>_xlfn.MINIFS(raw_outputtable!$J$2:$J$816,raw_outputtable!$A$2:$A$816,A52,raw_outputtable!$B$2:$B$816,C52)</f>
        <v>0</v>
      </c>
      <c r="G52" s="3">
        <f>_xlfn.MAXIFS(raw_outputtable!$K$2:$K$816,raw_outputtable!$A$2:$A$816,A52,raw_outputtable!$B$2:$B$816,C52)</f>
        <v>1081.5333333145827</v>
      </c>
      <c r="H52" s="3">
        <f t="shared" si="15"/>
        <v>1081.5333333145827</v>
      </c>
      <c r="I52" s="16">
        <f t="shared" si="16"/>
        <v>1081.5333333145827</v>
      </c>
      <c r="J52" s="3">
        <f>INDEX(raw_comp_PTA!$H$2:$H$81,MATCH(D52,raw_comp_PTA!$J$2:$J$81,0))</f>
        <v>997.3</v>
      </c>
      <c r="K52" s="16">
        <f t="shared" si="17"/>
        <v>997.3</v>
      </c>
      <c r="L52" s="3">
        <f>SUMIFS(raw_comp_PTA_stations!$E$2:$E$461,raw_comp_PTA_stations!$A$2:$A$461,A52,raw_comp_PTA_stations!$B$2:$B$461,C52,raw_comp_PTA_stations!$C$2:$C$461,"ws*")</f>
        <v>51.43</v>
      </c>
      <c r="M52" s="16">
        <f t="shared" si="18"/>
        <v>51.43</v>
      </c>
      <c r="N52" s="3">
        <f>INDEX(raw_comp_PTA!$G$2:$G$81,MATCH(D52,raw_comp_PTA!$J$2:$J$81,0))</f>
        <v>1051.33</v>
      </c>
      <c r="O52" s="16">
        <f t="shared" si="19"/>
        <v>1051.33</v>
      </c>
      <c r="P52">
        <f>COUNTIFS(raw_outputtable!$A$2:$A$816,A52,raw_outputtable!$B$2:$B$816,C52)</f>
        <v>14</v>
      </c>
      <c r="Q52">
        <f>INDEX(raw_casetable!$F$2:$F$81,MATCH(D52,raw_casetable!$G$2:$G$81,0))</f>
        <v>14</v>
      </c>
      <c r="R52">
        <f t="shared" si="20"/>
        <v>1</v>
      </c>
      <c r="S52">
        <f>IFERROR(IF(INDEX(Factory_PO!$C$2:$C$61,MATCH(B52&amp;"|"&amp;C52,Factory_PO!$E$2:$E$61,0))="","",INDEX(Factory_PO!$C$2:$C$61,MATCH(B52&amp;"|"&amp;C52,Factory_PO!$E$2:$E$61,0))),"")</f>
        <v>864</v>
      </c>
      <c r="T52" s="17">
        <f t="shared" si="21"/>
        <v>864</v>
      </c>
      <c r="U52">
        <f>IFERROR(IF(INDEX(Factory_PO!$D$2:$D$61,MATCH(B52&amp;"|"&amp;C52,Factory_PO!$E$2:$E$61,0))="","",INDEX(Factory_PO!$D$2:$D$61,MATCH(B52&amp;"|"&amp;C52,Factory_PO!$E$2:$E$61,0))),"")</f>
        <v>812</v>
      </c>
      <c r="V52" s="17">
        <f t="shared" si="22"/>
        <v>812</v>
      </c>
      <c r="W52">
        <f t="shared" si="23"/>
        <v>1</v>
      </c>
      <c r="X52" t="str">
        <f t="shared" si="24"/>
        <v>Complete</v>
      </c>
      <c r="Y52">
        <f t="shared" si="25"/>
        <v>1</v>
      </c>
      <c r="Z52" s="10">
        <f t="shared" si="26"/>
        <v>0.33193760260416588</v>
      </c>
      <c r="AA52" s="18">
        <f t="shared" si="27"/>
        <v>0.33193760260416588</v>
      </c>
      <c r="AB52" t="s">
        <v>1365</v>
      </c>
    </row>
    <row r="53" spans="1:28" ht="15" customHeight="1" x14ac:dyDescent="0.25">
      <c r="A53" t="s">
        <v>6</v>
      </c>
      <c r="B53" t="s">
        <v>67</v>
      </c>
      <c r="C53">
        <v>2</v>
      </c>
      <c r="D53" t="str">
        <f t="shared" si="14"/>
        <v>S5|2</v>
      </c>
      <c r="E53" t="str">
        <f>UPPER(MID(INDEX(raw_comp_PTA!$C$2:$C$81,MATCH(D53,raw_comp_PTA!$J$2:$J$81,0)),5,2))</f>
        <v>TL</v>
      </c>
      <c r="F53" s="3">
        <f>_xlfn.MINIFS(raw_outputtable!$J$2:$J$816,raw_outputtable!$A$2:$A$816,A53,raw_outputtable!$B$2:$B$816,C53)</f>
        <v>60.000000048894435</v>
      </c>
      <c r="G53" s="3">
        <f>_xlfn.MAXIFS(raw_outputtable!$K$2:$K$816,raw_outputtable!$A$2:$A$816,A53,raw_outputtable!$B$2:$B$816,C53)</f>
        <v>571.53333326568827</v>
      </c>
      <c r="H53" s="3">
        <f t="shared" si="15"/>
        <v>511.53333321679384</v>
      </c>
      <c r="I53" s="16">
        <f t="shared" si="16"/>
        <v>511.53333321679384</v>
      </c>
      <c r="J53" s="3">
        <f>INDEX(raw_comp_PTA!$H$2:$H$81,MATCH(D53,raw_comp_PTA!$J$2:$J$81,0))</f>
        <v>424.1</v>
      </c>
      <c r="K53" s="16">
        <f t="shared" si="17"/>
        <v>424.1</v>
      </c>
      <c r="L53" s="3">
        <f>SUMIFS(raw_comp_PTA_stations!$E$2:$E$461,raw_comp_PTA_stations!$A$2:$A$461,A53,raw_comp_PTA_stations!$B$2:$B$461,C53,raw_comp_PTA_stations!$C$2:$C$461,"ws*")</f>
        <v>52.83</v>
      </c>
      <c r="M53" s="16">
        <f t="shared" si="18"/>
        <v>52.83</v>
      </c>
      <c r="N53" s="3">
        <f>INDEX(raw_comp_PTA!$G$2:$G$81,MATCH(D53,raw_comp_PTA!$J$2:$J$81,0))</f>
        <v>480.26</v>
      </c>
      <c r="O53" s="16">
        <f t="shared" si="19"/>
        <v>480.26</v>
      </c>
      <c r="P53">
        <f>COUNTIFS(raw_outputtable!$A$2:$A$816,A53,raw_outputtable!$B$2:$B$816,C53)</f>
        <v>8</v>
      </c>
      <c r="Q53">
        <f>INDEX(raw_casetable!$F$2:$F$81,MATCH(D53,raw_casetable!$G$2:$G$81,0))</f>
        <v>8</v>
      </c>
      <c r="R53">
        <f t="shared" si="20"/>
        <v>1</v>
      </c>
      <c r="S53">
        <f>IFERROR(IF(INDEX(Factory_PO!$C$2:$C$61,MATCH(B53&amp;"|"&amp;C53,Factory_PO!$E$2:$E$61,0))="","",INDEX(Factory_PO!$C$2:$C$61,MATCH(B53&amp;"|"&amp;C53,Factory_PO!$E$2:$E$61,0))),"")</f>
        <v>421</v>
      </c>
      <c r="T53" s="17">
        <f t="shared" si="21"/>
        <v>421</v>
      </c>
      <c r="U53">
        <f>IFERROR(IF(INDEX(Factory_PO!$D$2:$D$61,MATCH(B53&amp;"|"&amp;C53,Factory_PO!$E$2:$E$61,0))="","",INDEX(Factory_PO!$D$2:$D$61,MATCH(B53&amp;"|"&amp;C53,Factory_PO!$E$2:$E$61,0))),"")</f>
        <v>497</v>
      </c>
      <c r="V53" s="17">
        <f t="shared" si="22"/>
        <v>497</v>
      </c>
      <c r="W53">
        <f t="shared" si="23"/>
        <v>1</v>
      </c>
      <c r="X53" t="str">
        <f t="shared" si="24"/>
        <v>Complete</v>
      </c>
      <c r="Y53">
        <f t="shared" si="25"/>
        <v>1</v>
      </c>
      <c r="Z53" s="10">
        <f t="shared" si="26"/>
        <v>2.9242119148478542E-2</v>
      </c>
      <c r="AA53" s="18">
        <f t="shared" si="27"/>
        <v>2.9242119148478542E-2</v>
      </c>
      <c r="AB53" t="s">
        <v>1365</v>
      </c>
    </row>
    <row r="54" spans="1:28" ht="15" customHeight="1" x14ac:dyDescent="0.25">
      <c r="A54" t="s">
        <v>6</v>
      </c>
      <c r="B54" t="s">
        <v>67</v>
      </c>
      <c r="C54">
        <v>3</v>
      </c>
      <c r="D54" t="str">
        <f t="shared" si="14"/>
        <v>S5|3</v>
      </c>
      <c r="E54" t="str">
        <f>UPPER(MID(INDEX(raw_comp_PTA!$C$2:$C$81,MATCH(D54,raw_comp_PTA!$J$2:$J$81,0)),5,2))</f>
        <v>HD</v>
      </c>
      <c r="F54" s="3">
        <f>_xlfn.MINIFS(raw_outputtable!$J$2:$J$816,raw_outputtable!$A$2:$A$816,A54,raw_outputtable!$B$2:$B$816,C54)</f>
        <v>119.99999995110556</v>
      </c>
      <c r="G54" s="3">
        <f>_xlfn.MAXIFS(raw_outputtable!$K$2:$K$816,raw_outputtable!$A$2:$A$816,A54,raw_outputtable!$B$2:$B$816,C54)</f>
        <v>1203.0666667164769</v>
      </c>
      <c r="H54" s="3">
        <f t="shared" si="15"/>
        <v>1083.0666667653713</v>
      </c>
      <c r="I54" s="16">
        <f t="shared" si="16"/>
        <v>1083.0666667653713</v>
      </c>
      <c r="J54" s="3">
        <f>INDEX(raw_comp_PTA!$H$2:$H$81,MATCH(D54,raw_comp_PTA!$J$2:$J$81,0))</f>
        <v>997.3</v>
      </c>
      <c r="K54" s="16">
        <f t="shared" si="17"/>
        <v>997.3</v>
      </c>
      <c r="L54" s="3">
        <f>SUMIFS(raw_comp_PTA_stations!$E$2:$E$461,raw_comp_PTA_stations!$A$2:$A$461,A54,raw_comp_PTA_stations!$B$2:$B$461,C54,raw_comp_PTA_stations!$C$2:$C$461,"ws*")</f>
        <v>49.7</v>
      </c>
      <c r="M54" s="16">
        <f t="shared" si="18"/>
        <v>49.7</v>
      </c>
      <c r="N54" s="3">
        <f>INDEX(raw_comp_PTA!$G$2:$G$81,MATCH(D54,raw_comp_PTA!$J$2:$J$81,0))</f>
        <v>1051.1400000000001</v>
      </c>
      <c r="O54" s="16">
        <f t="shared" si="19"/>
        <v>1051.1400000000001</v>
      </c>
      <c r="P54">
        <f>COUNTIFS(raw_outputtable!$A$2:$A$816,A54,raw_outputtable!$B$2:$B$816,C54)</f>
        <v>14</v>
      </c>
      <c r="Q54">
        <f>INDEX(raw_casetable!$F$2:$F$81,MATCH(D54,raw_casetable!$G$2:$G$81,0))</f>
        <v>14</v>
      </c>
      <c r="R54">
        <f t="shared" si="20"/>
        <v>1</v>
      </c>
      <c r="S54">
        <f>IFERROR(IF(INDEX(Factory_PO!$C$2:$C$61,MATCH(B54&amp;"|"&amp;C54,Factory_PO!$E$2:$E$61,0))="","",INDEX(Factory_PO!$C$2:$C$61,MATCH(B54&amp;"|"&amp;C54,Factory_PO!$E$2:$E$61,0))),"")</f>
        <v>856</v>
      </c>
      <c r="T54" s="17">
        <f t="shared" si="21"/>
        <v>856</v>
      </c>
      <c r="U54">
        <f>IFERROR(IF(INDEX(Factory_PO!$D$2:$D$61,MATCH(B54&amp;"|"&amp;C54,Factory_PO!$E$2:$E$61,0))="","",INDEX(Factory_PO!$D$2:$D$61,MATCH(B54&amp;"|"&amp;C54,Factory_PO!$E$2:$E$61,0))),"")</f>
        <v>797</v>
      </c>
      <c r="V54" s="17">
        <f t="shared" si="22"/>
        <v>797</v>
      </c>
      <c r="W54">
        <f t="shared" si="23"/>
        <v>1</v>
      </c>
      <c r="X54" t="str">
        <f t="shared" si="24"/>
        <v>Complete</v>
      </c>
      <c r="Y54">
        <f t="shared" si="25"/>
        <v>1</v>
      </c>
      <c r="Z54" s="10">
        <f t="shared" si="26"/>
        <v>0.35892931840071685</v>
      </c>
      <c r="AA54" s="18">
        <f t="shared" si="27"/>
        <v>0.35892931840071685</v>
      </c>
      <c r="AB54" t="s">
        <v>1365</v>
      </c>
    </row>
    <row r="55" spans="1:28" ht="15" customHeight="1" x14ac:dyDescent="0.25">
      <c r="A55" t="s">
        <v>6</v>
      </c>
      <c r="B55" t="s">
        <v>67</v>
      </c>
      <c r="C55">
        <v>4</v>
      </c>
      <c r="D55" t="str">
        <f t="shared" si="14"/>
        <v>S5|4</v>
      </c>
      <c r="E55" t="str">
        <f>UPPER(MID(INDEX(raw_comp_PTA!$C$2:$C$81,MATCH(D55,raw_comp_PTA!$J$2:$J$81,0)),5,2))</f>
        <v>HD</v>
      </c>
      <c r="F55" s="3">
        <f>_xlfn.MINIFS(raw_outputtable!$J$2:$J$816,raw_outputtable!$A$2:$A$816,A55,raw_outputtable!$B$2:$B$816,C55)</f>
        <v>180</v>
      </c>
      <c r="G55" s="3">
        <f>_xlfn.MAXIFS(raw_outputtable!$K$2:$K$816,raw_outputtable!$A$2:$A$816,A55,raw_outputtable!$B$2:$B$816,C55)</f>
        <v>1264.5999999332707</v>
      </c>
      <c r="H55" s="3">
        <f t="shared" si="15"/>
        <v>1084.5999999332707</v>
      </c>
      <c r="I55" s="16">
        <f t="shared" si="16"/>
        <v>1084.5999999332707</v>
      </c>
      <c r="J55" s="3">
        <f>INDEX(raw_comp_PTA!$H$2:$H$81,MATCH(D55,raw_comp_PTA!$J$2:$J$81,0))</f>
        <v>997.3</v>
      </c>
      <c r="K55" s="16">
        <f t="shared" si="17"/>
        <v>997.3</v>
      </c>
      <c r="L55" s="3">
        <f>SUMIFS(raw_comp_PTA_stations!$E$2:$E$461,raw_comp_PTA_stations!$A$2:$A$461,A55,raw_comp_PTA_stations!$B$2:$B$461,C55,raw_comp_PTA_stations!$C$2:$C$461,"ws*")</f>
        <v>48.97</v>
      </c>
      <c r="M55" s="16">
        <f t="shared" si="18"/>
        <v>48.97</v>
      </c>
      <c r="N55" s="3">
        <f>INDEX(raw_comp_PTA!$G$2:$G$81,MATCH(D55,raw_comp_PTA!$J$2:$J$81,0))</f>
        <v>1052.67</v>
      </c>
      <c r="O55" s="16">
        <f t="shared" si="19"/>
        <v>1052.67</v>
      </c>
      <c r="P55">
        <f>COUNTIFS(raw_outputtable!$A$2:$A$816,A55,raw_outputtable!$B$2:$B$816,C55)</f>
        <v>14</v>
      </c>
      <c r="Q55">
        <f>INDEX(raw_casetable!$F$2:$F$81,MATCH(D55,raw_casetable!$G$2:$G$81,0))</f>
        <v>14</v>
      </c>
      <c r="R55">
        <f t="shared" si="20"/>
        <v>1</v>
      </c>
      <c r="S55">
        <f>IFERROR(IF(INDEX(Factory_PO!$C$2:$C$61,MATCH(B55&amp;"|"&amp;C55,Factory_PO!$E$2:$E$61,0))="","",INDEX(Factory_PO!$C$2:$C$61,MATCH(B55&amp;"|"&amp;C55,Factory_PO!$E$2:$E$61,0))),"")</f>
        <v>1164</v>
      </c>
      <c r="T55" s="17">
        <f t="shared" si="21"/>
        <v>1164</v>
      </c>
      <c r="U55">
        <f>IFERROR(IF(INDEX(Factory_PO!$D$2:$D$61,MATCH(B55&amp;"|"&amp;C55,Factory_PO!$E$2:$E$61,0))="","",INDEX(Factory_PO!$D$2:$D$61,MATCH(B55&amp;"|"&amp;C55,Factory_PO!$E$2:$E$61,0))),"")</f>
        <v>1171</v>
      </c>
      <c r="V55" s="17">
        <f t="shared" si="22"/>
        <v>1171</v>
      </c>
      <c r="W55">
        <f t="shared" si="23"/>
        <v>1</v>
      </c>
      <c r="X55" t="str">
        <f t="shared" si="24"/>
        <v>Complete</v>
      </c>
      <c r="Y55">
        <f t="shared" si="25"/>
        <v>1</v>
      </c>
      <c r="Z55" s="10">
        <f t="shared" si="26"/>
        <v>-7.3783091431878112E-2</v>
      </c>
      <c r="AA55" s="18">
        <f t="shared" si="27"/>
        <v>-7.3783091431878112E-2</v>
      </c>
      <c r="AB55" t="s">
        <v>1365</v>
      </c>
    </row>
    <row r="56" spans="1:28" ht="15" customHeight="1" x14ac:dyDescent="0.25">
      <c r="A56" t="s">
        <v>6</v>
      </c>
      <c r="B56" t="s">
        <v>67</v>
      </c>
      <c r="C56">
        <v>5</v>
      </c>
      <c r="D56" t="str">
        <f t="shared" si="14"/>
        <v>S5|5</v>
      </c>
      <c r="E56" t="str">
        <f>UPPER(MID(INDEX(raw_comp_PTA!$C$2:$C$81,MATCH(D56,raw_comp_PTA!$J$2:$J$81,0)),5,2))</f>
        <v>SA</v>
      </c>
      <c r="F56" s="3">
        <f>_xlfn.MINIFS(raw_outputtable!$J$2:$J$816,raw_outputtable!$A$2:$A$816,A56,raw_outputtable!$B$2:$B$816,C56)</f>
        <v>240.00000004889444</v>
      </c>
      <c r="G56" s="3">
        <f>_xlfn.MAXIFS(raw_outputtable!$K$2:$K$816,raw_outputtable!$A$2:$A$816,A56,raw_outputtable!$B$2:$B$816,C56)</f>
        <v>784.59999998216517</v>
      </c>
      <c r="H56" s="3">
        <f t="shared" si="15"/>
        <v>544.59999993327074</v>
      </c>
      <c r="I56" s="16">
        <f t="shared" si="16"/>
        <v>544.59999993327074</v>
      </c>
      <c r="J56" s="3">
        <f>INDEX(raw_comp_PTA!$H$2:$H$81,MATCH(D56,raw_comp_PTA!$J$2:$J$81,0))</f>
        <v>449.1</v>
      </c>
      <c r="K56" s="16">
        <f t="shared" si="17"/>
        <v>449.1</v>
      </c>
      <c r="L56" s="3">
        <f>SUMIFS(raw_comp_PTA_stations!$E$2:$E$461,raw_comp_PTA_stations!$A$2:$A$461,A56,raw_comp_PTA_stations!$B$2:$B$461,C56,raw_comp_PTA_stations!$C$2:$C$461,"ws*")</f>
        <v>56.37</v>
      </c>
      <c r="M56" s="16">
        <f t="shared" si="18"/>
        <v>56.37</v>
      </c>
      <c r="N56" s="3">
        <f>INDEX(raw_comp_PTA!$G$2:$G$81,MATCH(D56,raw_comp_PTA!$J$2:$J$81,0))</f>
        <v>512.66999999999996</v>
      </c>
      <c r="O56" s="16">
        <f t="shared" si="19"/>
        <v>512.66999999999996</v>
      </c>
      <c r="P56">
        <f>COUNTIFS(raw_outputtable!$A$2:$A$816,A56,raw_outputtable!$B$2:$B$816,C56)</f>
        <v>9</v>
      </c>
      <c r="Q56">
        <f>INDEX(raw_casetable!$F$2:$F$81,MATCH(D56,raw_casetable!$G$2:$G$81,0))</f>
        <v>9</v>
      </c>
      <c r="R56">
        <f t="shared" si="20"/>
        <v>1</v>
      </c>
      <c r="S56">
        <f>IFERROR(IF(INDEX(Factory_PO!$C$2:$C$61,MATCH(B56&amp;"|"&amp;C56,Factory_PO!$E$2:$E$61,0))="","",INDEX(Factory_PO!$C$2:$C$61,MATCH(B56&amp;"|"&amp;C56,Factory_PO!$E$2:$E$61,0))),"")</f>
        <v>958</v>
      </c>
      <c r="T56" s="17">
        <f t="shared" si="21"/>
        <v>958</v>
      </c>
      <c r="U56">
        <f>IFERROR(IF(INDEX(Factory_PO!$D$2:$D$61,MATCH(B56&amp;"|"&amp;C56,Factory_PO!$E$2:$E$61,0))="","",INDEX(Factory_PO!$D$2:$D$61,MATCH(B56&amp;"|"&amp;C56,Factory_PO!$E$2:$E$61,0))),"")</f>
        <v>766</v>
      </c>
      <c r="V56" s="17">
        <f t="shared" si="22"/>
        <v>766</v>
      </c>
      <c r="W56">
        <f t="shared" si="23"/>
        <v>1</v>
      </c>
      <c r="X56" t="str">
        <f t="shared" si="24"/>
        <v>Complete</v>
      </c>
      <c r="Y56">
        <f t="shared" si="25"/>
        <v>1</v>
      </c>
      <c r="Z56" s="10">
        <f t="shared" si="26"/>
        <v>-0.28903394264586063</v>
      </c>
      <c r="AA56" s="18">
        <f t="shared" si="27"/>
        <v>-0.28903394264586063</v>
      </c>
      <c r="AB56" t="s">
        <v>1365</v>
      </c>
    </row>
    <row r="57" spans="1:28" ht="15" customHeight="1" x14ac:dyDescent="0.25">
      <c r="A57" t="s">
        <v>6</v>
      </c>
      <c r="B57" t="s">
        <v>67</v>
      </c>
      <c r="C57">
        <v>6</v>
      </c>
      <c r="D57" t="str">
        <f t="shared" si="14"/>
        <v>S5|6</v>
      </c>
      <c r="E57" t="str">
        <f>UPPER(MID(INDEX(raw_comp_PTA!$C$2:$C$81,MATCH(D57,raw_comp_PTA!$J$2:$J$81,0)),5,2))</f>
        <v>RD</v>
      </c>
      <c r="F57" s="3">
        <f>_xlfn.MINIFS(raw_outputtable!$J$2:$J$816,raw_outputtable!$A$2:$A$816,A57,raw_outputtable!$B$2:$B$816,C57)</f>
        <v>299.99999995110556</v>
      </c>
      <c r="G57" s="3">
        <f>_xlfn.MAXIFS(raw_outputtable!$K$2:$K$816,raw_outputtable!$A$2:$A$816,A57,raw_outputtable!$B$2:$B$816,C57)</f>
        <v>1591.5333333634771</v>
      </c>
      <c r="H57" s="3">
        <f t="shared" si="15"/>
        <v>1291.5333334123716</v>
      </c>
      <c r="I57" s="16">
        <f t="shared" si="16"/>
        <v>1291.5333334123716</v>
      </c>
      <c r="J57" s="3">
        <f>INDEX(raw_comp_PTA!$H$2:$H$81,MATCH(D57,raw_comp_PTA!$J$2:$J$81,0))</f>
        <v>516.1</v>
      </c>
      <c r="K57" s="16">
        <f t="shared" si="17"/>
        <v>516.1</v>
      </c>
      <c r="L57" s="3">
        <f>SUMIFS(raw_comp_PTA_stations!$E$2:$E$461,raw_comp_PTA_stations!$A$2:$A$461,A57,raw_comp_PTA_stations!$B$2:$B$461,C57,raw_comp_PTA_stations!$C$2:$C$461,"ws*")</f>
        <v>737.83</v>
      </c>
      <c r="M57" s="16">
        <f t="shared" si="18"/>
        <v>737.83</v>
      </c>
      <c r="N57" s="3">
        <f>INDEX(raw_comp_PTA!$G$2:$G$81,MATCH(D57,raw_comp_PTA!$J$2:$J$81,0))</f>
        <v>1256.53</v>
      </c>
      <c r="O57" s="16">
        <f t="shared" si="19"/>
        <v>1256.53</v>
      </c>
      <c r="P57">
        <f>COUNTIFS(raw_outputtable!$A$2:$A$816,A57,raw_outputtable!$B$2:$B$816,C57)</f>
        <v>8</v>
      </c>
      <c r="Q57">
        <f>INDEX(raw_casetable!$F$2:$F$81,MATCH(D57,raw_casetable!$G$2:$G$81,0))</f>
        <v>8</v>
      </c>
      <c r="R57">
        <f t="shared" si="20"/>
        <v>1</v>
      </c>
      <c r="S57">
        <f>IFERROR(IF(INDEX(Factory_PO!$C$2:$C$61,MATCH(B57&amp;"|"&amp;C57,Factory_PO!$E$2:$E$61,0))="","",INDEX(Factory_PO!$C$2:$C$61,MATCH(B57&amp;"|"&amp;C57,Factory_PO!$E$2:$E$61,0))),"")</f>
        <v>524</v>
      </c>
      <c r="T57" s="17">
        <f t="shared" si="21"/>
        <v>524</v>
      </c>
      <c r="U57">
        <f>IFERROR(IF(INDEX(Factory_PO!$D$2:$D$61,MATCH(B57&amp;"|"&amp;C57,Factory_PO!$E$2:$E$61,0))="","",INDEX(Factory_PO!$D$2:$D$61,MATCH(B57&amp;"|"&amp;C57,Factory_PO!$E$2:$E$61,0))),"")</f>
        <v>812</v>
      </c>
      <c r="V57" s="17">
        <f t="shared" si="22"/>
        <v>812</v>
      </c>
      <c r="W57">
        <f t="shared" si="23"/>
        <v>1</v>
      </c>
      <c r="X57" t="str">
        <f t="shared" si="24"/>
        <v>Complete</v>
      </c>
      <c r="Y57">
        <f t="shared" si="25"/>
        <v>1</v>
      </c>
      <c r="Z57" s="10">
        <f t="shared" si="26"/>
        <v>0.59055829237976798</v>
      </c>
      <c r="AA57" s="18">
        <f t="shared" si="27"/>
        <v>0.59055829237976798</v>
      </c>
      <c r="AB57" t="s">
        <v>1365</v>
      </c>
    </row>
    <row r="58" spans="1:28" ht="15" customHeight="1" x14ac:dyDescent="0.25">
      <c r="A58" t="s">
        <v>6</v>
      </c>
      <c r="B58" t="s">
        <v>67</v>
      </c>
      <c r="C58">
        <v>7</v>
      </c>
      <c r="D58" t="str">
        <f t="shared" si="14"/>
        <v>S5|7</v>
      </c>
      <c r="E58" t="str">
        <f>UPPER(MID(INDEX(raw_comp_PTA!$C$2:$C$81,MATCH(D58,raw_comp_PTA!$J$2:$J$81,0)),5,2))</f>
        <v>HD</v>
      </c>
      <c r="F58" s="3">
        <f>_xlfn.MINIFS(raw_outputtable!$J$2:$J$816,raw_outputtable!$A$2:$A$816,A58,raw_outputtable!$B$2:$B$816,C58)</f>
        <v>420.00000004889444</v>
      </c>
      <c r="G58" s="3">
        <f>_xlfn.MAXIFS(raw_outputtable!$K$2:$K$816,raw_outputtable!$A$2:$A$816,A58,raw_outputtable!$B$2:$B$816,C58)</f>
        <v>1563.0666667164769</v>
      </c>
      <c r="H58" s="3">
        <f t="shared" si="15"/>
        <v>1143.0666666675825</v>
      </c>
      <c r="I58" s="16">
        <f t="shared" si="16"/>
        <v>1143.0666666675825</v>
      </c>
      <c r="J58" s="3">
        <f>INDEX(raw_comp_PTA!$H$2:$H$81,MATCH(D58,raw_comp_PTA!$J$2:$J$81,0))</f>
        <v>997.3</v>
      </c>
      <c r="K58" s="16">
        <f t="shared" si="17"/>
        <v>997.3</v>
      </c>
      <c r="L58" s="3">
        <f>SUMIFS(raw_comp_PTA_stations!$E$2:$E$461,raw_comp_PTA_stations!$A$2:$A$461,A58,raw_comp_PTA_stations!$B$2:$B$461,C58,raw_comp_PTA_stations!$C$2:$C$461,"ws*")</f>
        <v>105.9</v>
      </c>
      <c r="M58" s="16">
        <f t="shared" si="18"/>
        <v>105.9</v>
      </c>
      <c r="N58" s="3">
        <f>INDEX(raw_comp_PTA!$G$2:$G$81,MATCH(D58,raw_comp_PTA!$J$2:$J$81,0))</f>
        <v>1108.07</v>
      </c>
      <c r="O58" s="16">
        <f t="shared" si="19"/>
        <v>1108.07</v>
      </c>
      <c r="P58">
        <f>COUNTIFS(raw_outputtable!$A$2:$A$816,A58,raw_outputtable!$B$2:$B$816,C58)</f>
        <v>14</v>
      </c>
      <c r="Q58">
        <f>INDEX(raw_casetable!$F$2:$F$81,MATCH(D58,raw_casetable!$G$2:$G$81,0))</f>
        <v>14</v>
      </c>
      <c r="R58">
        <f t="shared" si="20"/>
        <v>1</v>
      </c>
      <c r="S58">
        <f>IFERROR(IF(INDEX(Factory_PO!$C$2:$C$61,MATCH(B58&amp;"|"&amp;C58,Factory_PO!$E$2:$E$61,0))="","",INDEX(Factory_PO!$C$2:$C$61,MATCH(B58&amp;"|"&amp;C58,Factory_PO!$E$2:$E$61,0))),"")</f>
        <v>762</v>
      </c>
      <c r="T58" s="17">
        <f t="shared" si="21"/>
        <v>762</v>
      </c>
      <c r="U58">
        <f>IFERROR(IF(INDEX(Factory_PO!$D$2:$D$61,MATCH(B58&amp;"|"&amp;C58,Factory_PO!$E$2:$E$61,0))="","",INDEX(Factory_PO!$D$2:$D$61,MATCH(B58&amp;"|"&amp;C58,Factory_PO!$E$2:$E$61,0))),"")</f>
        <v>1097</v>
      </c>
      <c r="V58" s="17">
        <f t="shared" si="22"/>
        <v>1097</v>
      </c>
      <c r="W58">
        <f t="shared" si="23"/>
        <v>1</v>
      </c>
      <c r="X58" t="str">
        <f t="shared" si="24"/>
        <v>Complete</v>
      </c>
      <c r="Y58">
        <f t="shared" si="25"/>
        <v>1</v>
      </c>
      <c r="Z58" s="10">
        <f t="shared" si="26"/>
        <v>4.199331510262759E-2</v>
      </c>
      <c r="AA58" s="18">
        <f t="shared" si="27"/>
        <v>4.199331510262759E-2</v>
      </c>
      <c r="AB58" t="s">
        <v>1365</v>
      </c>
    </row>
    <row r="59" spans="1:28" ht="15" customHeight="1" x14ac:dyDescent="0.25">
      <c r="A59" t="s">
        <v>6</v>
      </c>
      <c r="B59" t="s">
        <v>67</v>
      </c>
      <c r="C59">
        <v>8</v>
      </c>
      <c r="D59" t="str">
        <f t="shared" si="14"/>
        <v>S5|8</v>
      </c>
      <c r="E59" t="str">
        <f>UPPER(MID(INDEX(raw_comp_PTA!$C$2:$C$81,MATCH(D59,raw_comp_PTA!$J$2:$J$81,0)),5,2))</f>
        <v>RD</v>
      </c>
      <c r="F59" s="3">
        <f>_xlfn.MINIFS(raw_outputtable!$J$2:$J$816,raw_outputtable!$A$2:$A$816,A59,raw_outputtable!$B$2:$B$816,C59)</f>
        <v>420.00000004889444</v>
      </c>
      <c r="G59" s="3">
        <f>_xlfn.MAXIFS(raw_outputtable!$K$2:$K$816,raw_outputtable!$A$2:$A$816,A59,raw_outputtable!$B$2:$B$816,C59)</f>
        <v>1711.5333333145827</v>
      </c>
      <c r="H59" s="3">
        <f t="shared" si="15"/>
        <v>1291.5333332656883</v>
      </c>
      <c r="I59" s="16">
        <f t="shared" si="16"/>
        <v>1291.5333332656883</v>
      </c>
      <c r="J59" s="3">
        <f>INDEX(raw_comp_PTA!$H$2:$H$81,MATCH(D59,raw_comp_PTA!$J$2:$J$81,0))</f>
        <v>516.1</v>
      </c>
      <c r="K59" s="16">
        <f t="shared" si="17"/>
        <v>516.1</v>
      </c>
      <c r="L59" s="3">
        <f>SUMIFS(raw_comp_PTA_stations!$E$2:$E$461,raw_comp_PTA_stations!$A$2:$A$461,A59,raw_comp_PTA_stations!$B$2:$B$461,C59,raw_comp_PTA_stations!$C$2:$C$461,"ws*")</f>
        <v>704.6</v>
      </c>
      <c r="M59" s="16">
        <f t="shared" si="18"/>
        <v>704.6</v>
      </c>
      <c r="N59" s="3">
        <f>INDEX(raw_comp_PTA!$G$2:$G$81,MATCH(D59,raw_comp_PTA!$J$2:$J$81,0))</f>
        <v>1223.3</v>
      </c>
      <c r="O59" s="16">
        <f t="shared" si="19"/>
        <v>1223.3</v>
      </c>
      <c r="P59">
        <f>COUNTIFS(raw_outputtable!$A$2:$A$816,A59,raw_outputtable!$B$2:$B$816,C59)</f>
        <v>8</v>
      </c>
      <c r="Q59">
        <f>INDEX(raw_casetable!$F$2:$F$81,MATCH(D59,raw_casetable!$G$2:$G$81,0))</f>
        <v>8</v>
      </c>
      <c r="R59">
        <f t="shared" si="20"/>
        <v>1</v>
      </c>
      <c r="S59">
        <f>IFERROR(IF(INDEX(Factory_PO!$C$2:$C$61,MATCH(B59&amp;"|"&amp;C59,Factory_PO!$E$2:$E$61,0))="","",INDEX(Factory_PO!$C$2:$C$61,MATCH(B59&amp;"|"&amp;C59,Factory_PO!$E$2:$E$61,0))),"")</f>
        <v>405</v>
      </c>
      <c r="T59" s="17">
        <f t="shared" si="21"/>
        <v>405</v>
      </c>
      <c r="U59">
        <f>IFERROR(IF(INDEX(Factory_PO!$D$2:$D$61,MATCH(B59&amp;"|"&amp;C59,Factory_PO!$E$2:$E$61,0))="","",INDEX(Factory_PO!$D$2:$D$61,MATCH(B59&amp;"|"&amp;C59,Factory_PO!$E$2:$E$61,0))),"")</f>
        <v>947</v>
      </c>
      <c r="V59" s="17">
        <f t="shared" si="22"/>
        <v>947</v>
      </c>
      <c r="W59">
        <f t="shared" si="23"/>
        <v>1</v>
      </c>
      <c r="X59" t="str">
        <f t="shared" si="24"/>
        <v>Complete</v>
      </c>
      <c r="Y59">
        <f t="shared" si="25"/>
        <v>1</v>
      </c>
      <c r="Z59" s="10">
        <f t="shared" si="26"/>
        <v>0.36381555783071623</v>
      </c>
      <c r="AA59" s="18">
        <f t="shared" si="27"/>
        <v>0.36381555783071623</v>
      </c>
      <c r="AB59" t="s">
        <v>1365</v>
      </c>
    </row>
    <row r="60" spans="1:28" ht="15" customHeight="1" x14ac:dyDescent="0.25">
      <c r="A60" t="s">
        <v>6</v>
      </c>
      <c r="B60" t="s">
        <v>67</v>
      </c>
      <c r="C60">
        <v>9</v>
      </c>
      <c r="D60" t="str">
        <f t="shared" si="14"/>
        <v>S5|9</v>
      </c>
      <c r="E60" t="str">
        <f>UPPER(MID(INDEX(raw_comp_PTA!$C$2:$C$81,MATCH(D60,raw_comp_PTA!$J$2:$J$81,0)),5,2))</f>
        <v>HD</v>
      </c>
      <c r="F60" s="3">
        <f>_xlfn.MINIFS(raw_outputtable!$J$2:$J$816,raw_outputtable!$A$2:$A$816,A60,raw_outputtable!$B$2:$B$816,C60)</f>
        <v>540</v>
      </c>
      <c r="G60" s="3">
        <f>_xlfn.MAXIFS(raw_outputtable!$K$2:$K$816,raw_outputtable!$A$2:$A$816,A60,raw_outputtable!$B$2:$B$816,C60)</f>
        <v>2251.5333333145827</v>
      </c>
      <c r="H60" s="3">
        <f t="shared" si="15"/>
        <v>1711.5333333145827</v>
      </c>
      <c r="I60" s="16">
        <f t="shared" si="16"/>
        <v>1711.5333333145827</v>
      </c>
      <c r="J60" s="3">
        <f>INDEX(raw_comp_PTA!$H$2:$H$81,MATCH(D60,raw_comp_PTA!$J$2:$J$81,0))</f>
        <v>997.3</v>
      </c>
      <c r="K60" s="16">
        <f t="shared" si="17"/>
        <v>997.3</v>
      </c>
      <c r="L60" s="3">
        <f>SUMIFS(raw_comp_PTA_stations!$E$2:$E$461,raw_comp_PTA_stations!$A$2:$A$461,A60,raw_comp_PTA_stations!$B$2:$B$461,C60,raw_comp_PTA_stations!$C$2:$C$461,"ws*")</f>
        <v>675.9</v>
      </c>
      <c r="M60" s="16">
        <f t="shared" si="18"/>
        <v>675.9</v>
      </c>
      <c r="N60" s="3">
        <f>INDEX(raw_comp_PTA!$G$2:$G$81,MATCH(D60,raw_comp_PTA!$J$2:$J$81,0))</f>
        <v>1676.53</v>
      </c>
      <c r="O60" s="16">
        <f t="shared" si="19"/>
        <v>1676.53</v>
      </c>
      <c r="P60">
        <f>COUNTIFS(raw_outputtable!$A$2:$A$816,A60,raw_outputtable!$B$2:$B$816,C60)</f>
        <v>14</v>
      </c>
      <c r="Q60">
        <f>INDEX(raw_casetable!$F$2:$F$81,MATCH(D60,raw_casetable!$G$2:$G$81,0))</f>
        <v>14</v>
      </c>
      <c r="R60">
        <f t="shared" si="20"/>
        <v>1</v>
      </c>
      <c r="S60">
        <f>IFERROR(IF(INDEX(Factory_PO!$C$2:$C$61,MATCH(B60&amp;"|"&amp;C60,Factory_PO!$E$2:$E$61,0))="","",INDEX(Factory_PO!$C$2:$C$61,MATCH(B60&amp;"|"&amp;C60,Factory_PO!$E$2:$E$61,0))),"")</f>
        <v>1137</v>
      </c>
      <c r="T60" s="17">
        <f t="shared" si="21"/>
        <v>1137</v>
      </c>
      <c r="U60">
        <f>IFERROR(IF(INDEX(Factory_PO!$D$2:$D$61,MATCH(B60&amp;"|"&amp;C60,Factory_PO!$E$2:$E$61,0))="","",INDEX(Factory_PO!$D$2:$D$61,MATCH(B60&amp;"|"&amp;C60,Factory_PO!$E$2:$E$61,0))),"")</f>
        <v>1456</v>
      </c>
      <c r="V60" s="17">
        <f t="shared" si="22"/>
        <v>1456</v>
      </c>
      <c r="W60">
        <f t="shared" si="23"/>
        <v>1</v>
      </c>
      <c r="X60" t="str">
        <f t="shared" si="24"/>
        <v>Complete</v>
      </c>
      <c r="Y60">
        <f t="shared" si="25"/>
        <v>1</v>
      </c>
      <c r="Z60" s="10">
        <f t="shared" si="26"/>
        <v>0.17550366299078482</v>
      </c>
      <c r="AA60" s="18">
        <f t="shared" si="27"/>
        <v>0.17550366299078482</v>
      </c>
      <c r="AB60" t="s">
        <v>1365</v>
      </c>
    </row>
    <row r="61" spans="1:28" ht="15" customHeight="1" x14ac:dyDescent="0.25">
      <c r="A61" t="s">
        <v>6</v>
      </c>
      <c r="B61" t="s">
        <v>67</v>
      </c>
      <c r="C61">
        <v>10</v>
      </c>
      <c r="D61" t="str">
        <f t="shared" si="14"/>
        <v>S5|10</v>
      </c>
      <c r="E61" t="str">
        <f>UPPER(MID(INDEX(raw_comp_PTA!$C$2:$C$81,MATCH(D61,raw_comp_PTA!$J$2:$J$81,0)),5,2))</f>
        <v>HD</v>
      </c>
      <c r="F61" s="3">
        <f>_xlfn.MINIFS(raw_outputtable!$J$2:$J$816,raw_outputtable!$A$2:$A$816,A61,raw_outputtable!$B$2:$B$816,C61)</f>
        <v>600.00000004889444</v>
      </c>
      <c r="G61" s="3">
        <f>_xlfn.MAXIFS(raw_outputtable!$K$2:$K$816,raw_outputtable!$A$2:$A$816,A61,raw_outputtable!$B$2:$B$816,C61)</f>
        <v>1771.5333333634771</v>
      </c>
      <c r="H61" s="3">
        <f t="shared" si="15"/>
        <v>1171.5333333145827</v>
      </c>
      <c r="I61" s="16">
        <f t="shared" si="16"/>
        <v>1171.5333333145827</v>
      </c>
      <c r="J61" s="3">
        <f>INDEX(raw_comp_PTA!$H$2:$H$81,MATCH(D61,raw_comp_PTA!$J$2:$J$81,0))</f>
        <v>997.3</v>
      </c>
      <c r="K61" s="16">
        <f t="shared" si="17"/>
        <v>997.3</v>
      </c>
      <c r="L61" s="3">
        <f>SUMIFS(raw_comp_PTA_stations!$E$2:$E$461,raw_comp_PTA_stations!$A$2:$A$461,A61,raw_comp_PTA_stations!$B$2:$B$461,C61,raw_comp_PTA_stations!$C$2:$C$461,"ws*")</f>
        <v>136.63</v>
      </c>
      <c r="M61" s="16">
        <f t="shared" si="18"/>
        <v>136.63</v>
      </c>
      <c r="N61" s="3">
        <f>INDEX(raw_comp_PTA!$G$2:$G$81,MATCH(D61,raw_comp_PTA!$J$2:$J$81,0))</f>
        <v>1138.06</v>
      </c>
      <c r="O61" s="16">
        <f t="shared" si="19"/>
        <v>1138.06</v>
      </c>
      <c r="P61">
        <f>COUNTIFS(raw_outputtable!$A$2:$A$816,A61,raw_outputtable!$B$2:$B$816,C61)</f>
        <v>14</v>
      </c>
      <c r="Q61">
        <f>INDEX(raw_casetable!$F$2:$F$81,MATCH(D61,raw_casetable!$G$2:$G$81,0))</f>
        <v>14</v>
      </c>
      <c r="R61">
        <f t="shared" si="20"/>
        <v>1</v>
      </c>
      <c r="S61">
        <f>IFERROR(IF(INDEX(Factory_PO!$C$2:$C$61,MATCH(B61&amp;"|"&amp;C61,Factory_PO!$E$2:$E$61,0))="","",INDEX(Factory_PO!$C$2:$C$61,MATCH(B61&amp;"|"&amp;C61,Factory_PO!$E$2:$E$61,0))),"")</f>
        <v>915</v>
      </c>
      <c r="T61" s="17">
        <f t="shared" si="21"/>
        <v>915</v>
      </c>
      <c r="U61">
        <f>IFERROR(IF(INDEX(Factory_PO!$D$2:$D$61,MATCH(B61&amp;"|"&amp;C61,Factory_PO!$E$2:$E$61,0))="","",INDEX(Factory_PO!$D$2:$D$61,MATCH(B61&amp;"|"&amp;C61,Factory_PO!$E$2:$E$61,0))),"")</f>
        <v>1456</v>
      </c>
      <c r="V61" s="17">
        <f t="shared" si="22"/>
        <v>1456</v>
      </c>
      <c r="W61">
        <f t="shared" si="23"/>
        <v>1</v>
      </c>
      <c r="X61" t="str">
        <f t="shared" si="24"/>
        <v>Complete</v>
      </c>
      <c r="Y61">
        <f t="shared" si="25"/>
        <v>1</v>
      </c>
      <c r="Z61" s="10">
        <f t="shared" si="26"/>
        <v>-0.19537545788833605</v>
      </c>
      <c r="AA61" s="18">
        <f t="shared" si="27"/>
        <v>-0.19537545788833605</v>
      </c>
      <c r="AB61" t="s">
        <v>1365</v>
      </c>
    </row>
    <row r="62" spans="1:28" ht="15" customHeight="1" x14ac:dyDescent="0.25">
      <c r="A62" t="s">
        <v>7</v>
      </c>
      <c r="B62" t="s">
        <v>69</v>
      </c>
      <c r="C62">
        <v>1</v>
      </c>
      <c r="D62" t="str">
        <f t="shared" si="14"/>
        <v>S6|1</v>
      </c>
      <c r="E62" t="str">
        <f>UPPER(MID(INDEX(raw_comp_PTA!$C$2:$C$81,MATCH(D62,raw_comp_PTA!$J$2:$J$81,0)),5,2))</f>
        <v>SA</v>
      </c>
      <c r="F62" s="3">
        <f>_xlfn.MINIFS(raw_outputtable!$J$2:$J$816,raw_outputtable!$A$2:$A$816,A62,raw_outputtable!$B$2:$B$816,C62)</f>
        <v>0</v>
      </c>
      <c r="G62" s="3">
        <f>_xlfn.MAXIFS(raw_outputtable!$K$2:$K$816,raw_outputtable!$A$2:$A$816,A62,raw_outputtable!$B$2:$B$816,C62)</f>
        <v>666.46666670450941</v>
      </c>
      <c r="H62" s="3">
        <f t="shared" si="15"/>
        <v>666.46666670450941</v>
      </c>
      <c r="I62" s="16">
        <f t="shared" si="16"/>
        <v>666.46666670450941</v>
      </c>
      <c r="J62" s="3">
        <f>INDEX(raw_comp_PTA!$H$2:$H$81,MATCH(D62,raw_comp_PTA!$J$2:$J$81,0))</f>
        <v>582.1</v>
      </c>
      <c r="K62" s="16">
        <f t="shared" si="17"/>
        <v>582.1</v>
      </c>
      <c r="L62" s="3">
        <f>SUMIFS(raw_comp_PTA_stations!$E$2:$E$461,raw_comp_PTA_stations!$A$2:$A$461,A62,raw_comp_PTA_stations!$B$2:$B$461,C62,raw_comp_PTA_stations!$C$2:$C$461,"ws*")</f>
        <v>43.3</v>
      </c>
      <c r="M62" s="16">
        <f t="shared" si="18"/>
        <v>43.3</v>
      </c>
      <c r="N62" s="3">
        <f>INDEX(raw_comp_PTA!$G$2:$G$81,MATCH(D62,raw_comp_PTA!$J$2:$J$81,0))</f>
        <v>636.27</v>
      </c>
      <c r="O62" s="16">
        <f t="shared" si="19"/>
        <v>636.27</v>
      </c>
      <c r="P62">
        <f>COUNTIFS(raw_outputtable!$A$2:$A$816,A62,raw_outputtable!$B$2:$B$816,C62)</f>
        <v>9</v>
      </c>
      <c r="Q62">
        <f>INDEX(raw_casetable!$F$2:$F$81,MATCH(D62,raw_casetable!$G$2:$G$81,0))</f>
        <v>9</v>
      </c>
      <c r="R62">
        <f t="shared" si="20"/>
        <v>1</v>
      </c>
      <c r="S62">
        <f>IFERROR(IF(INDEX(Factory_PO!$C$2:$C$61,MATCH(B62&amp;"|"&amp;C62,Factory_PO!$E$2:$E$61,0))="","",INDEX(Factory_PO!$C$2:$C$61,MATCH(B62&amp;"|"&amp;C62,Factory_PO!$E$2:$E$61,0))),"")</f>
        <v>435</v>
      </c>
      <c r="T62" s="17">
        <f t="shared" si="21"/>
        <v>435</v>
      </c>
      <c r="U62">
        <f>IFERROR(IF(INDEX(Factory_PO!$D$2:$D$61,MATCH(B62&amp;"|"&amp;C62,Factory_PO!$E$2:$E$61,0))="","",INDEX(Factory_PO!$D$2:$D$61,MATCH(B62&amp;"|"&amp;C62,Factory_PO!$E$2:$E$61,0))),"")</f>
        <v>691</v>
      </c>
      <c r="V62" s="17">
        <f t="shared" si="22"/>
        <v>691</v>
      </c>
      <c r="W62">
        <f t="shared" si="23"/>
        <v>1</v>
      </c>
      <c r="X62" t="str">
        <f t="shared" si="24"/>
        <v>Complete</v>
      </c>
      <c r="Y62">
        <f t="shared" si="25"/>
        <v>1</v>
      </c>
      <c r="Z62" s="10">
        <f t="shared" si="26"/>
        <v>-3.5504100282909686E-2</v>
      </c>
      <c r="AA62" s="18">
        <f t="shared" si="27"/>
        <v>-3.5504100282909686E-2</v>
      </c>
      <c r="AB62" t="s">
        <v>1426</v>
      </c>
    </row>
    <row r="63" spans="1:28" ht="15" customHeight="1" x14ac:dyDescent="0.25">
      <c r="A63" t="s">
        <v>7</v>
      </c>
      <c r="B63" t="s">
        <v>69</v>
      </c>
      <c r="C63">
        <v>2</v>
      </c>
      <c r="D63" t="str">
        <f t="shared" si="14"/>
        <v>S6|2</v>
      </c>
      <c r="E63" t="str">
        <f>UPPER(MID(INDEX(raw_comp_PTA!$C$2:$C$81,MATCH(D63,raw_comp_PTA!$J$2:$J$81,0)),5,2))</f>
        <v>RD</v>
      </c>
      <c r="F63" s="3">
        <f>_xlfn.MINIFS(raw_outputtable!$J$2:$J$816,raw_outputtable!$A$2:$A$816,A63,raw_outputtable!$B$2:$B$816,C63)</f>
        <v>90</v>
      </c>
      <c r="G63" s="3">
        <f>_xlfn.MAXIFS(raw_outputtable!$K$2:$K$816,raw_outputtable!$A$2:$A$816,A63,raw_outputtable!$B$2:$B$816,C63)</f>
        <v>843.0666667164769</v>
      </c>
      <c r="H63" s="3">
        <f t="shared" si="15"/>
        <v>753.0666667164769</v>
      </c>
      <c r="I63" s="16">
        <f t="shared" si="16"/>
        <v>753.0666667164769</v>
      </c>
      <c r="J63" s="3">
        <f>INDEX(raw_comp_PTA!$H$2:$H$81,MATCH(D63,raw_comp_PTA!$J$2:$J$81,0))</f>
        <v>510.1</v>
      </c>
      <c r="K63" s="16">
        <f t="shared" si="17"/>
        <v>510.1</v>
      </c>
      <c r="L63" s="3">
        <f>SUMIFS(raw_comp_PTA_stations!$E$2:$E$461,raw_comp_PTA_stations!$A$2:$A$461,A63,raw_comp_PTA_stations!$B$2:$B$461,C63,raw_comp_PTA_stations!$C$2:$C$461,"ws*")</f>
        <v>198.73000000000002</v>
      </c>
      <c r="M63" s="16">
        <f t="shared" si="18"/>
        <v>198.73000000000002</v>
      </c>
      <c r="N63" s="3">
        <f>INDEX(raw_comp_PTA!$G$2:$G$81,MATCH(D63,raw_comp_PTA!$J$2:$J$81,0))</f>
        <v>720.27</v>
      </c>
      <c r="O63" s="16">
        <f t="shared" si="19"/>
        <v>720.27</v>
      </c>
      <c r="P63">
        <f>COUNTIFS(raw_outputtable!$A$2:$A$816,A63,raw_outputtable!$B$2:$B$816,C63)</f>
        <v>8</v>
      </c>
      <c r="Q63">
        <f>INDEX(raw_casetable!$F$2:$F$81,MATCH(D63,raw_casetable!$G$2:$G$81,0))</f>
        <v>8</v>
      </c>
      <c r="R63">
        <f t="shared" si="20"/>
        <v>1</v>
      </c>
      <c r="S63">
        <f>IFERROR(IF(INDEX(Factory_PO!$C$2:$C$61,MATCH(B63&amp;"|"&amp;C63,Factory_PO!$E$2:$E$61,0))="","",INDEX(Factory_PO!$C$2:$C$61,MATCH(B63&amp;"|"&amp;C63,Factory_PO!$E$2:$E$61,0))),"")</f>
        <v>708</v>
      </c>
      <c r="T63" s="17">
        <f t="shared" si="21"/>
        <v>708</v>
      </c>
      <c r="U63">
        <f>IFERROR(IF(INDEX(Factory_PO!$D$2:$D$61,MATCH(B63&amp;"|"&amp;C63,Factory_PO!$E$2:$E$61,0))="","",INDEX(Factory_PO!$D$2:$D$61,MATCH(B63&amp;"|"&amp;C63,Factory_PO!$E$2:$E$61,0))),"")</f>
        <v>737</v>
      </c>
      <c r="V63" s="17">
        <f t="shared" si="22"/>
        <v>737</v>
      </c>
      <c r="W63">
        <f t="shared" si="23"/>
        <v>1</v>
      </c>
      <c r="X63" t="str">
        <f t="shared" si="24"/>
        <v>Complete</v>
      </c>
      <c r="Y63">
        <f t="shared" si="25"/>
        <v>1</v>
      </c>
      <c r="Z63" s="10">
        <f t="shared" si="26"/>
        <v>2.1800090524391996E-2</v>
      </c>
      <c r="AA63" s="18">
        <f t="shared" si="27"/>
        <v>2.1800090524391996E-2</v>
      </c>
      <c r="AB63" t="s">
        <v>1426</v>
      </c>
    </row>
    <row r="64" spans="1:28" ht="15" customHeight="1" x14ac:dyDescent="0.25">
      <c r="A64" t="s">
        <v>7</v>
      </c>
      <c r="B64" t="s">
        <v>69</v>
      </c>
      <c r="C64">
        <v>3</v>
      </c>
      <c r="D64" t="str">
        <f t="shared" si="14"/>
        <v>S6|3</v>
      </c>
      <c r="E64" t="str">
        <f>UPPER(MID(INDEX(raw_comp_PTA!$C$2:$C$81,MATCH(D64,raw_comp_PTA!$J$2:$J$81,0)),5,2))</f>
        <v>HD</v>
      </c>
      <c r="F64" s="3">
        <f>_xlfn.MINIFS(raw_outputtable!$J$2:$J$816,raw_outputtable!$A$2:$A$816,A64,raw_outputtable!$B$2:$B$816,C64)</f>
        <v>180</v>
      </c>
      <c r="G64" s="3">
        <f>_xlfn.MAXIFS(raw_outputtable!$K$2:$K$816,raw_outputtable!$A$2:$A$816,A64,raw_outputtable!$B$2:$B$816,C64)</f>
        <v>1593.0666666675825</v>
      </c>
      <c r="H64" s="3">
        <f t="shared" si="15"/>
        <v>1413.0666666675825</v>
      </c>
      <c r="I64" s="16">
        <f t="shared" si="16"/>
        <v>1413.0666666675825</v>
      </c>
      <c r="J64" s="3">
        <f>INDEX(raw_comp_PTA!$H$2:$H$81,MATCH(D64,raw_comp_PTA!$J$2:$J$81,0))</f>
        <v>1053.3</v>
      </c>
      <c r="K64" s="16">
        <f t="shared" si="17"/>
        <v>1053.3</v>
      </c>
      <c r="L64" s="3">
        <f>SUMIFS(raw_comp_PTA_stations!$E$2:$E$461,raw_comp_PTA_stations!$A$2:$A$461,A64,raw_comp_PTA_stations!$B$2:$B$461,C64,raw_comp_PTA_stations!$C$2:$C$461,"ws*")</f>
        <v>480.57</v>
      </c>
      <c r="M64" s="16">
        <f t="shared" si="18"/>
        <v>480.57</v>
      </c>
      <c r="N64" s="3">
        <f>INDEX(raw_comp_PTA!$G$2:$G$81,MATCH(D64,raw_comp_PTA!$J$2:$J$81,0))</f>
        <v>1376.2</v>
      </c>
      <c r="O64" s="16">
        <f t="shared" si="19"/>
        <v>1376.2</v>
      </c>
      <c r="P64">
        <f>COUNTIFS(raw_outputtable!$A$2:$A$816,A64,raw_outputtable!$B$2:$B$816,C64)</f>
        <v>14</v>
      </c>
      <c r="Q64">
        <f>INDEX(raw_casetable!$F$2:$F$81,MATCH(D64,raw_casetable!$G$2:$G$81,0))</f>
        <v>14</v>
      </c>
      <c r="R64">
        <f t="shared" si="20"/>
        <v>1</v>
      </c>
      <c r="S64">
        <f>IFERROR(IF(INDEX(Factory_PO!$C$2:$C$61,MATCH(B64&amp;"|"&amp;C64,Factory_PO!$E$2:$E$61,0))="","",INDEX(Factory_PO!$C$2:$C$61,MATCH(B64&amp;"|"&amp;C64,Factory_PO!$E$2:$E$61,0))),"")</f>
        <v>1102</v>
      </c>
      <c r="T64" s="17">
        <f t="shared" si="21"/>
        <v>1102</v>
      </c>
      <c r="U64">
        <f>IFERROR(IF(INDEX(Factory_PO!$D$2:$D$61,MATCH(B64&amp;"|"&amp;C64,Factory_PO!$E$2:$E$61,0))="","",INDEX(Factory_PO!$D$2:$D$61,MATCH(B64&amp;"|"&amp;C64,Factory_PO!$E$2:$E$61,0))),"")</f>
        <v>1397</v>
      </c>
      <c r="V64" s="17">
        <f t="shared" si="22"/>
        <v>1397</v>
      </c>
      <c r="W64">
        <f t="shared" si="23"/>
        <v>1</v>
      </c>
      <c r="X64" t="str">
        <f t="shared" si="24"/>
        <v>Complete</v>
      </c>
      <c r="Y64">
        <f t="shared" si="25"/>
        <v>1</v>
      </c>
      <c r="Z64" s="10">
        <f t="shared" si="26"/>
        <v>1.1500835123537915E-2</v>
      </c>
      <c r="AA64" s="18">
        <f t="shared" si="27"/>
        <v>1.1500835123537915E-2</v>
      </c>
      <c r="AB64" t="s">
        <v>1426</v>
      </c>
    </row>
    <row r="65" spans="1:28" ht="15" customHeight="1" x14ac:dyDescent="0.25">
      <c r="A65" t="s">
        <v>7</v>
      </c>
      <c r="B65" t="s">
        <v>69</v>
      </c>
      <c r="C65">
        <v>4</v>
      </c>
      <c r="D65" t="str">
        <f t="shared" si="14"/>
        <v>S6|4</v>
      </c>
      <c r="E65" t="str">
        <f>UPPER(MID(INDEX(raw_comp_PTA!$C$2:$C$81,MATCH(D65,raw_comp_PTA!$J$2:$J$81,0)),5,2))</f>
        <v>TL</v>
      </c>
      <c r="F65" s="3">
        <f>_xlfn.MINIFS(raw_outputtable!$J$2:$J$816,raw_outputtable!$A$2:$A$816,A65,raw_outputtable!$B$2:$B$816,C65)</f>
        <v>270</v>
      </c>
      <c r="G65" s="3">
        <f>_xlfn.MAXIFS(raw_outputtable!$K$2:$K$816,raw_outputtable!$A$2:$A$816,A65,raw_outputtable!$B$2:$B$816,C65)</f>
        <v>1381.5333332656883</v>
      </c>
      <c r="H65" s="3">
        <f t="shared" si="15"/>
        <v>1111.5333332656883</v>
      </c>
      <c r="I65" s="16">
        <f t="shared" si="16"/>
        <v>1111.5333332656883</v>
      </c>
      <c r="J65" s="3">
        <f>INDEX(raw_comp_PTA!$H$2:$H$81,MATCH(D65,raw_comp_PTA!$J$2:$J$81,0))</f>
        <v>436.1</v>
      </c>
      <c r="K65" s="16">
        <f t="shared" si="17"/>
        <v>436.1</v>
      </c>
      <c r="L65" s="3">
        <f>SUMIFS(raw_comp_PTA_stations!$E$2:$E$461,raw_comp_PTA_stations!$A$2:$A$461,A65,raw_comp_PTA_stations!$B$2:$B$461,C65,raw_comp_PTA_stations!$C$2:$C$461,"ws*")</f>
        <v>637.67000000000007</v>
      </c>
      <c r="M65" s="16">
        <f t="shared" si="18"/>
        <v>637.67000000000007</v>
      </c>
      <c r="N65" s="3">
        <f>INDEX(raw_comp_PTA!$G$2:$G$81,MATCH(D65,raw_comp_PTA!$J$2:$J$81,0))</f>
        <v>1078.06</v>
      </c>
      <c r="O65" s="16">
        <f t="shared" si="19"/>
        <v>1078.06</v>
      </c>
      <c r="P65">
        <f>COUNTIFS(raw_outputtable!$A$2:$A$816,A65,raw_outputtable!$B$2:$B$816,C65)</f>
        <v>8</v>
      </c>
      <c r="Q65">
        <f>INDEX(raw_casetable!$F$2:$F$81,MATCH(D65,raw_casetable!$G$2:$G$81,0))</f>
        <v>8</v>
      </c>
      <c r="R65">
        <f t="shared" si="20"/>
        <v>1</v>
      </c>
      <c r="S65">
        <f>IFERROR(IF(INDEX(Factory_PO!$C$2:$C$61,MATCH(B65&amp;"|"&amp;C65,Factory_PO!$E$2:$E$61,0))="","",INDEX(Factory_PO!$C$2:$C$61,MATCH(B65&amp;"|"&amp;C65,Factory_PO!$E$2:$E$61,0))),"")</f>
        <v>426</v>
      </c>
      <c r="T65" s="17">
        <f t="shared" si="21"/>
        <v>426</v>
      </c>
      <c r="U65">
        <f>IFERROR(IF(INDEX(Factory_PO!$D$2:$D$61,MATCH(B65&amp;"|"&amp;C65,Factory_PO!$E$2:$E$61,0))="","",INDEX(Factory_PO!$D$2:$D$61,MATCH(B65&amp;"|"&amp;C65,Factory_PO!$E$2:$E$61,0))),"")</f>
        <v>669</v>
      </c>
      <c r="V65" s="17">
        <f t="shared" si="22"/>
        <v>669</v>
      </c>
      <c r="W65">
        <f t="shared" si="23"/>
        <v>1</v>
      </c>
      <c r="X65" t="str">
        <f t="shared" si="24"/>
        <v>Complete</v>
      </c>
      <c r="Y65">
        <f t="shared" si="25"/>
        <v>1</v>
      </c>
      <c r="Z65" s="10">
        <f t="shared" si="26"/>
        <v>0.66148480308772539</v>
      </c>
      <c r="AA65" s="18">
        <f t="shared" si="27"/>
        <v>0.66148480308772539</v>
      </c>
      <c r="AB65" t="s">
        <v>1426</v>
      </c>
    </row>
    <row r="66" spans="1:28" ht="15" customHeight="1" x14ac:dyDescent="0.25">
      <c r="A66" t="s">
        <v>7</v>
      </c>
      <c r="B66" t="s">
        <v>69</v>
      </c>
      <c r="C66">
        <v>5</v>
      </c>
      <c r="D66" t="str">
        <f t="shared" ref="D66:D81" si="28">A66&amp;"|"&amp;C66</f>
        <v>S6|5</v>
      </c>
      <c r="E66" t="str">
        <f>UPPER(MID(INDEX(raw_comp_PTA!$C$2:$C$81,MATCH(D66,raw_comp_PTA!$J$2:$J$81,0)),5,2))</f>
        <v>SA</v>
      </c>
      <c r="F66" s="3">
        <f>_xlfn.MINIFS(raw_outputtable!$J$2:$J$816,raw_outputtable!$A$2:$A$816,A66,raw_outputtable!$B$2:$B$816,C66)</f>
        <v>360</v>
      </c>
      <c r="G66" s="3">
        <f>_xlfn.MAXIFS(raw_outputtable!$K$2:$K$816,raw_outputtable!$A$2:$A$816,A66,raw_outputtable!$B$2:$B$816,C66)</f>
        <v>1471.5333332656883</v>
      </c>
      <c r="H66" s="3">
        <f t="shared" ref="H66:H81" si="29">G66-F66</f>
        <v>1111.5333332656883</v>
      </c>
      <c r="I66" s="16">
        <f t="shared" ref="I66:I81" si="30">IF($Y66=1,H66,"DNF")</f>
        <v>1111.5333332656883</v>
      </c>
      <c r="J66" s="3">
        <f>INDEX(raw_comp_PTA!$H$2:$H$81,MATCH(D66,raw_comp_PTA!$J$2:$J$81,0))</f>
        <v>582.1</v>
      </c>
      <c r="K66" s="16">
        <f t="shared" ref="K66:K81" si="31">IF($Y66=1,J66,"DNF")</f>
        <v>582.1</v>
      </c>
      <c r="L66" s="3">
        <f>SUMIFS(raw_comp_PTA_stations!$E$2:$E$461,raw_comp_PTA_stations!$A$2:$A$461,A66,raw_comp_PTA_stations!$B$2:$B$461,C66,raw_comp_PTA_stations!$C$2:$C$461,"ws*")</f>
        <v>488.34000000000003</v>
      </c>
      <c r="M66" s="16">
        <f t="shared" ref="M66:M81" si="32">IF($Y66=1,L66,"DNF")</f>
        <v>488.34000000000003</v>
      </c>
      <c r="N66" s="3">
        <f>INDEX(raw_comp_PTA!$G$2:$G$81,MATCH(D66,raw_comp_PTA!$J$2:$J$81,0))</f>
        <v>1076.2</v>
      </c>
      <c r="O66" s="16">
        <f t="shared" ref="O66:O81" si="33">IF($Y66=1,N66,"DNF")</f>
        <v>1076.2</v>
      </c>
      <c r="P66">
        <f>COUNTIFS(raw_outputtable!$A$2:$A$816,A66,raw_outputtable!$B$2:$B$816,C66)</f>
        <v>9</v>
      </c>
      <c r="Q66">
        <f>INDEX(raw_casetable!$F$2:$F$81,MATCH(D66,raw_casetable!$G$2:$G$81,0))</f>
        <v>9</v>
      </c>
      <c r="R66">
        <f t="shared" ref="R66:R81" si="34">IF(P66&gt;=Q66,1,0)</f>
        <v>1</v>
      </c>
      <c r="S66">
        <f>IFERROR(IF(INDEX(Factory_PO!$C$2:$C$61,MATCH(B66&amp;"|"&amp;C66,Factory_PO!$E$2:$E$61,0))="","",INDEX(Factory_PO!$C$2:$C$61,MATCH(B66&amp;"|"&amp;C66,Factory_PO!$E$2:$E$61,0))),"")</f>
        <v>516</v>
      </c>
      <c r="T66" s="17">
        <f t="shared" ref="T66:T81" si="35">IF($Y66=1,S66,"DNF")</f>
        <v>516</v>
      </c>
      <c r="U66">
        <f>IFERROR(IF(INDEX(Factory_PO!$D$2:$D$61,MATCH(B66&amp;"|"&amp;C66,Factory_PO!$E$2:$E$61,0))="","",INDEX(Factory_PO!$D$2:$D$61,MATCH(B66&amp;"|"&amp;C66,Factory_PO!$E$2:$E$61,0))),"")</f>
        <v>1036</v>
      </c>
      <c r="V66" s="17">
        <f t="shared" ref="V66:V81" si="36">IF($Y66=1,U66,"DNF")</f>
        <v>1036</v>
      </c>
      <c r="W66">
        <f t="shared" ref="W66:W81" si="37">IF(U66="",0,1)</f>
        <v>1</v>
      </c>
      <c r="X66" t="str">
        <f t="shared" ref="X66:X81" si="38">IF(AND(R66=1,W66=1),"Complete",IF(AND(R66=0,W66=0),"DNF (sim + factory)",IF(R66=0,"DNF (sim)","DNF (factory)")))</f>
        <v>Complete</v>
      </c>
      <c r="Y66">
        <f t="shared" ref="Y66:Y81" si="39">IF(X66="Complete",1,0)</f>
        <v>1</v>
      </c>
      <c r="Z66" s="10">
        <f t="shared" ref="Z66:Z81" si="40">IF(U66="","",(H66-U66)/U66)</f>
        <v>7.2908622843328441E-2</v>
      </c>
      <c r="AA66" s="18">
        <f t="shared" ref="AA66:AA81" si="41">IF($Y66=1,Z66,"DNF")</f>
        <v>7.2908622843328441E-2</v>
      </c>
      <c r="AB66" t="s">
        <v>1426</v>
      </c>
    </row>
    <row r="67" spans="1:28" ht="15" customHeight="1" x14ac:dyDescent="0.25">
      <c r="A67" t="s">
        <v>7</v>
      </c>
      <c r="B67" t="s">
        <v>69</v>
      </c>
      <c r="C67">
        <v>6</v>
      </c>
      <c r="D67" t="str">
        <f t="shared" si="28"/>
        <v>S6|6</v>
      </c>
      <c r="E67" t="str">
        <f>UPPER(MID(INDEX(raw_comp_PTA!$C$2:$C$81,MATCH(D67,raw_comp_PTA!$J$2:$J$81,0)),5,2))</f>
        <v>HD</v>
      </c>
      <c r="F67" s="3">
        <f>_xlfn.MINIFS(raw_outputtable!$J$2:$J$816,raw_outputtable!$A$2:$A$816,A67,raw_outputtable!$B$2:$B$816,C67)</f>
        <v>450</v>
      </c>
      <c r="G67" s="3">
        <f>_xlfn.MAXIFS(raw_outputtable!$K$2:$K$816,raw_outputtable!$A$2:$A$816,A67,raw_outputtable!$B$2:$B$816,C67)</f>
        <v>2108.2666667061858</v>
      </c>
      <c r="H67" s="3">
        <f t="shared" si="29"/>
        <v>1658.2666667061858</v>
      </c>
      <c r="I67" s="16" t="str">
        <f t="shared" si="30"/>
        <v>DNF</v>
      </c>
      <c r="J67" s="3">
        <f>INDEX(raw_comp_PTA!$H$2:$H$81,MATCH(D67,raw_comp_PTA!$J$2:$J$81,0))</f>
        <v>784.2</v>
      </c>
      <c r="K67" s="16" t="str">
        <f t="shared" si="31"/>
        <v>DNF</v>
      </c>
      <c r="L67" s="3">
        <f>SUMIFS(raw_comp_PTA_stations!$E$2:$E$461,raw_comp_PTA_stations!$A$2:$A$461,A67,raw_comp_PTA_stations!$B$2:$B$461,C67,raw_comp_PTA_stations!$C$2:$C$461,"ws*")</f>
        <v>884.58</v>
      </c>
      <c r="M67" s="16" t="str">
        <f t="shared" si="32"/>
        <v>DNF</v>
      </c>
      <c r="N67" s="3">
        <f>INDEX(raw_comp_PTA!$G$2:$G$81,MATCH(D67,raw_comp_PTA!$J$2:$J$81,0))</f>
        <v>1626.34</v>
      </c>
      <c r="O67" s="16" t="str">
        <f t="shared" si="33"/>
        <v>DNF</v>
      </c>
      <c r="P67">
        <f>COUNTIFS(raw_outputtable!$A$2:$A$816,A67,raw_outputtable!$B$2:$B$816,C67)</f>
        <v>11</v>
      </c>
      <c r="Q67">
        <f>INDEX(raw_casetable!$F$2:$F$81,MATCH(D67,raw_casetable!$G$2:$G$81,0))</f>
        <v>14</v>
      </c>
      <c r="R67">
        <f t="shared" si="34"/>
        <v>0</v>
      </c>
      <c r="S67">
        <f>IFERROR(IF(INDEX(Factory_PO!$C$2:$C$61,MATCH(B67&amp;"|"&amp;C67,Factory_PO!$E$2:$E$61,0))="","",INDEX(Factory_PO!$C$2:$C$61,MATCH(B67&amp;"|"&amp;C67,Factory_PO!$E$2:$E$61,0))),"")</f>
        <v>889</v>
      </c>
      <c r="T67" s="17" t="str">
        <f t="shared" si="35"/>
        <v>DNF</v>
      </c>
      <c r="U67">
        <f>IFERROR(IF(INDEX(Factory_PO!$D$2:$D$61,MATCH(B67&amp;"|"&amp;C67,Factory_PO!$E$2:$E$61,0))="","",INDEX(Factory_PO!$D$2:$D$61,MATCH(B67&amp;"|"&amp;C67,Factory_PO!$E$2:$E$61,0))),"")</f>
        <v>1396</v>
      </c>
      <c r="V67" s="17" t="str">
        <f t="shared" si="36"/>
        <v>DNF</v>
      </c>
      <c r="W67">
        <f t="shared" si="37"/>
        <v>1</v>
      </c>
      <c r="X67" t="str">
        <f t="shared" si="38"/>
        <v>DNF (sim)</v>
      </c>
      <c r="Y67">
        <f t="shared" si="39"/>
        <v>0</v>
      </c>
      <c r="Z67" s="10">
        <f t="shared" si="40"/>
        <v>0.18787010509039095</v>
      </c>
      <c r="AA67" s="18" t="str">
        <f t="shared" si="41"/>
        <v>DNF</v>
      </c>
      <c r="AB67" t="s">
        <v>1426</v>
      </c>
    </row>
    <row r="68" spans="1:28" ht="15" customHeight="1" x14ac:dyDescent="0.25">
      <c r="A68" t="s">
        <v>7</v>
      </c>
      <c r="B68" t="s">
        <v>69</v>
      </c>
      <c r="C68">
        <v>7</v>
      </c>
      <c r="D68" t="str">
        <f t="shared" si="28"/>
        <v>S6|7</v>
      </c>
      <c r="E68" t="str">
        <f>UPPER(MID(INDEX(raw_comp_PTA!$C$2:$C$81,MATCH(D68,raw_comp_PTA!$J$2:$J$81,0)),5,2))</f>
        <v>RD</v>
      </c>
      <c r="F68" s="3">
        <f>_xlfn.MINIFS(raw_outputtable!$J$2:$J$816,raw_outputtable!$A$2:$A$816,A68,raw_outputtable!$B$2:$B$816,C68)</f>
        <v>540</v>
      </c>
      <c r="G68" s="3">
        <f>_xlfn.MAXIFS(raw_outputtable!$K$2:$K$816,raw_outputtable!$A$2:$A$816,A68,raw_outputtable!$B$2:$B$816,C68)</f>
        <v>2161.5333333145827</v>
      </c>
      <c r="H68" s="3">
        <f t="shared" si="29"/>
        <v>1621.5333333145827</v>
      </c>
      <c r="I68" s="16">
        <f t="shared" si="30"/>
        <v>1621.5333333145827</v>
      </c>
      <c r="J68" s="3">
        <f>INDEX(raw_comp_PTA!$H$2:$H$81,MATCH(D68,raw_comp_PTA!$J$2:$J$81,0))</f>
        <v>510.1</v>
      </c>
      <c r="K68" s="16">
        <f t="shared" si="31"/>
        <v>510.1</v>
      </c>
      <c r="L68" s="3">
        <f>SUMIFS(raw_comp_PTA_stations!$E$2:$E$461,raw_comp_PTA_stations!$A$2:$A$461,A68,raw_comp_PTA_stations!$B$2:$B$461,C68,raw_comp_PTA_stations!$C$2:$C$461,"ws*")</f>
        <v>1066.6999999999998</v>
      </c>
      <c r="M68" s="16">
        <f t="shared" si="32"/>
        <v>1066.6999999999998</v>
      </c>
      <c r="N68" s="3">
        <f>INDEX(raw_comp_PTA!$G$2:$G$81,MATCH(D68,raw_comp_PTA!$J$2:$J$81,0))</f>
        <v>1585</v>
      </c>
      <c r="O68" s="16">
        <f t="shared" si="33"/>
        <v>1585</v>
      </c>
      <c r="P68">
        <f>COUNTIFS(raw_outputtable!$A$2:$A$816,A68,raw_outputtable!$B$2:$B$816,C68)</f>
        <v>8</v>
      </c>
      <c r="Q68">
        <f>INDEX(raw_casetable!$F$2:$F$81,MATCH(D68,raw_casetable!$G$2:$G$81,0))</f>
        <v>8</v>
      </c>
      <c r="R68">
        <f t="shared" si="34"/>
        <v>1</v>
      </c>
      <c r="S68">
        <f>IFERROR(IF(INDEX(Factory_PO!$C$2:$C$61,MATCH(B68&amp;"|"&amp;C68,Factory_PO!$E$2:$E$61,0))="","",INDEX(Factory_PO!$C$2:$C$61,MATCH(B68&amp;"|"&amp;C68,Factory_PO!$E$2:$E$61,0))),"")</f>
        <v>495</v>
      </c>
      <c r="T68" s="17">
        <f t="shared" si="35"/>
        <v>495</v>
      </c>
      <c r="U68">
        <f>IFERROR(IF(INDEX(Factory_PO!$D$2:$D$61,MATCH(B68&amp;"|"&amp;C68,Factory_PO!$E$2:$E$61,0))="","",INDEX(Factory_PO!$D$2:$D$61,MATCH(B68&amp;"|"&amp;C68,Factory_PO!$E$2:$E$61,0))),"")</f>
        <v>1456</v>
      </c>
      <c r="V68" s="17">
        <f t="shared" si="36"/>
        <v>1456</v>
      </c>
      <c r="W68">
        <f t="shared" si="37"/>
        <v>1</v>
      </c>
      <c r="X68" t="str">
        <f t="shared" si="38"/>
        <v>Complete</v>
      </c>
      <c r="Y68">
        <f t="shared" si="39"/>
        <v>1</v>
      </c>
      <c r="Z68" s="10">
        <f t="shared" si="40"/>
        <v>0.11369047617759802</v>
      </c>
      <c r="AA68" s="18">
        <f t="shared" si="41"/>
        <v>0.11369047617759802</v>
      </c>
      <c r="AB68" t="s">
        <v>1426</v>
      </c>
    </row>
    <row r="69" spans="1:28" ht="15" customHeight="1" x14ac:dyDescent="0.25">
      <c r="A69" t="s">
        <v>7</v>
      </c>
      <c r="B69" t="s">
        <v>69</v>
      </c>
      <c r="C69">
        <v>8</v>
      </c>
      <c r="D69" t="str">
        <f t="shared" si="28"/>
        <v>S6|8</v>
      </c>
      <c r="E69" t="str">
        <f>UPPER(MID(INDEX(raw_comp_PTA!$C$2:$C$81,MATCH(D69,raw_comp_PTA!$J$2:$J$81,0)),5,2))</f>
        <v>HD</v>
      </c>
      <c r="F69" s="3">
        <f>_xlfn.MINIFS(raw_outputtable!$J$2:$J$816,raw_outputtable!$A$2:$A$816,A69,raw_outputtable!$B$2:$B$816,C69)</f>
        <v>630</v>
      </c>
      <c r="G69" s="3">
        <f>_xlfn.MAXIFS(raw_outputtable!$K$2:$K$816,raw_outputtable!$A$2:$A$816,A69,raw_outputtable!$B$2:$B$816,C69)</f>
        <v>2341.5333333145827</v>
      </c>
      <c r="H69" s="3">
        <f t="shared" si="29"/>
        <v>1711.5333333145827</v>
      </c>
      <c r="I69" s="16" t="str">
        <f t="shared" si="30"/>
        <v>DNF</v>
      </c>
      <c r="J69" s="3">
        <f>INDEX(raw_comp_PTA!$H$2:$H$81,MATCH(D69,raw_comp_PTA!$J$2:$J$81,0))</f>
        <v>436</v>
      </c>
      <c r="K69" s="16" t="str">
        <f t="shared" si="31"/>
        <v>DNF</v>
      </c>
      <c r="L69" s="3">
        <f>SUMIFS(raw_comp_PTA_stations!$E$2:$E$461,raw_comp_PTA_stations!$A$2:$A$461,A69,raw_comp_PTA_stations!$B$2:$B$461,C69,raw_comp_PTA_stations!$C$2:$C$461,"ws*")</f>
        <v>1265.83</v>
      </c>
      <c r="M69" s="16" t="str">
        <f t="shared" si="32"/>
        <v>DNF</v>
      </c>
      <c r="N69" s="3">
        <f>INDEX(raw_comp_PTA!$G$2:$G$81,MATCH(D69,raw_comp_PTA!$J$2:$J$81,0))</f>
        <v>1673.13</v>
      </c>
      <c r="O69" s="16" t="str">
        <f t="shared" si="33"/>
        <v>DNF</v>
      </c>
      <c r="P69">
        <f>COUNTIFS(raw_outputtable!$A$2:$A$816,A69,raw_outputtable!$B$2:$B$816,C69)</f>
        <v>6</v>
      </c>
      <c r="Q69">
        <f>INDEX(raw_casetable!$F$2:$F$81,MATCH(D69,raw_casetable!$G$2:$G$81,0))</f>
        <v>14</v>
      </c>
      <c r="R69">
        <f t="shared" si="34"/>
        <v>0</v>
      </c>
      <c r="S69">
        <f>IFERROR(IF(INDEX(Factory_PO!$C$2:$C$61,MATCH(B69&amp;"|"&amp;C69,Factory_PO!$E$2:$E$61,0))="","",INDEX(Factory_PO!$C$2:$C$61,MATCH(B69&amp;"|"&amp;C69,Factory_PO!$E$2:$E$61,0))),"")</f>
        <v>1011</v>
      </c>
      <c r="T69" s="17" t="str">
        <f t="shared" si="35"/>
        <v>DNF</v>
      </c>
      <c r="U69" t="str">
        <f>IFERROR(IF(INDEX(Factory_PO!$D$2:$D$61,MATCH(B69&amp;"|"&amp;C69,Factory_PO!$E$2:$E$61,0))="","",INDEX(Factory_PO!$D$2:$D$61,MATCH(B69&amp;"|"&amp;C69,Factory_PO!$E$2:$E$61,0))),"")</f>
        <v/>
      </c>
      <c r="V69" s="17" t="str">
        <f t="shared" si="36"/>
        <v>DNF</v>
      </c>
      <c r="W69">
        <f t="shared" si="37"/>
        <v>0</v>
      </c>
      <c r="X69" t="str">
        <f t="shared" si="38"/>
        <v>DNF (sim + factory)</v>
      </c>
      <c r="Y69">
        <f t="shared" si="39"/>
        <v>0</v>
      </c>
      <c r="Z69" s="10" t="str">
        <f t="shared" si="40"/>
        <v/>
      </c>
      <c r="AA69" s="18" t="str">
        <f t="shared" si="41"/>
        <v>DNF</v>
      </c>
      <c r="AB69" t="s">
        <v>1426</v>
      </c>
    </row>
    <row r="70" spans="1:28" ht="15" customHeight="1" x14ac:dyDescent="0.25">
      <c r="A70" t="s">
        <v>7</v>
      </c>
      <c r="B70" t="s">
        <v>69</v>
      </c>
      <c r="C70">
        <v>9</v>
      </c>
      <c r="D70" t="str">
        <f t="shared" si="28"/>
        <v>S6|9</v>
      </c>
      <c r="E70" t="str">
        <f>UPPER(MID(INDEX(raw_comp_PTA!$C$2:$C$81,MATCH(D70,raw_comp_PTA!$J$2:$J$81,0)),5,2))</f>
        <v>RD</v>
      </c>
      <c r="F70" s="3">
        <f>_xlfn.MINIFS(raw_outputtable!$J$2:$J$816,raw_outputtable!$A$2:$A$816,A70,raw_outputtable!$B$2:$B$816,C70)</f>
        <v>720</v>
      </c>
      <c r="G70" s="3">
        <f>_xlfn.MAXIFS(raw_outputtable!$K$2:$K$816,raw_outputtable!$A$2:$A$816,A70,raw_outputtable!$B$2:$B$816,C70)</f>
        <v>994.2999999888707</v>
      </c>
      <c r="H70" s="3">
        <f t="shared" si="29"/>
        <v>274.2999999888707</v>
      </c>
      <c r="I70" s="16" t="str">
        <f t="shared" si="30"/>
        <v>DNF</v>
      </c>
      <c r="J70" s="3">
        <f>INDEX(raw_comp_PTA!$H$2:$H$81,MATCH(D70,raw_comp_PTA!$J$2:$J$81,0))</f>
        <v>78</v>
      </c>
      <c r="K70" s="16" t="str">
        <f t="shared" si="31"/>
        <v>DNF</v>
      </c>
      <c r="L70" s="3">
        <f>SUMIFS(raw_comp_PTA_stations!$E$2:$E$461,raw_comp_PTA_stations!$A$2:$A$461,A70,raw_comp_PTA_stations!$B$2:$B$461,C70,raw_comp_PTA_stations!$C$2:$C$461,"ws*")</f>
        <v>1534.6699999999998</v>
      </c>
      <c r="M70" s="16" t="str">
        <f t="shared" si="32"/>
        <v>DNF</v>
      </c>
      <c r="N70" s="3">
        <f>INDEX(raw_comp_PTA!$G$2:$G$81,MATCH(D70,raw_comp_PTA!$J$2:$J$81,0))</f>
        <v>237.43</v>
      </c>
      <c r="O70" s="16" t="str">
        <f t="shared" si="33"/>
        <v>DNF</v>
      </c>
      <c r="P70">
        <f>COUNTIFS(raw_outputtable!$A$2:$A$816,A70,raw_outputtable!$B$2:$B$816,C70)</f>
        <v>2</v>
      </c>
      <c r="Q70">
        <f>INDEX(raw_casetable!$F$2:$F$81,MATCH(D70,raw_casetable!$G$2:$G$81,0))</f>
        <v>8</v>
      </c>
      <c r="R70">
        <f t="shared" si="34"/>
        <v>0</v>
      </c>
      <c r="S70">
        <f>IFERROR(IF(INDEX(Factory_PO!$C$2:$C$61,MATCH(B70&amp;"|"&amp;C70,Factory_PO!$E$2:$E$61,0))="","",INDEX(Factory_PO!$C$2:$C$61,MATCH(B70&amp;"|"&amp;C70,Factory_PO!$E$2:$E$61,0))),"")</f>
        <v>660</v>
      </c>
      <c r="T70" s="17" t="str">
        <f t="shared" si="35"/>
        <v>DNF</v>
      </c>
      <c r="U70">
        <f>IFERROR(IF(INDEX(Factory_PO!$D$2:$D$61,MATCH(B70&amp;"|"&amp;C70,Factory_PO!$E$2:$E$61,0))="","",INDEX(Factory_PO!$D$2:$D$61,MATCH(B70&amp;"|"&amp;C70,Factory_PO!$E$2:$E$61,0))),"")</f>
        <v>1546</v>
      </c>
      <c r="V70" s="17" t="str">
        <f t="shared" si="36"/>
        <v>DNF</v>
      </c>
      <c r="W70">
        <f t="shared" si="37"/>
        <v>1</v>
      </c>
      <c r="X70" t="str">
        <f t="shared" si="38"/>
        <v>DNF (sim)</v>
      </c>
      <c r="Y70">
        <f t="shared" si="39"/>
        <v>0</v>
      </c>
      <c r="Z70" s="10">
        <f t="shared" si="40"/>
        <v>-0.82257438551819484</v>
      </c>
      <c r="AA70" s="18" t="str">
        <f t="shared" si="41"/>
        <v>DNF</v>
      </c>
      <c r="AB70" t="s">
        <v>1426</v>
      </c>
    </row>
    <row r="71" spans="1:28" ht="15" customHeight="1" x14ac:dyDescent="0.25">
      <c r="A71" t="s">
        <v>7</v>
      </c>
      <c r="B71" t="s">
        <v>69</v>
      </c>
      <c r="C71">
        <v>10</v>
      </c>
      <c r="D71" t="str">
        <f t="shared" si="28"/>
        <v>S6|10</v>
      </c>
      <c r="E71" t="str">
        <f>UPPER(MID(INDEX(raw_comp_PTA!$C$2:$C$81,MATCH(D71,raw_comp_PTA!$J$2:$J$81,0)),5,2))</f>
        <v>SA</v>
      </c>
      <c r="F71" s="3">
        <f>_xlfn.MINIFS(raw_outputtable!$J$2:$J$816,raw_outputtable!$A$2:$A$816,A71,raw_outputtable!$B$2:$B$816,C71)</f>
        <v>810</v>
      </c>
      <c r="G71" s="3">
        <f>_xlfn.MAXIFS(raw_outputtable!$K$2:$K$816,raw_outputtable!$A$2:$A$816,A71,raw_outputtable!$B$2:$B$816,C71)</f>
        <v>2371.5333332656883</v>
      </c>
      <c r="H71" s="3">
        <f t="shared" si="29"/>
        <v>1561.5333332656883</v>
      </c>
      <c r="I71" s="16" t="str">
        <f t="shared" si="30"/>
        <v>DNF</v>
      </c>
      <c r="J71" s="3">
        <f>INDEX(raw_comp_PTA!$H$2:$H$81,MATCH(D71,raw_comp_PTA!$J$2:$J$81,0))</f>
        <v>521</v>
      </c>
      <c r="K71" s="16" t="str">
        <f t="shared" si="31"/>
        <v>DNF</v>
      </c>
      <c r="L71" s="3">
        <f>SUMIFS(raw_comp_PTA_stations!$E$2:$E$461,raw_comp_PTA_stations!$A$2:$A$461,A71,raw_comp_PTA_stations!$B$2:$B$461,C71,raw_comp_PTA_stations!$C$2:$C$461,"ws*")</f>
        <v>999.7700000000001</v>
      </c>
      <c r="M71" s="16" t="str">
        <f t="shared" si="32"/>
        <v>DNF</v>
      </c>
      <c r="N71" s="3">
        <f>INDEX(raw_comp_PTA!$G$2:$G$81,MATCH(D71,raw_comp_PTA!$J$2:$J$81,0))</f>
        <v>1526.53</v>
      </c>
      <c r="O71" s="16" t="str">
        <f t="shared" si="33"/>
        <v>DNF</v>
      </c>
      <c r="P71">
        <f>COUNTIFS(raw_outputtable!$A$2:$A$816,A71,raw_outputtable!$B$2:$B$816,C71)</f>
        <v>7</v>
      </c>
      <c r="Q71">
        <f>INDEX(raw_casetable!$F$2:$F$81,MATCH(D71,raw_casetable!$G$2:$G$81,0))</f>
        <v>9</v>
      </c>
      <c r="R71">
        <f t="shared" si="34"/>
        <v>0</v>
      </c>
      <c r="S71">
        <f>IFERROR(IF(INDEX(Factory_PO!$C$2:$C$61,MATCH(B71&amp;"|"&amp;C71,Factory_PO!$E$2:$E$61,0))="","",INDEX(Factory_PO!$C$2:$C$61,MATCH(B71&amp;"|"&amp;C71,Factory_PO!$E$2:$E$61,0))),"")</f>
        <v>463</v>
      </c>
      <c r="T71" s="17" t="str">
        <f t="shared" si="35"/>
        <v>DNF</v>
      </c>
      <c r="U71" t="str">
        <f>IFERROR(IF(INDEX(Factory_PO!$D$2:$D$61,MATCH(B71&amp;"|"&amp;C71,Factory_PO!$E$2:$E$61,0))="","",INDEX(Factory_PO!$D$2:$D$61,MATCH(B71&amp;"|"&amp;C71,Factory_PO!$E$2:$E$61,0))),"")</f>
        <v/>
      </c>
      <c r="V71" s="17" t="str">
        <f t="shared" si="36"/>
        <v>DNF</v>
      </c>
      <c r="W71">
        <f t="shared" si="37"/>
        <v>0</v>
      </c>
      <c r="X71" t="str">
        <f t="shared" si="38"/>
        <v>DNF (sim + factory)</v>
      </c>
      <c r="Y71">
        <f t="shared" si="39"/>
        <v>0</v>
      </c>
      <c r="Z71" s="10" t="str">
        <f t="shared" si="40"/>
        <v/>
      </c>
      <c r="AA71" s="18" t="str">
        <f t="shared" si="41"/>
        <v>DNF</v>
      </c>
      <c r="AB71" t="s">
        <v>1426</v>
      </c>
    </row>
    <row r="72" spans="1:28" ht="15" customHeight="1" x14ac:dyDescent="0.25">
      <c r="A72" t="s">
        <v>8</v>
      </c>
      <c r="B72" t="s">
        <v>69</v>
      </c>
      <c r="C72">
        <v>1</v>
      </c>
      <c r="D72" t="str">
        <f t="shared" si="28"/>
        <v>S6s|1</v>
      </c>
      <c r="E72" t="str">
        <f>UPPER(MID(INDEX(raw_comp_PTA!$C$2:$C$81,MATCH(D72,raw_comp_PTA!$J$2:$J$81,0)),5,2))</f>
        <v>SA</v>
      </c>
      <c r="F72" s="3">
        <f>_xlfn.MINIFS(raw_outputtable!$J$2:$J$816,raw_outputtable!$A$2:$A$816,A72,raw_outputtable!$B$2:$B$816,C72)</f>
        <v>0</v>
      </c>
      <c r="G72" s="3">
        <f>_xlfn.MAXIFS(raw_outputtable!$K$2:$K$816,raw_outputtable!$A$2:$A$816,A72,raw_outputtable!$B$2:$B$816,C72)</f>
        <v>607.33333338866942</v>
      </c>
      <c r="H72" s="3">
        <f t="shared" si="29"/>
        <v>607.33333338866942</v>
      </c>
      <c r="I72" s="16">
        <f t="shared" si="30"/>
        <v>607.33333338866942</v>
      </c>
      <c r="J72" s="3">
        <f>INDEX(raw_comp_PTA!$H$2:$H$81,MATCH(D72,raw_comp_PTA!$J$2:$J$81,0))</f>
        <v>525.1</v>
      </c>
      <c r="K72" s="16">
        <f t="shared" si="31"/>
        <v>525.1</v>
      </c>
      <c r="L72" s="3">
        <f>SUMIFS(raw_comp_PTA_stations!$E$2:$E$461,raw_comp_PTA_stations!$A$2:$A$461,A72,raw_comp_PTA_stations!$B$2:$B$461,C72,raw_comp_PTA_stations!$C$2:$C$461,"ws*")</f>
        <v>38.93</v>
      </c>
      <c r="M72" s="16">
        <f t="shared" si="32"/>
        <v>38.93</v>
      </c>
      <c r="N72" s="3">
        <f>INDEX(raw_comp_PTA!$G$2:$G$81,MATCH(D72,raw_comp_PTA!$J$2:$J$81,0))</f>
        <v>577.13</v>
      </c>
      <c r="O72" s="16">
        <f t="shared" si="33"/>
        <v>577.13</v>
      </c>
      <c r="P72">
        <f>COUNTIFS(raw_outputtable!$A$2:$A$816,A72,raw_outputtable!$B$2:$B$816,C72)</f>
        <v>9</v>
      </c>
      <c r="Q72">
        <f>INDEX(raw_casetable!$F$2:$F$81,MATCH(D72,raw_casetable!$G$2:$G$81,0))</f>
        <v>9</v>
      </c>
      <c r="R72">
        <f t="shared" si="34"/>
        <v>1</v>
      </c>
      <c r="S72">
        <f>IFERROR(IF(INDEX(Factory_PO!$C$2:$C$61,MATCH(B72&amp;"|"&amp;C72,Factory_PO!$E$2:$E$61,0))="","",INDEX(Factory_PO!$C$2:$C$61,MATCH(B72&amp;"|"&amp;C72,Factory_PO!$E$2:$E$61,0))),"")</f>
        <v>435</v>
      </c>
      <c r="T72" s="17">
        <f t="shared" si="35"/>
        <v>435</v>
      </c>
      <c r="U72">
        <f>IFERROR(IF(INDEX(Factory_PO!$D$2:$D$61,MATCH(B72&amp;"|"&amp;C72,Factory_PO!$E$2:$E$61,0))="","",INDEX(Factory_PO!$D$2:$D$61,MATCH(B72&amp;"|"&amp;C72,Factory_PO!$E$2:$E$61,0))),"")</f>
        <v>691</v>
      </c>
      <c r="V72" s="17">
        <f t="shared" si="36"/>
        <v>691</v>
      </c>
      <c r="W72">
        <f t="shared" si="37"/>
        <v>1</v>
      </c>
      <c r="X72" t="str">
        <f t="shared" si="38"/>
        <v>Complete</v>
      </c>
      <c r="Y72">
        <f t="shared" si="39"/>
        <v>1</v>
      </c>
      <c r="Z72" s="10">
        <f t="shared" si="40"/>
        <v>-0.12108055949541328</v>
      </c>
      <c r="AA72" s="18">
        <f t="shared" si="41"/>
        <v>-0.12108055949541328</v>
      </c>
      <c r="AB72" t="s">
        <v>1427</v>
      </c>
    </row>
    <row r="73" spans="1:28" ht="15" customHeight="1" x14ac:dyDescent="0.25">
      <c r="A73" t="s">
        <v>8</v>
      </c>
      <c r="B73" t="s">
        <v>69</v>
      </c>
      <c r="C73">
        <v>2</v>
      </c>
      <c r="D73" t="str">
        <f t="shared" si="28"/>
        <v>S6s|2</v>
      </c>
      <c r="E73" t="str">
        <f>UPPER(MID(INDEX(raw_comp_PTA!$C$2:$C$81,MATCH(D73,raw_comp_PTA!$J$2:$J$81,0)),5,2))</f>
        <v>RD</v>
      </c>
      <c r="F73" s="3">
        <f>_xlfn.MINIFS(raw_outputtable!$J$2:$J$816,raw_outputtable!$A$2:$A$816,A73,raw_outputtable!$B$2:$B$816,C73)</f>
        <v>90</v>
      </c>
      <c r="G73" s="3">
        <f>_xlfn.MAXIFS(raw_outputtable!$K$2:$K$816,raw_outputtable!$A$2:$A$816,A73,raw_outputtable!$B$2:$B$816,C73)</f>
        <v>783.23333327891305</v>
      </c>
      <c r="H73" s="3">
        <f t="shared" si="29"/>
        <v>693.23333327891305</v>
      </c>
      <c r="I73" s="16">
        <f t="shared" si="30"/>
        <v>693.23333327891305</v>
      </c>
      <c r="J73" s="3">
        <f>INDEX(raw_comp_PTA!$H$2:$H$81,MATCH(D73,raw_comp_PTA!$J$2:$J$81,0))</f>
        <v>477.1</v>
      </c>
      <c r="K73" s="16">
        <f t="shared" si="31"/>
        <v>477.1</v>
      </c>
      <c r="L73" s="3">
        <f>SUMIFS(raw_comp_PTA_stations!$E$2:$E$461,raw_comp_PTA_stations!$A$2:$A$461,A73,raw_comp_PTA_stations!$B$2:$B$461,C73,raw_comp_PTA_stations!$C$2:$C$461,"ws*")</f>
        <v>169.32999999999998</v>
      </c>
      <c r="M73" s="16">
        <f t="shared" si="32"/>
        <v>169.32999999999998</v>
      </c>
      <c r="N73" s="3">
        <f>INDEX(raw_comp_PTA!$G$2:$G$81,MATCH(D73,raw_comp_PTA!$J$2:$J$81,0))</f>
        <v>660.43</v>
      </c>
      <c r="O73" s="16">
        <f t="shared" si="33"/>
        <v>660.43</v>
      </c>
      <c r="P73">
        <f>COUNTIFS(raw_outputtable!$A$2:$A$816,A73,raw_outputtable!$B$2:$B$816,C73)</f>
        <v>8</v>
      </c>
      <c r="Q73">
        <f>INDEX(raw_casetable!$F$2:$F$81,MATCH(D73,raw_casetable!$G$2:$G$81,0))</f>
        <v>8</v>
      </c>
      <c r="R73">
        <f t="shared" si="34"/>
        <v>1</v>
      </c>
      <c r="S73">
        <f>IFERROR(IF(INDEX(Factory_PO!$C$2:$C$61,MATCH(B73&amp;"|"&amp;C73,Factory_PO!$E$2:$E$61,0))="","",INDEX(Factory_PO!$C$2:$C$61,MATCH(B73&amp;"|"&amp;C73,Factory_PO!$E$2:$E$61,0))),"")</f>
        <v>708</v>
      </c>
      <c r="T73" s="17">
        <f t="shared" si="35"/>
        <v>708</v>
      </c>
      <c r="U73">
        <f>IFERROR(IF(INDEX(Factory_PO!$D$2:$D$61,MATCH(B73&amp;"|"&amp;C73,Factory_PO!$E$2:$E$61,0))="","",INDEX(Factory_PO!$D$2:$D$61,MATCH(B73&amp;"|"&amp;C73,Factory_PO!$E$2:$E$61,0))),"")</f>
        <v>737</v>
      </c>
      <c r="V73" s="17">
        <f t="shared" si="36"/>
        <v>737</v>
      </c>
      <c r="W73">
        <f t="shared" si="37"/>
        <v>1</v>
      </c>
      <c r="X73" t="str">
        <f t="shared" si="38"/>
        <v>Complete</v>
      </c>
      <c r="Y73">
        <f t="shared" si="39"/>
        <v>1</v>
      </c>
      <c r="Z73" s="10">
        <f t="shared" si="40"/>
        <v>-5.9384893787092198E-2</v>
      </c>
      <c r="AA73" s="18">
        <f t="shared" si="41"/>
        <v>-5.9384893787092198E-2</v>
      </c>
      <c r="AB73" t="s">
        <v>1427</v>
      </c>
    </row>
    <row r="74" spans="1:28" ht="15" customHeight="1" x14ac:dyDescent="0.25">
      <c r="A74" t="s">
        <v>8</v>
      </c>
      <c r="B74" t="s">
        <v>69</v>
      </c>
      <c r="C74">
        <v>3</v>
      </c>
      <c r="D74" t="str">
        <f t="shared" si="28"/>
        <v>S6s|3</v>
      </c>
      <c r="E74" t="str">
        <f>UPPER(MID(INDEX(raw_comp_PTA!$C$2:$C$81,MATCH(D74,raw_comp_PTA!$J$2:$J$81,0)),5,2))</f>
        <v>HD</v>
      </c>
      <c r="F74" s="3">
        <f>_xlfn.MINIFS(raw_outputtable!$J$2:$J$816,raw_outputtable!$A$2:$A$816,A74,raw_outputtable!$B$2:$B$816,C74)</f>
        <v>180</v>
      </c>
      <c r="G74" s="3">
        <f>_xlfn.MAXIFS(raw_outputtable!$K$2:$K$816,raw_outputtable!$A$2:$A$816,A74,raw_outputtable!$B$2:$B$816,C74)</f>
        <v>1441.5333333145827</v>
      </c>
      <c r="H74" s="3">
        <f t="shared" si="29"/>
        <v>1261.5333333145827</v>
      </c>
      <c r="I74" s="16">
        <f t="shared" si="30"/>
        <v>1261.5333333145827</v>
      </c>
      <c r="J74" s="3">
        <f>INDEX(raw_comp_PTA!$H$2:$H$81,MATCH(D74,raw_comp_PTA!$J$2:$J$81,0))</f>
        <v>996.3</v>
      </c>
      <c r="K74" s="16">
        <f t="shared" si="31"/>
        <v>996.3</v>
      </c>
      <c r="L74" s="3">
        <f>SUMIFS(raw_comp_PTA_stations!$E$2:$E$461,raw_comp_PTA_stations!$A$2:$A$461,A74,raw_comp_PTA_stations!$B$2:$B$461,C74,raw_comp_PTA_stations!$C$2:$C$461,"ws*")</f>
        <v>389.27</v>
      </c>
      <c r="M74" s="16">
        <f t="shared" si="32"/>
        <v>389.27</v>
      </c>
      <c r="N74" s="3">
        <f>INDEX(raw_comp_PTA!$G$2:$G$81,MATCH(D74,raw_comp_PTA!$J$2:$J$81,0))</f>
        <v>1226.2</v>
      </c>
      <c r="O74" s="16">
        <f t="shared" si="33"/>
        <v>1226.2</v>
      </c>
      <c r="P74">
        <f>COUNTIFS(raw_outputtable!$A$2:$A$816,A74,raw_outputtable!$B$2:$B$816,C74)</f>
        <v>14</v>
      </c>
      <c r="Q74">
        <f>INDEX(raw_casetable!$F$2:$F$81,MATCH(D74,raw_casetable!$G$2:$G$81,0))</f>
        <v>14</v>
      </c>
      <c r="R74">
        <f t="shared" si="34"/>
        <v>1</v>
      </c>
      <c r="S74">
        <f>IFERROR(IF(INDEX(Factory_PO!$C$2:$C$61,MATCH(B74&amp;"|"&amp;C74,Factory_PO!$E$2:$E$61,0))="","",INDEX(Factory_PO!$C$2:$C$61,MATCH(B74&amp;"|"&amp;C74,Factory_PO!$E$2:$E$61,0))),"")</f>
        <v>1102</v>
      </c>
      <c r="T74" s="17">
        <f t="shared" si="35"/>
        <v>1102</v>
      </c>
      <c r="U74">
        <f>IFERROR(IF(INDEX(Factory_PO!$D$2:$D$61,MATCH(B74&amp;"|"&amp;C74,Factory_PO!$E$2:$E$61,0))="","",INDEX(Factory_PO!$D$2:$D$61,MATCH(B74&amp;"|"&amp;C74,Factory_PO!$E$2:$E$61,0))),"")</f>
        <v>1397</v>
      </c>
      <c r="V74" s="17">
        <f t="shared" si="36"/>
        <v>1397</v>
      </c>
      <c r="W74">
        <f t="shared" si="37"/>
        <v>1</v>
      </c>
      <c r="X74" t="str">
        <f t="shared" si="38"/>
        <v>Complete</v>
      </c>
      <c r="Y74">
        <f t="shared" si="39"/>
        <v>1</v>
      </c>
      <c r="Z74" s="10">
        <f t="shared" si="40"/>
        <v>-9.6969696983119039E-2</v>
      </c>
      <c r="AA74" s="18">
        <f t="shared" si="41"/>
        <v>-9.6969696983119039E-2</v>
      </c>
      <c r="AB74" t="s">
        <v>1427</v>
      </c>
    </row>
    <row r="75" spans="1:28" ht="15" customHeight="1" x14ac:dyDescent="0.25">
      <c r="A75" t="s">
        <v>8</v>
      </c>
      <c r="B75" t="s">
        <v>69</v>
      </c>
      <c r="C75">
        <v>4</v>
      </c>
      <c r="D75" t="str">
        <f t="shared" si="28"/>
        <v>S6s|4</v>
      </c>
      <c r="E75" t="str">
        <f>UPPER(MID(INDEX(raw_comp_PTA!$C$2:$C$81,MATCH(D75,raw_comp_PTA!$J$2:$J$81,0)),5,2))</f>
        <v>TL</v>
      </c>
      <c r="F75" s="3">
        <f>_xlfn.MINIFS(raw_outputtable!$J$2:$J$816,raw_outputtable!$A$2:$A$816,A75,raw_outputtable!$B$2:$B$816,C75)</f>
        <v>270</v>
      </c>
      <c r="G75" s="3">
        <f>_xlfn.MAXIFS(raw_outputtable!$K$2:$K$816,raw_outputtable!$A$2:$A$816,A75,raw_outputtable!$B$2:$B$816,C75)</f>
        <v>1141.5333333634771</v>
      </c>
      <c r="H75" s="3">
        <f t="shared" si="29"/>
        <v>871.53333336347714</v>
      </c>
      <c r="I75" s="16">
        <f t="shared" si="30"/>
        <v>871.53333336347714</v>
      </c>
      <c r="J75" s="3">
        <f>INDEX(raw_comp_PTA!$H$2:$H$81,MATCH(D75,raw_comp_PTA!$J$2:$J$81,0))</f>
        <v>379.1</v>
      </c>
      <c r="K75" s="16">
        <f t="shared" si="31"/>
        <v>379.1</v>
      </c>
      <c r="L75" s="3">
        <f>SUMIFS(raw_comp_PTA_stations!$E$2:$E$461,raw_comp_PTA_stations!$A$2:$A$461,A75,raw_comp_PTA_stations!$B$2:$B$461,C75,raw_comp_PTA_stations!$C$2:$C$461,"ws*")</f>
        <v>454.66999999999996</v>
      </c>
      <c r="M75" s="16">
        <f t="shared" si="32"/>
        <v>454.66999999999996</v>
      </c>
      <c r="N75" s="3">
        <f>INDEX(raw_comp_PTA!$G$2:$G$81,MATCH(D75,raw_comp_PTA!$J$2:$J$81,0))</f>
        <v>838.06</v>
      </c>
      <c r="O75" s="16">
        <f t="shared" si="33"/>
        <v>838.06</v>
      </c>
      <c r="P75">
        <f>COUNTIFS(raw_outputtable!$A$2:$A$816,A75,raw_outputtable!$B$2:$B$816,C75)</f>
        <v>8</v>
      </c>
      <c r="Q75">
        <f>INDEX(raw_casetable!$F$2:$F$81,MATCH(D75,raw_casetable!$G$2:$G$81,0))</f>
        <v>8</v>
      </c>
      <c r="R75">
        <f t="shared" si="34"/>
        <v>1</v>
      </c>
      <c r="S75">
        <f>IFERROR(IF(INDEX(Factory_PO!$C$2:$C$61,MATCH(B75&amp;"|"&amp;C75,Factory_PO!$E$2:$E$61,0))="","",INDEX(Factory_PO!$C$2:$C$61,MATCH(B75&amp;"|"&amp;C75,Factory_PO!$E$2:$E$61,0))),"")</f>
        <v>426</v>
      </c>
      <c r="T75" s="17">
        <f t="shared" si="35"/>
        <v>426</v>
      </c>
      <c r="U75">
        <f>IFERROR(IF(INDEX(Factory_PO!$D$2:$D$61,MATCH(B75&amp;"|"&amp;C75,Factory_PO!$E$2:$E$61,0))="","",INDEX(Factory_PO!$D$2:$D$61,MATCH(B75&amp;"|"&amp;C75,Factory_PO!$E$2:$E$61,0))),"")</f>
        <v>669</v>
      </c>
      <c r="V75" s="17">
        <f t="shared" si="36"/>
        <v>669</v>
      </c>
      <c r="W75">
        <f t="shared" si="37"/>
        <v>1</v>
      </c>
      <c r="X75" t="str">
        <f t="shared" si="38"/>
        <v>Complete</v>
      </c>
      <c r="Y75">
        <f t="shared" si="39"/>
        <v>1</v>
      </c>
      <c r="Z75" s="10">
        <f t="shared" si="40"/>
        <v>0.30274040861506302</v>
      </c>
      <c r="AA75" s="18">
        <f t="shared" si="41"/>
        <v>0.30274040861506302</v>
      </c>
      <c r="AB75" t="s">
        <v>1427</v>
      </c>
    </row>
    <row r="76" spans="1:28" ht="15" customHeight="1" x14ac:dyDescent="0.25">
      <c r="A76" t="s">
        <v>8</v>
      </c>
      <c r="B76" t="s">
        <v>69</v>
      </c>
      <c r="C76">
        <v>5</v>
      </c>
      <c r="D76" t="str">
        <f t="shared" si="28"/>
        <v>S6s|5</v>
      </c>
      <c r="E76" t="str">
        <f>UPPER(MID(INDEX(raw_comp_PTA!$C$2:$C$81,MATCH(D76,raw_comp_PTA!$J$2:$J$81,0)),5,2))</f>
        <v>SA</v>
      </c>
      <c r="F76" s="3">
        <f>_xlfn.MINIFS(raw_outputtable!$J$2:$J$816,raw_outputtable!$A$2:$A$816,A76,raw_outputtable!$B$2:$B$816,C76)</f>
        <v>360</v>
      </c>
      <c r="G76" s="3">
        <f>_xlfn.MAXIFS(raw_outputtable!$K$2:$K$816,raw_outputtable!$A$2:$A$816,A76,raw_outputtable!$B$2:$B$816,C76)</f>
        <v>1326.3999999838416</v>
      </c>
      <c r="H76" s="3">
        <f t="shared" si="29"/>
        <v>966.39999998384155</v>
      </c>
      <c r="I76" s="16">
        <f t="shared" si="30"/>
        <v>966.39999998384155</v>
      </c>
      <c r="J76" s="3">
        <f>INDEX(raw_comp_PTA!$H$2:$H$81,MATCH(D76,raw_comp_PTA!$J$2:$J$81,0))</f>
        <v>525.1</v>
      </c>
      <c r="K76" s="16">
        <f t="shared" si="31"/>
        <v>525.1</v>
      </c>
      <c r="L76" s="3">
        <f>SUMIFS(raw_comp_PTA_stations!$E$2:$E$461,raw_comp_PTA_stations!$A$2:$A$461,A76,raw_comp_PTA_stations!$B$2:$B$461,C76,raw_comp_PTA_stations!$C$2:$C$461,"ws*")</f>
        <v>394.46000000000004</v>
      </c>
      <c r="M76" s="16">
        <f t="shared" si="32"/>
        <v>394.46000000000004</v>
      </c>
      <c r="N76" s="3">
        <f>INDEX(raw_comp_PTA!$G$2:$G$81,MATCH(D76,raw_comp_PTA!$J$2:$J$81,0))</f>
        <v>929.53</v>
      </c>
      <c r="O76" s="16">
        <f t="shared" si="33"/>
        <v>929.53</v>
      </c>
      <c r="P76">
        <f>COUNTIFS(raw_outputtable!$A$2:$A$816,A76,raw_outputtable!$B$2:$B$816,C76)</f>
        <v>9</v>
      </c>
      <c r="Q76">
        <f>INDEX(raw_casetable!$F$2:$F$81,MATCH(D76,raw_casetable!$G$2:$G$81,0))</f>
        <v>9</v>
      </c>
      <c r="R76">
        <f t="shared" si="34"/>
        <v>1</v>
      </c>
      <c r="S76">
        <f>IFERROR(IF(INDEX(Factory_PO!$C$2:$C$61,MATCH(B76&amp;"|"&amp;C76,Factory_PO!$E$2:$E$61,0))="","",INDEX(Factory_PO!$C$2:$C$61,MATCH(B76&amp;"|"&amp;C76,Factory_PO!$E$2:$E$61,0))),"")</f>
        <v>516</v>
      </c>
      <c r="T76" s="17">
        <f t="shared" si="35"/>
        <v>516</v>
      </c>
      <c r="U76">
        <f>IFERROR(IF(INDEX(Factory_PO!$D$2:$D$61,MATCH(B76&amp;"|"&amp;C76,Factory_PO!$E$2:$E$61,0))="","",INDEX(Factory_PO!$D$2:$D$61,MATCH(B76&amp;"|"&amp;C76,Factory_PO!$E$2:$E$61,0))),"")</f>
        <v>1036</v>
      </c>
      <c r="V76" s="17">
        <f t="shared" si="36"/>
        <v>1036</v>
      </c>
      <c r="W76">
        <f t="shared" si="37"/>
        <v>1</v>
      </c>
      <c r="X76" t="str">
        <f t="shared" si="38"/>
        <v>Complete</v>
      </c>
      <c r="Y76">
        <f t="shared" si="39"/>
        <v>1</v>
      </c>
      <c r="Z76" s="10">
        <f t="shared" si="40"/>
        <v>-6.7181467197064137E-2</v>
      </c>
      <c r="AA76" s="18">
        <f t="shared" si="41"/>
        <v>-6.7181467197064137E-2</v>
      </c>
      <c r="AB76" t="s">
        <v>1427</v>
      </c>
    </row>
    <row r="77" spans="1:28" ht="15" customHeight="1" x14ac:dyDescent="0.25">
      <c r="A77" t="s">
        <v>8</v>
      </c>
      <c r="B77" t="s">
        <v>69</v>
      </c>
      <c r="C77">
        <v>6</v>
      </c>
      <c r="D77" t="str">
        <f t="shared" si="28"/>
        <v>S6s|6</v>
      </c>
      <c r="E77" t="str">
        <f>UPPER(MID(INDEX(raw_comp_PTA!$C$2:$C$81,MATCH(D77,raw_comp_PTA!$J$2:$J$81,0)),5,2))</f>
        <v>HD</v>
      </c>
      <c r="F77" s="3">
        <f>_xlfn.MINIFS(raw_outputtable!$J$2:$J$816,raw_outputtable!$A$2:$A$816,A77,raw_outputtable!$B$2:$B$816,C77)</f>
        <v>450</v>
      </c>
      <c r="G77" s="3">
        <f>_xlfn.MAXIFS(raw_outputtable!$K$2:$K$816,raw_outputtable!$A$2:$A$816,A77,raw_outputtable!$B$2:$B$816,C77)</f>
        <v>2251.5333333145827</v>
      </c>
      <c r="H77" s="3">
        <f t="shared" si="29"/>
        <v>1801.5333333145827</v>
      </c>
      <c r="I77" s="16">
        <f t="shared" si="30"/>
        <v>1801.5333333145827</v>
      </c>
      <c r="J77" s="3">
        <f>INDEX(raw_comp_PTA!$H$2:$H$81,MATCH(D77,raw_comp_PTA!$J$2:$J$81,0))</f>
        <v>849.3</v>
      </c>
      <c r="K77" s="16">
        <f t="shared" si="31"/>
        <v>849.3</v>
      </c>
      <c r="L77" s="3">
        <f>SUMIFS(raw_comp_PTA_stations!$E$2:$E$461,raw_comp_PTA_stations!$A$2:$A$461,A77,raw_comp_PTA_stations!$B$2:$B$461,C77,raw_comp_PTA_stations!$C$2:$C$461,"ws*")</f>
        <v>964.71</v>
      </c>
      <c r="M77" s="16">
        <f t="shared" si="32"/>
        <v>964.71</v>
      </c>
      <c r="N77" s="3">
        <f>INDEX(raw_comp_PTA!$G$2:$G$81,MATCH(D77,raw_comp_PTA!$J$2:$J$81,0))</f>
        <v>1768.06</v>
      </c>
      <c r="O77" s="16">
        <f t="shared" si="33"/>
        <v>1768.06</v>
      </c>
      <c r="P77">
        <f>COUNTIFS(raw_outputtable!$A$2:$A$816,A77,raw_outputtable!$B$2:$B$816,C77)</f>
        <v>14</v>
      </c>
      <c r="Q77">
        <f>INDEX(raw_casetable!$F$2:$F$81,MATCH(D77,raw_casetable!$G$2:$G$81,0))</f>
        <v>14</v>
      </c>
      <c r="R77">
        <f t="shared" si="34"/>
        <v>1</v>
      </c>
      <c r="S77">
        <f>IFERROR(IF(INDEX(Factory_PO!$C$2:$C$61,MATCH(B77&amp;"|"&amp;C77,Factory_PO!$E$2:$E$61,0))="","",INDEX(Factory_PO!$C$2:$C$61,MATCH(B77&amp;"|"&amp;C77,Factory_PO!$E$2:$E$61,0))),"")</f>
        <v>889</v>
      </c>
      <c r="T77" s="17">
        <f t="shared" si="35"/>
        <v>889</v>
      </c>
      <c r="U77">
        <f>IFERROR(IF(INDEX(Factory_PO!$D$2:$D$61,MATCH(B77&amp;"|"&amp;C77,Factory_PO!$E$2:$E$61,0))="","",INDEX(Factory_PO!$D$2:$D$61,MATCH(B77&amp;"|"&amp;C77,Factory_PO!$E$2:$E$61,0))),"")</f>
        <v>1396</v>
      </c>
      <c r="V77" s="17">
        <f t="shared" si="36"/>
        <v>1396</v>
      </c>
      <c r="W77">
        <f t="shared" si="37"/>
        <v>1</v>
      </c>
      <c r="X77" t="str">
        <f t="shared" si="38"/>
        <v>Complete</v>
      </c>
      <c r="Y77">
        <f t="shared" si="39"/>
        <v>1</v>
      </c>
      <c r="Z77" s="10">
        <f t="shared" si="40"/>
        <v>0.29049665710213662</v>
      </c>
      <c r="AA77" s="18">
        <f t="shared" si="41"/>
        <v>0.29049665710213662</v>
      </c>
      <c r="AB77" t="s">
        <v>1427</v>
      </c>
    </row>
    <row r="78" spans="1:28" ht="15" customHeight="1" x14ac:dyDescent="0.25">
      <c r="A78" t="s">
        <v>8</v>
      </c>
      <c r="B78" t="s">
        <v>69</v>
      </c>
      <c r="C78">
        <v>7</v>
      </c>
      <c r="D78" t="str">
        <f t="shared" si="28"/>
        <v>S6s|7</v>
      </c>
      <c r="E78" t="str">
        <f>UPPER(MID(INDEX(raw_comp_PTA!$C$2:$C$81,MATCH(D78,raw_comp_PTA!$J$2:$J$81,0)),5,2))</f>
        <v>RD</v>
      </c>
      <c r="F78" s="3">
        <f>_xlfn.MINIFS(raw_outputtable!$J$2:$J$816,raw_outputtable!$A$2:$A$816,A78,raw_outputtable!$B$2:$B$816,C78)</f>
        <v>540</v>
      </c>
      <c r="G78" s="3">
        <f>_xlfn.MAXIFS(raw_outputtable!$K$2:$K$816,raw_outputtable!$A$2:$A$816,A78,raw_outputtable!$B$2:$B$816,C78)</f>
        <v>1833.0666667164769</v>
      </c>
      <c r="H78" s="3">
        <f t="shared" si="29"/>
        <v>1293.0666667164769</v>
      </c>
      <c r="I78" s="16">
        <f t="shared" si="30"/>
        <v>1293.0666667164769</v>
      </c>
      <c r="J78" s="3">
        <f>INDEX(raw_comp_PTA!$H$2:$H$81,MATCH(D78,raw_comp_PTA!$J$2:$J$81,0))</f>
        <v>477.1</v>
      </c>
      <c r="K78" s="16">
        <f t="shared" si="31"/>
        <v>477.1</v>
      </c>
      <c r="L78" s="3">
        <f>SUMIFS(raw_comp_PTA_stations!$E$2:$E$461,raw_comp_PTA_stations!$A$2:$A$461,A78,raw_comp_PTA_stations!$B$2:$B$461,C78,raw_comp_PTA_stations!$C$2:$C$461,"ws*")</f>
        <v>771.23</v>
      </c>
      <c r="M78" s="16">
        <f t="shared" si="32"/>
        <v>771.23</v>
      </c>
      <c r="N78" s="3">
        <f>INDEX(raw_comp_PTA!$G$2:$G$81,MATCH(D78,raw_comp_PTA!$J$2:$J$81,0))</f>
        <v>1258.07</v>
      </c>
      <c r="O78" s="16">
        <f t="shared" si="33"/>
        <v>1258.07</v>
      </c>
      <c r="P78">
        <f>COUNTIFS(raw_outputtable!$A$2:$A$816,A78,raw_outputtable!$B$2:$B$816,C78)</f>
        <v>8</v>
      </c>
      <c r="Q78">
        <f>INDEX(raw_casetable!$F$2:$F$81,MATCH(D78,raw_casetable!$G$2:$G$81,0))</f>
        <v>8</v>
      </c>
      <c r="R78">
        <f t="shared" si="34"/>
        <v>1</v>
      </c>
      <c r="S78">
        <f>IFERROR(IF(INDEX(Factory_PO!$C$2:$C$61,MATCH(B78&amp;"|"&amp;C78,Factory_PO!$E$2:$E$61,0))="","",INDEX(Factory_PO!$C$2:$C$61,MATCH(B78&amp;"|"&amp;C78,Factory_PO!$E$2:$E$61,0))),"")</f>
        <v>495</v>
      </c>
      <c r="T78" s="17">
        <f t="shared" si="35"/>
        <v>495</v>
      </c>
      <c r="U78">
        <f>IFERROR(IF(INDEX(Factory_PO!$D$2:$D$61,MATCH(B78&amp;"|"&amp;C78,Factory_PO!$E$2:$E$61,0))="","",INDEX(Factory_PO!$D$2:$D$61,MATCH(B78&amp;"|"&amp;C78,Factory_PO!$E$2:$E$61,0))),"")</f>
        <v>1456</v>
      </c>
      <c r="V78" s="17">
        <f t="shared" si="36"/>
        <v>1456</v>
      </c>
      <c r="W78">
        <f t="shared" si="37"/>
        <v>1</v>
      </c>
      <c r="X78" t="str">
        <f t="shared" si="38"/>
        <v>Complete</v>
      </c>
      <c r="Y78">
        <f t="shared" si="39"/>
        <v>1</v>
      </c>
      <c r="Z78" s="10">
        <f t="shared" si="40"/>
        <v>-0.11190476187055158</v>
      </c>
      <c r="AA78" s="18">
        <f t="shared" si="41"/>
        <v>-0.11190476187055158</v>
      </c>
      <c r="AB78" t="s">
        <v>1427</v>
      </c>
    </row>
    <row r="79" spans="1:28" ht="15" customHeight="1" x14ac:dyDescent="0.25">
      <c r="A79" t="s">
        <v>8</v>
      </c>
      <c r="B79" t="s">
        <v>69</v>
      </c>
      <c r="C79">
        <v>8</v>
      </c>
      <c r="D79" t="str">
        <f t="shared" si="28"/>
        <v>S6s|8</v>
      </c>
      <c r="E79" t="str">
        <f>UPPER(MID(INDEX(raw_comp_PTA!$C$2:$C$81,MATCH(D79,raw_comp_PTA!$J$2:$J$81,0)),5,2))</f>
        <v>HD</v>
      </c>
      <c r="F79" s="3">
        <f>_xlfn.MINIFS(raw_outputtable!$J$2:$J$816,raw_outputtable!$A$2:$A$816,A79,raw_outputtable!$B$2:$B$816,C79)</f>
        <v>630</v>
      </c>
      <c r="G79" s="3">
        <f>_xlfn.MAXIFS(raw_outputtable!$K$2:$K$816,raw_outputtable!$A$2:$A$816,A79,raw_outputtable!$B$2:$B$816,C79)</f>
        <v>2343.3999999880325</v>
      </c>
      <c r="H79" s="3">
        <f t="shared" si="29"/>
        <v>1713.3999999880325</v>
      </c>
      <c r="I79" s="16" t="str">
        <f t="shared" si="30"/>
        <v>DNF</v>
      </c>
      <c r="J79" s="3">
        <f>INDEX(raw_comp_PTA!$H$2:$H$81,MATCH(D79,raw_comp_PTA!$J$2:$J$81,0))</f>
        <v>640.70000000000005</v>
      </c>
      <c r="K79" s="16" t="str">
        <f t="shared" si="31"/>
        <v>DNF</v>
      </c>
      <c r="L79" s="3">
        <f>SUMIFS(raw_comp_PTA_stations!$E$2:$E$461,raw_comp_PTA_stations!$A$2:$A$461,A79,raw_comp_PTA_stations!$B$2:$B$461,C79,raw_comp_PTA_stations!$C$2:$C$461,"ws*")</f>
        <v>1136.44</v>
      </c>
      <c r="M79" s="16" t="str">
        <f t="shared" si="32"/>
        <v>DNF</v>
      </c>
      <c r="N79" s="3">
        <f>INDEX(raw_comp_PTA!$G$2:$G$81,MATCH(D79,raw_comp_PTA!$J$2:$J$81,0))</f>
        <v>1681.47</v>
      </c>
      <c r="O79" s="16" t="str">
        <f t="shared" si="33"/>
        <v>DNF</v>
      </c>
      <c r="P79">
        <f>COUNTIFS(raw_outputtable!$A$2:$A$816,A79,raw_outputtable!$B$2:$B$816,C79)</f>
        <v>9</v>
      </c>
      <c r="Q79">
        <f>INDEX(raw_casetable!$F$2:$F$81,MATCH(D79,raw_casetable!$G$2:$G$81,0))</f>
        <v>14</v>
      </c>
      <c r="R79">
        <f t="shared" si="34"/>
        <v>0</v>
      </c>
      <c r="S79">
        <f>IFERROR(IF(INDEX(Factory_PO!$C$2:$C$61,MATCH(B79&amp;"|"&amp;C79,Factory_PO!$E$2:$E$61,0))="","",INDEX(Factory_PO!$C$2:$C$61,MATCH(B79&amp;"|"&amp;C79,Factory_PO!$E$2:$E$61,0))),"")</f>
        <v>1011</v>
      </c>
      <c r="T79" s="17" t="str">
        <f t="shared" si="35"/>
        <v>DNF</v>
      </c>
      <c r="U79" t="str">
        <f>IFERROR(IF(INDEX(Factory_PO!$D$2:$D$61,MATCH(B79&amp;"|"&amp;C79,Factory_PO!$E$2:$E$61,0))="","",INDEX(Factory_PO!$D$2:$D$61,MATCH(B79&amp;"|"&amp;C79,Factory_PO!$E$2:$E$61,0))),"")</f>
        <v/>
      </c>
      <c r="V79" s="17" t="str">
        <f t="shared" si="36"/>
        <v>DNF</v>
      </c>
      <c r="W79">
        <f t="shared" si="37"/>
        <v>0</v>
      </c>
      <c r="X79" t="str">
        <f t="shared" si="38"/>
        <v>DNF (sim + factory)</v>
      </c>
      <c r="Y79">
        <f t="shared" si="39"/>
        <v>0</v>
      </c>
      <c r="Z79" s="10" t="str">
        <f t="shared" si="40"/>
        <v/>
      </c>
      <c r="AA79" s="18" t="str">
        <f t="shared" si="41"/>
        <v>DNF</v>
      </c>
      <c r="AB79" t="s">
        <v>1427</v>
      </c>
    </row>
    <row r="80" spans="1:28" ht="15" customHeight="1" x14ac:dyDescent="0.25">
      <c r="A80" t="s">
        <v>8</v>
      </c>
      <c r="B80" t="s">
        <v>69</v>
      </c>
      <c r="C80">
        <v>9</v>
      </c>
      <c r="D80" t="str">
        <f t="shared" si="28"/>
        <v>S6s|9</v>
      </c>
      <c r="E80" t="str">
        <f>UPPER(MID(INDEX(raw_comp_PTA!$C$2:$C$81,MATCH(D80,raw_comp_PTA!$J$2:$J$81,0)),5,2))</f>
        <v>RD</v>
      </c>
      <c r="F80" s="3">
        <f>_xlfn.MINIFS(raw_outputtable!$J$2:$J$816,raw_outputtable!$A$2:$A$816,A80,raw_outputtable!$B$2:$B$816,C80)</f>
        <v>720</v>
      </c>
      <c r="G80" s="3">
        <f>_xlfn.MAXIFS(raw_outputtable!$K$2:$K$816,raw_outputtable!$A$2:$A$816,A80,raw_outputtable!$B$2:$B$816,C80)</f>
        <v>2193.400000075344</v>
      </c>
      <c r="H80" s="3">
        <f t="shared" si="29"/>
        <v>1473.400000075344</v>
      </c>
      <c r="I80" s="16" t="str">
        <f t="shared" si="30"/>
        <v>DNF</v>
      </c>
      <c r="J80" s="3">
        <f>INDEX(raw_comp_PTA!$H$2:$H$81,MATCH(D80,raw_comp_PTA!$J$2:$J$81,0))</f>
        <v>355</v>
      </c>
      <c r="K80" s="16" t="str">
        <f t="shared" si="31"/>
        <v>DNF</v>
      </c>
      <c r="L80" s="3">
        <f>SUMIFS(raw_comp_PTA_stations!$E$2:$E$461,raw_comp_PTA_stations!$A$2:$A$461,A80,raw_comp_PTA_stations!$B$2:$B$461,C80,raw_comp_PTA_stations!$C$2:$C$461,"ws*")</f>
        <v>1272.3999999999999</v>
      </c>
      <c r="M80" s="16" t="str">
        <f t="shared" si="32"/>
        <v>DNF</v>
      </c>
      <c r="N80" s="3">
        <f>INDEX(raw_comp_PTA!$G$2:$G$81,MATCH(D80,raw_comp_PTA!$J$2:$J$81,0))</f>
        <v>1436.53</v>
      </c>
      <c r="O80" s="16" t="str">
        <f t="shared" si="33"/>
        <v>DNF</v>
      </c>
      <c r="P80">
        <f>COUNTIFS(raw_outputtable!$A$2:$A$816,A80,raw_outputtable!$B$2:$B$816,C80)</f>
        <v>5</v>
      </c>
      <c r="Q80">
        <f>INDEX(raw_casetable!$F$2:$F$81,MATCH(D80,raw_casetable!$G$2:$G$81,0))</f>
        <v>8</v>
      </c>
      <c r="R80">
        <f t="shared" si="34"/>
        <v>0</v>
      </c>
      <c r="S80">
        <f>IFERROR(IF(INDEX(Factory_PO!$C$2:$C$61,MATCH(B80&amp;"|"&amp;C80,Factory_PO!$E$2:$E$61,0))="","",INDEX(Factory_PO!$C$2:$C$61,MATCH(B80&amp;"|"&amp;C80,Factory_PO!$E$2:$E$61,0))),"")</f>
        <v>660</v>
      </c>
      <c r="T80" s="17" t="str">
        <f t="shared" si="35"/>
        <v>DNF</v>
      </c>
      <c r="U80">
        <f>IFERROR(IF(INDEX(Factory_PO!$D$2:$D$61,MATCH(B80&amp;"|"&amp;C80,Factory_PO!$E$2:$E$61,0))="","",INDEX(Factory_PO!$D$2:$D$61,MATCH(B80&amp;"|"&amp;C80,Factory_PO!$E$2:$E$61,0))),"")</f>
        <v>1546</v>
      </c>
      <c r="V80" s="17" t="str">
        <f t="shared" si="36"/>
        <v>DNF</v>
      </c>
      <c r="W80">
        <f t="shared" si="37"/>
        <v>1</v>
      </c>
      <c r="X80" t="str">
        <f t="shared" si="38"/>
        <v>DNF (sim)</v>
      </c>
      <c r="Y80">
        <f t="shared" si="39"/>
        <v>0</v>
      </c>
      <c r="Z80" s="10">
        <f t="shared" si="40"/>
        <v>-4.6959896458380342E-2</v>
      </c>
      <c r="AA80" s="18" t="str">
        <f t="shared" si="41"/>
        <v>DNF</v>
      </c>
      <c r="AB80" t="s">
        <v>1427</v>
      </c>
    </row>
    <row r="81" spans="1:28" ht="15" customHeight="1" x14ac:dyDescent="0.25">
      <c r="A81" t="s">
        <v>8</v>
      </c>
      <c r="B81" t="s">
        <v>69</v>
      </c>
      <c r="C81">
        <v>10</v>
      </c>
      <c r="D81" t="str">
        <f t="shared" si="28"/>
        <v>S6s|10</v>
      </c>
      <c r="E81" t="str">
        <f>UPPER(MID(INDEX(raw_comp_PTA!$C$2:$C$81,MATCH(D81,raw_comp_PTA!$J$2:$J$81,0)),5,2))</f>
        <v>SA</v>
      </c>
      <c r="F81" s="3">
        <f>_xlfn.MINIFS(raw_outputtable!$J$2:$J$816,raw_outputtable!$A$2:$A$816,A81,raw_outputtable!$B$2:$B$816,C81)</f>
        <v>810</v>
      </c>
      <c r="G81" s="3">
        <f>_xlfn.MAXIFS(raw_outputtable!$K$2:$K$816,raw_outputtable!$A$2:$A$816,A81,raw_outputtable!$B$2:$B$816,C81)</f>
        <v>2131.5333333634771</v>
      </c>
      <c r="H81" s="3">
        <f t="shared" si="29"/>
        <v>1321.5333333634771</v>
      </c>
      <c r="I81" s="16" t="str">
        <f t="shared" si="30"/>
        <v>DNF</v>
      </c>
      <c r="J81" s="3">
        <f>INDEX(raw_comp_PTA!$H$2:$H$81,MATCH(D81,raw_comp_PTA!$J$2:$J$81,0))</f>
        <v>525.1</v>
      </c>
      <c r="K81" s="16" t="str">
        <f t="shared" si="31"/>
        <v>DNF</v>
      </c>
      <c r="L81" s="3">
        <f>SUMIFS(raw_comp_PTA_stations!$E$2:$E$461,raw_comp_PTA_stations!$A$2:$A$461,A81,raw_comp_PTA_stations!$B$2:$B$461,C81,raw_comp_PTA_stations!$C$2:$C$461,"ws*")</f>
        <v>756.30000000000007</v>
      </c>
      <c r="M81" s="16" t="str">
        <f t="shared" si="32"/>
        <v>DNF</v>
      </c>
      <c r="N81" s="3">
        <f>INDEX(raw_comp_PTA!$G$2:$G$81,MATCH(D81,raw_comp_PTA!$J$2:$J$81,0))</f>
        <v>1287.1600000000001</v>
      </c>
      <c r="O81" s="16" t="str">
        <f t="shared" si="33"/>
        <v>DNF</v>
      </c>
      <c r="P81">
        <f>COUNTIFS(raw_outputtable!$A$2:$A$816,A81,raw_outputtable!$B$2:$B$816,C81)</f>
        <v>9</v>
      </c>
      <c r="Q81">
        <f>INDEX(raw_casetable!$F$2:$F$81,MATCH(D81,raw_casetable!$G$2:$G$81,0))</f>
        <v>9</v>
      </c>
      <c r="R81">
        <f t="shared" si="34"/>
        <v>1</v>
      </c>
      <c r="S81">
        <f>IFERROR(IF(INDEX(Factory_PO!$C$2:$C$61,MATCH(B81&amp;"|"&amp;C81,Factory_PO!$E$2:$E$61,0))="","",INDEX(Factory_PO!$C$2:$C$61,MATCH(B81&amp;"|"&amp;C81,Factory_PO!$E$2:$E$61,0))),"")</f>
        <v>463</v>
      </c>
      <c r="T81" s="17" t="str">
        <f t="shared" si="35"/>
        <v>DNF</v>
      </c>
      <c r="U81" t="str">
        <f>IFERROR(IF(INDEX(Factory_PO!$D$2:$D$61,MATCH(B81&amp;"|"&amp;C81,Factory_PO!$E$2:$E$61,0))="","",INDEX(Factory_PO!$D$2:$D$61,MATCH(B81&amp;"|"&amp;C81,Factory_PO!$E$2:$E$61,0))),"")</f>
        <v/>
      </c>
      <c r="V81" s="17" t="str">
        <f t="shared" si="36"/>
        <v>DNF</v>
      </c>
      <c r="W81">
        <f t="shared" si="37"/>
        <v>0</v>
      </c>
      <c r="X81" t="str">
        <f t="shared" si="38"/>
        <v>DNF (factory)</v>
      </c>
      <c r="Y81">
        <f t="shared" si="39"/>
        <v>0</v>
      </c>
      <c r="Z81" s="10" t="str">
        <f t="shared" si="40"/>
        <v/>
      </c>
      <c r="AA81" s="18" t="str">
        <f t="shared" si="41"/>
        <v>DNF</v>
      </c>
      <c r="AB81" t="s">
        <v>1427</v>
      </c>
    </row>
  </sheetData>
  <autoFilter ref="A1:R81" xr:uid="{00000000-0009-0000-0000-00000F000000}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4E9A6A"/>
  </sheetPr>
  <dimension ref="A1:M38"/>
  <sheetViews>
    <sheetView zoomScaleNormal="100" workbookViewId="0">
      <pane ySplit="1" topLeftCell="A2" activePane="bottomLeft" state="frozen"/>
      <selection pane="bottomLeft" activeCell="N1" sqref="N1:N1048576"/>
    </sheetView>
  </sheetViews>
  <sheetFormatPr baseColWidth="10" defaultColWidth="9.140625" defaultRowHeight="15" x14ac:dyDescent="0.25"/>
  <cols>
    <col min="1" max="8" width="12" customWidth="1"/>
    <col min="9" max="9" width="15" customWidth="1"/>
    <col min="10" max="10" width="27" customWidth="1"/>
    <col min="11" max="11" width="13" customWidth="1"/>
    <col min="12" max="12" width="15" customWidth="1"/>
    <col min="13" max="13" width="17" customWidth="1"/>
    <col min="14" max="14" width="20" customWidth="1"/>
  </cols>
  <sheetData>
    <row r="1" spans="1:13" ht="15" customHeight="1" x14ac:dyDescent="0.25">
      <c r="A1" s="15" t="s">
        <v>55</v>
      </c>
      <c r="B1" s="15" t="s">
        <v>10</v>
      </c>
      <c r="C1" s="15" t="s">
        <v>343</v>
      </c>
      <c r="D1" s="15" t="s">
        <v>271</v>
      </c>
      <c r="E1" s="15" t="s">
        <v>1428</v>
      </c>
      <c r="F1" s="15" t="s">
        <v>1429</v>
      </c>
      <c r="G1" s="15" t="s">
        <v>1430</v>
      </c>
      <c r="H1" s="15" t="s">
        <v>1431</v>
      </c>
      <c r="I1" s="15" t="s">
        <v>1432</v>
      </c>
      <c r="J1" s="15" t="s">
        <v>1433</v>
      </c>
      <c r="K1" s="15" t="s">
        <v>1434</v>
      </c>
      <c r="L1" s="13" t="s">
        <v>1435</v>
      </c>
      <c r="M1" s="15" t="s">
        <v>1436</v>
      </c>
    </row>
    <row r="2" spans="1:13" ht="15" customHeight="1" x14ac:dyDescent="0.25">
      <c r="A2" t="s">
        <v>1</v>
      </c>
      <c r="B2" t="s">
        <v>58</v>
      </c>
      <c r="C2" t="s">
        <v>347</v>
      </c>
      <c r="D2" t="str">
        <f t="shared" ref="D2:D38" si="0">B2&amp;"|"&amp;C2</f>
        <v>1|ws-03_S1toS4</v>
      </c>
      <c r="E2" s="3">
        <f>INDEX(raw_station_stats_absolute!$C$2:$C$46,MATCH(A2&amp;"|"&amp;C2,raw_station_stats_absolute!$J$2:$J$46,0))</f>
        <v>2399</v>
      </c>
      <c r="F2" s="3">
        <f>INDEX(raw_station_stats_absolute!$D$2:$D$46,MATCH(A2&amp;"|"&amp;C2,raw_station_stats_absolute!$J$2:$J$46,0))</f>
        <v>2110.1999999999998</v>
      </c>
      <c r="G2" s="3">
        <f>INDEX(raw_station_stats_absolute!$E$2:$E$46,MATCH(A2&amp;"|"&amp;C2,raw_station_stats_absolute!$J$2:$J$46,0))</f>
        <v>5.6</v>
      </c>
      <c r="H2" s="3">
        <f>INDEX(raw_station_stats_absolute!$F$2:$F$46,MATCH(A2&amp;"|"&amp;C2,raw_station_stats_absolute!$J$2:$J$46,0))</f>
        <v>283.2</v>
      </c>
      <c r="I2">
        <f>INDEX(raw_station_stats_absolute!$I$2:$I$46,MATCH(A2&amp;"|"&amp;C2,raw_station_stats_absolute!$J$2:$J$46,0))</f>
        <v>10</v>
      </c>
      <c r="J2">
        <f>COUNTIFS(raw_eventlog_created_objects!$A$2:$A$826,A2,raw_eventlog_created_objects!$C$2:$C$826,C2,raw_eventlog_created_objects!$G$2:$G$826,1)</f>
        <v>46</v>
      </c>
      <c r="K2" s="7">
        <f t="shared" ref="K2:K38" si="1">F2/E2</f>
        <v>0.87961650687786574</v>
      </c>
      <c r="L2" s="7">
        <f>INDEX(Factory_Stations!$F$2:$F$28,MATCH(D2,Factory_Stations!$C$2:$C$28,0))/100</f>
        <v>0.82284768211920489</v>
      </c>
      <c r="M2" s="19">
        <f t="shared" ref="M2:M38" si="2">(K2-L2)*100</f>
        <v>5.6768824758660852</v>
      </c>
    </row>
    <row r="3" spans="1:13" ht="15" customHeight="1" x14ac:dyDescent="0.25">
      <c r="A3" t="s">
        <v>1</v>
      </c>
      <c r="B3" t="s">
        <v>58</v>
      </c>
      <c r="C3" t="s">
        <v>348</v>
      </c>
      <c r="D3" t="str">
        <f t="shared" si="0"/>
        <v>1|ws-04_S5S7</v>
      </c>
      <c r="E3" s="3">
        <f>INDEX(raw_station_stats_absolute!$C$2:$C$46,MATCH(A3&amp;"|"&amp;C3,raw_station_stats_absolute!$J$2:$J$46,0))</f>
        <v>2399</v>
      </c>
      <c r="F3" s="3">
        <f>INDEX(raw_station_stats_absolute!$D$2:$D$46,MATCH(A3&amp;"|"&amp;C3,raw_station_stats_absolute!$J$2:$J$46,0))</f>
        <v>775.2</v>
      </c>
      <c r="G3" s="3">
        <f>INDEX(raw_station_stats_absolute!$E$2:$E$46,MATCH(A3&amp;"|"&amp;C3,raw_station_stats_absolute!$J$2:$J$46,0))</f>
        <v>1.2</v>
      </c>
      <c r="H3" s="3">
        <f>INDEX(raw_station_stats_absolute!$F$2:$F$46,MATCH(A3&amp;"|"&amp;C3,raw_station_stats_absolute!$J$2:$J$46,0))</f>
        <v>1622.6</v>
      </c>
      <c r="I3">
        <f>INDEX(raw_station_stats_absolute!$I$2:$I$46,MATCH(A3&amp;"|"&amp;C3,raw_station_stats_absolute!$J$2:$J$46,0))</f>
        <v>6</v>
      </c>
      <c r="J3">
        <f>COUNTIFS(raw_eventlog_created_objects!$A$2:$A$826,A3,raw_eventlog_created_objects!$C$2:$C$826,C3,raw_eventlog_created_objects!$G$2:$G$826,1)</f>
        <v>6</v>
      </c>
      <c r="K3" s="7">
        <f t="shared" si="1"/>
        <v>0.32313463943309717</v>
      </c>
      <c r="L3" s="7">
        <f>INDEX(Factory_Stations!$F$2:$F$28,MATCH(D3,Factory_Stations!$C$2:$C$28,0))/100</f>
        <v>0.31291390728476798</v>
      </c>
      <c r="M3" s="19">
        <f t="shared" si="2"/>
        <v>1.0220732148329192</v>
      </c>
    </row>
    <row r="4" spans="1:13" ht="15" customHeight="1" x14ac:dyDescent="0.25">
      <c r="A4" t="s">
        <v>1</v>
      </c>
      <c r="B4" t="s">
        <v>58</v>
      </c>
      <c r="C4" t="s">
        <v>349</v>
      </c>
      <c r="D4" t="str">
        <f t="shared" si="0"/>
        <v>1|ws-05_S6S8</v>
      </c>
      <c r="E4" s="3">
        <f>INDEX(raw_station_stats_absolute!$C$2:$C$46,MATCH(A4&amp;"|"&amp;C4,raw_station_stats_absolute!$J$2:$J$46,0))</f>
        <v>2399</v>
      </c>
      <c r="F4" s="3">
        <f>INDEX(raw_station_stats_absolute!$D$2:$D$46,MATCH(A4&amp;"|"&amp;C4,raw_station_stats_absolute!$J$2:$J$46,0))</f>
        <v>1275.2</v>
      </c>
      <c r="G4" s="3">
        <f>INDEX(raw_station_stats_absolute!$E$2:$E$46,MATCH(A4&amp;"|"&amp;C4,raw_station_stats_absolute!$J$2:$J$46,0))</f>
        <v>2.4</v>
      </c>
      <c r="H4" s="3">
        <f>INDEX(raw_station_stats_absolute!$F$2:$F$46,MATCH(A4&amp;"|"&amp;C4,raw_station_stats_absolute!$J$2:$J$46,0))</f>
        <v>1121.4000000000001</v>
      </c>
      <c r="I4">
        <f>INDEX(raw_station_stats_absolute!$I$2:$I$46,MATCH(A4&amp;"|"&amp;C4,raw_station_stats_absolute!$J$2:$J$46,0))</f>
        <v>7</v>
      </c>
      <c r="J4">
        <f>COUNTIFS(raw_eventlog_created_objects!$A$2:$A$826,A4,raw_eventlog_created_objects!$C$2:$C$826,C4,raw_eventlog_created_objects!$G$2:$G$826,1)</f>
        <v>17</v>
      </c>
      <c r="K4" s="7">
        <f t="shared" si="1"/>
        <v>0.53155481450604425</v>
      </c>
      <c r="L4" s="7">
        <f>INDEX(Factory_Stations!$F$2:$F$28,MATCH(D4,Factory_Stations!$C$2:$C$28,0))/100</f>
        <v>0.53394039735099297</v>
      </c>
      <c r="M4" s="19">
        <f t="shared" si="2"/>
        <v>-0.23855828449487193</v>
      </c>
    </row>
    <row r="5" spans="1:13" ht="15" customHeight="1" x14ac:dyDescent="0.25">
      <c r="A5" t="s">
        <v>2</v>
      </c>
      <c r="B5" t="s">
        <v>60</v>
      </c>
      <c r="C5" t="s">
        <v>350</v>
      </c>
      <c r="D5" t="str">
        <f t="shared" si="0"/>
        <v>2|ws-01_S1toS8</v>
      </c>
      <c r="E5" s="3">
        <f>INDEX(raw_station_stats_absolute!$C$2:$C$46,MATCH(A5&amp;"|"&amp;C5,raw_station_stats_absolute!$J$2:$J$46,0))</f>
        <v>2399</v>
      </c>
      <c r="F5" s="3">
        <f>INDEX(raw_station_stats_absolute!$D$2:$D$46,MATCH(A5&amp;"|"&amp;C5,raw_station_stats_absolute!$J$2:$J$46,0))</f>
        <v>2364.8000000000002</v>
      </c>
      <c r="G5" s="3">
        <f>INDEX(raw_station_stats_absolute!$E$2:$E$46,MATCH(A5&amp;"|"&amp;C5,raw_station_stats_absolute!$J$2:$J$46,0))</f>
        <v>3</v>
      </c>
      <c r="H5" s="3">
        <f>INDEX(raw_station_stats_absolute!$F$2:$F$46,MATCH(A5&amp;"|"&amp;C5,raw_station_stats_absolute!$J$2:$J$46,0))</f>
        <v>31.3</v>
      </c>
      <c r="I5">
        <f>INDEX(raw_station_stats_absolute!$I$2:$I$46,MATCH(A5&amp;"|"&amp;C5,raw_station_stats_absolute!$J$2:$J$46,0))</f>
        <v>8</v>
      </c>
      <c r="J5">
        <f>COUNTIFS(raw_eventlog_created_objects!$A$2:$A$826,A5,raw_eventlog_created_objects!$C$2:$C$826,C5,raw_eventlog_created_objects!$G$2:$G$826,1)</f>
        <v>28</v>
      </c>
      <c r="K5" s="7">
        <f t="shared" si="1"/>
        <v>0.98574406002501047</v>
      </c>
      <c r="L5" s="7">
        <f>INDEX(Factory_Stations!$F$2:$F$28,MATCH(D5,Factory_Stations!$C$2:$C$28,0))/100</f>
        <v>0.78890728476821192</v>
      </c>
      <c r="M5" s="19">
        <f t="shared" si="2"/>
        <v>19.683677525679855</v>
      </c>
    </row>
    <row r="6" spans="1:13" ht="15" customHeight="1" x14ac:dyDescent="0.25">
      <c r="A6" t="s">
        <v>2</v>
      </c>
      <c r="B6" t="s">
        <v>60</v>
      </c>
      <c r="C6" t="s">
        <v>351</v>
      </c>
      <c r="D6" t="str">
        <f t="shared" si="0"/>
        <v>2|ws-02_S1toS8</v>
      </c>
      <c r="E6" s="3">
        <f>INDEX(raw_station_stats_absolute!$C$2:$C$46,MATCH(A6&amp;"|"&amp;C6,raw_station_stats_absolute!$J$2:$J$46,0))</f>
        <v>2399</v>
      </c>
      <c r="F6" s="3">
        <f>INDEX(raw_station_stats_absolute!$D$2:$D$46,MATCH(A6&amp;"|"&amp;C6,raw_station_stats_absolute!$J$2:$J$46,0))</f>
        <v>2301.4</v>
      </c>
      <c r="G6" s="3">
        <f>INDEX(raw_station_stats_absolute!$E$2:$E$46,MATCH(A6&amp;"|"&amp;C6,raw_station_stats_absolute!$J$2:$J$46,0))</f>
        <v>3</v>
      </c>
      <c r="H6" s="3">
        <f>INDEX(raw_station_stats_absolute!$F$2:$F$46,MATCH(A6&amp;"|"&amp;C6,raw_station_stats_absolute!$J$2:$J$46,0))</f>
        <v>94.6</v>
      </c>
      <c r="I6">
        <f>INDEX(raw_station_stats_absolute!$I$2:$I$46,MATCH(A6&amp;"|"&amp;C6,raw_station_stats_absolute!$J$2:$J$46,0))</f>
        <v>8</v>
      </c>
      <c r="J6">
        <f>COUNTIFS(raw_eventlog_created_objects!$A$2:$A$826,A6,raw_eventlog_created_objects!$C$2:$C$826,C6,raw_eventlog_created_objects!$G$2:$G$826,1)</f>
        <v>28</v>
      </c>
      <c r="K6" s="7">
        <f t="shared" si="1"/>
        <v>0.95931638182576073</v>
      </c>
      <c r="L6" s="7">
        <f>INDEX(Factory_Stations!$F$2:$F$28,MATCH(D6,Factory_Stations!$C$2:$C$28,0))/100</f>
        <v>0.91928807947019908</v>
      </c>
      <c r="M6" s="19">
        <f t="shared" si="2"/>
        <v>4.0028302355561651</v>
      </c>
    </row>
    <row r="7" spans="1:13" ht="15" customHeight="1" x14ac:dyDescent="0.25">
      <c r="A7" t="s">
        <v>2</v>
      </c>
      <c r="B7" t="s">
        <v>60</v>
      </c>
      <c r="C7" t="s">
        <v>352</v>
      </c>
      <c r="D7" t="str">
        <f t="shared" si="0"/>
        <v>2|ws-03_S1toS8</v>
      </c>
      <c r="E7" s="3">
        <f>INDEX(raw_station_stats_absolute!$C$2:$C$46,MATCH(A7&amp;"|"&amp;C7,raw_station_stats_absolute!$J$2:$J$46,0))</f>
        <v>2399</v>
      </c>
      <c r="F7" s="3">
        <f>INDEX(raw_station_stats_absolute!$D$2:$D$46,MATCH(A7&amp;"|"&amp;C7,raw_station_stats_absolute!$J$2:$J$46,0))</f>
        <v>2179</v>
      </c>
      <c r="G7" s="3">
        <f>INDEX(raw_station_stats_absolute!$E$2:$E$46,MATCH(A7&amp;"|"&amp;C7,raw_station_stats_absolute!$J$2:$J$46,0))</f>
        <v>2.8</v>
      </c>
      <c r="H7" s="3">
        <f>INDEX(raw_station_stats_absolute!$F$2:$F$46,MATCH(A7&amp;"|"&amp;C7,raw_station_stats_absolute!$J$2:$J$46,0))</f>
        <v>217.2</v>
      </c>
      <c r="I7">
        <f>INDEX(raw_station_stats_absolute!$I$2:$I$46,MATCH(A7&amp;"|"&amp;C7,raw_station_stats_absolute!$J$2:$J$46,0))</f>
        <v>8</v>
      </c>
      <c r="J7">
        <f>COUNTIFS(raw_eventlog_created_objects!$A$2:$A$826,A7,raw_eventlog_created_objects!$C$2:$C$826,C7,raw_eventlog_created_objects!$G$2:$G$826,1)</f>
        <v>26</v>
      </c>
      <c r="K7" s="7">
        <f t="shared" si="1"/>
        <v>0.90829512296790327</v>
      </c>
      <c r="L7" s="7">
        <f>INDEX(Factory_Stations!$F$2:$F$28,MATCH(D7,Factory_Stations!$C$2:$C$28,0))/100</f>
        <v>0.93046357615893993</v>
      </c>
      <c r="M7" s="19">
        <f t="shared" si="2"/>
        <v>-2.2168453191036663</v>
      </c>
    </row>
    <row r="8" spans="1:13" ht="15" customHeight="1" x14ac:dyDescent="0.25">
      <c r="A8" t="s">
        <v>2</v>
      </c>
      <c r="B8" t="s">
        <v>60</v>
      </c>
      <c r="C8" t="s">
        <v>353</v>
      </c>
      <c r="D8" t="str">
        <f t="shared" si="0"/>
        <v>2|ws-04_S1toS8</v>
      </c>
      <c r="E8" s="3">
        <f>INDEX(raw_station_stats_absolute!$C$2:$C$46,MATCH(A8&amp;"|"&amp;C8,raw_station_stats_absolute!$J$2:$J$46,0))</f>
        <v>2399</v>
      </c>
      <c r="F8" s="3">
        <f>INDEX(raw_station_stats_absolute!$D$2:$D$46,MATCH(A8&amp;"|"&amp;C8,raw_station_stats_absolute!$J$2:$J$46,0))</f>
        <v>2178.6999999999998</v>
      </c>
      <c r="G8" s="3">
        <f>INDEX(raw_station_stats_absolute!$E$2:$E$46,MATCH(A8&amp;"|"&amp;C8,raw_station_stats_absolute!$J$2:$J$46,0))</f>
        <v>2.6</v>
      </c>
      <c r="H8" s="3">
        <f>INDEX(raw_station_stats_absolute!$F$2:$F$46,MATCH(A8&amp;"|"&amp;C8,raw_station_stats_absolute!$J$2:$J$46,0))</f>
        <v>217.7</v>
      </c>
      <c r="I8">
        <f>INDEX(raw_station_stats_absolute!$I$2:$I$46,MATCH(A8&amp;"|"&amp;C8,raw_station_stats_absolute!$J$2:$J$46,0))</f>
        <v>7</v>
      </c>
      <c r="J8">
        <f>COUNTIFS(raw_eventlog_created_objects!$A$2:$A$826,A8,raw_eventlog_created_objects!$C$2:$C$826,C8,raw_eventlog_created_objects!$G$2:$G$826,1)</f>
        <v>25</v>
      </c>
      <c r="K8" s="7">
        <f t="shared" si="1"/>
        <v>0.9081700708628595</v>
      </c>
      <c r="L8" s="7">
        <f>INDEX(Factory_Stations!$F$2:$F$28,MATCH(D8,Factory_Stations!$C$2:$C$28,0))/100</f>
        <v>0.9813741721854311</v>
      </c>
      <c r="M8" s="19">
        <f t="shared" si="2"/>
        <v>-7.3204101322571606</v>
      </c>
    </row>
    <row r="9" spans="1:13" ht="15" customHeight="1" x14ac:dyDescent="0.25">
      <c r="A9" t="s">
        <v>3</v>
      </c>
      <c r="B9" t="s">
        <v>62</v>
      </c>
      <c r="C9" t="s">
        <v>354</v>
      </c>
      <c r="D9" t="str">
        <f t="shared" si="0"/>
        <v>3|ws-01_S1S2</v>
      </c>
      <c r="E9" s="3">
        <f>INDEX(raw_station_stats_absolute!$C$2:$C$46,MATCH(A9&amp;"|"&amp;C9,raw_station_stats_absolute!$J$2:$J$46,0))</f>
        <v>2399</v>
      </c>
      <c r="F9" s="3">
        <f>INDEX(raw_station_stats_absolute!$D$2:$D$46,MATCH(A9&amp;"|"&amp;C9,raw_station_stats_absolute!$J$2:$J$46,0))</f>
        <v>1092</v>
      </c>
      <c r="G9" s="3">
        <f>INDEX(raw_station_stats_absolute!$E$2:$E$46,MATCH(A9&amp;"|"&amp;C9,raw_station_stats_absolute!$J$2:$J$46,0))</f>
        <v>4</v>
      </c>
      <c r="H9" s="3">
        <f>INDEX(raw_station_stats_absolute!$F$2:$F$46,MATCH(A9&amp;"|"&amp;C9,raw_station_stats_absolute!$J$2:$J$46,0))</f>
        <v>1303</v>
      </c>
      <c r="I9">
        <f>INDEX(raw_station_stats_absolute!$I$2:$I$46,MATCH(A9&amp;"|"&amp;C9,raw_station_stats_absolute!$J$2:$J$46,0))</f>
        <v>10</v>
      </c>
      <c r="J9">
        <f>COUNTIFS(raw_eventlog_created_objects!$A$2:$A$826,A9,raw_eventlog_created_objects!$C$2:$C$826,C9,raw_eventlog_created_objects!$G$2:$G$826,1)</f>
        <v>30</v>
      </c>
      <c r="K9" s="7">
        <f t="shared" si="1"/>
        <v>0.4551896623593164</v>
      </c>
      <c r="L9" s="7">
        <f>INDEX(Factory_Stations!$F$2:$F$28,MATCH(D9,Factory_Stations!$C$2:$C$28,0))/100</f>
        <v>0.49057394218684502</v>
      </c>
      <c r="M9" s="19">
        <f t="shared" si="2"/>
        <v>-3.5384279827528617</v>
      </c>
    </row>
    <row r="10" spans="1:13" ht="15" customHeight="1" x14ac:dyDescent="0.25">
      <c r="A10" t="s">
        <v>3</v>
      </c>
      <c r="B10" t="s">
        <v>62</v>
      </c>
      <c r="C10" t="s">
        <v>355</v>
      </c>
      <c r="D10" t="str">
        <f t="shared" si="0"/>
        <v>3|ws-02_S3S4</v>
      </c>
      <c r="E10" s="3">
        <f>INDEX(raw_station_stats_absolute!$C$2:$C$46,MATCH(A10&amp;"|"&amp;C10,raw_station_stats_absolute!$J$2:$J$46,0))</f>
        <v>2399</v>
      </c>
      <c r="F10" s="3">
        <f>INDEX(raw_station_stats_absolute!$D$2:$D$46,MATCH(A10&amp;"|"&amp;C10,raw_station_stats_absolute!$J$2:$J$46,0))</f>
        <v>1882</v>
      </c>
      <c r="G10" s="3">
        <f>INDEX(raw_station_stats_absolute!$E$2:$E$46,MATCH(A10&amp;"|"&amp;C10,raw_station_stats_absolute!$J$2:$J$46,0))</f>
        <v>5</v>
      </c>
      <c r="H10" s="3">
        <f>INDEX(raw_station_stats_absolute!$F$2:$F$46,MATCH(A10&amp;"|"&amp;C10,raw_station_stats_absolute!$J$2:$J$46,0))</f>
        <v>512</v>
      </c>
      <c r="I10">
        <f>INDEX(raw_station_stats_absolute!$I$2:$I$46,MATCH(A10&amp;"|"&amp;C10,raw_station_stats_absolute!$J$2:$J$46,0))</f>
        <v>10</v>
      </c>
      <c r="J10">
        <f>COUNTIFS(raw_eventlog_created_objects!$A$2:$A$826,A10,raw_eventlog_created_objects!$C$2:$C$826,C10,raw_eventlog_created_objects!$G$2:$G$826,1)</f>
        <v>40</v>
      </c>
      <c r="K10" s="7">
        <f t="shared" si="1"/>
        <v>0.78449353897457275</v>
      </c>
      <c r="L10" s="7">
        <f>INDEX(Factory_Stations!$F$2:$F$28,MATCH(D10,Factory_Stations!$C$2:$C$28,0))/100</f>
        <v>0.78550481776288195</v>
      </c>
      <c r="M10" s="19">
        <f t="shared" si="2"/>
        <v>-0.10112787883092</v>
      </c>
    </row>
    <row r="11" spans="1:13" ht="15" customHeight="1" x14ac:dyDescent="0.25">
      <c r="A11" t="s">
        <v>3</v>
      </c>
      <c r="B11" t="s">
        <v>62</v>
      </c>
      <c r="C11" t="s">
        <v>356</v>
      </c>
      <c r="D11" t="str">
        <f t="shared" si="0"/>
        <v>3|ws-03_S5</v>
      </c>
      <c r="E11" s="3">
        <f>INDEX(raw_station_stats_absolute!$C$2:$C$46,MATCH(A11&amp;"|"&amp;C11,raw_station_stats_absolute!$J$2:$J$46,0))</f>
        <v>2399</v>
      </c>
      <c r="F11" s="3">
        <f>INDEX(raw_station_stats_absolute!$D$2:$D$46,MATCH(A11&amp;"|"&amp;C11,raw_station_stats_absolute!$J$2:$J$46,0))</f>
        <v>1703</v>
      </c>
      <c r="G11" s="3">
        <f>INDEX(raw_station_stats_absolute!$E$2:$E$46,MATCH(A11&amp;"|"&amp;C11,raw_station_stats_absolute!$J$2:$J$46,0))</f>
        <v>2</v>
      </c>
      <c r="H11" s="3">
        <f>INDEX(raw_station_stats_absolute!$F$2:$F$46,MATCH(A11&amp;"|"&amp;C11,raw_station_stats_absolute!$J$2:$J$46,0))</f>
        <v>694</v>
      </c>
      <c r="I11">
        <f>INDEX(raw_station_stats_absolute!$I$2:$I$46,MATCH(A11&amp;"|"&amp;C11,raw_station_stats_absolute!$J$2:$J$46,0))</f>
        <v>10</v>
      </c>
      <c r="J11">
        <f>COUNTIFS(raw_eventlog_created_objects!$A$2:$A$826,A11,raw_eventlog_created_objects!$C$2:$C$826,C11,raw_eventlog_created_objects!$G$2:$G$826,1)</f>
        <v>0</v>
      </c>
      <c r="K11" s="7">
        <f t="shared" si="1"/>
        <v>0.70987911629845768</v>
      </c>
      <c r="L11" s="7">
        <f>INDEX(Factory_Stations!$F$2:$F$28,MATCH(D11,Factory_Stations!$C$2:$C$28,0))/100</f>
        <v>0.49141181399245903</v>
      </c>
      <c r="M11" s="19">
        <f t="shared" si="2"/>
        <v>21.846730230599864</v>
      </c>
    </row>
    <row r="12" spans="1:13" ht="15" customHeight="1" x14ac:dyDescent="0.25">
      <c r="A12" t="s">
        <v>3</v>
      </c>
      <c r="B12" t="s">
        <v>62</v>
      </c>
      <c r="C12" t="s">
        <v>357</v>
      </c>
      <c r="D12" t="str">
        <f t="shared" si="0"/>
        <v>3|ws-04_S7</v>
      </c>
      <c r="E12" s="3">
        <f>INDEX(raw_station_stats_absolute!$C$2:$C$46,MATCH(A12&amp;"|"&amp;C12,raw_station_stats_absolute!$J$2:$J$46,0))</f>
        <v>2399</v>
      </c>
      <c r="F12" s="3">
        <f>INDEX(raw_station_stats_absolute!$D$2:$D$46,MATCH(A12&amp;"|"&amp;C12,raw_station_stats_absolute!$J$2:$J$46,0))</f>
        <v>1232</v>
      </c>
      <c r="G12" s="3">
        <f>INDEX(raw_station_stats_absolute!$E$2:$E$46,MATCH(A12&amp;"|"&amp;C12,raw_station_stats_absolute!$J$2:$J$46,0))</f>
        <v>2</v>
      </c>
      <c r="H12" s="3">
        <f>INDEX(raw_station_stats_absolute!$F$2:$F$46,MATCH(A12&amp;"|"&amp;C12,raw_station_stats_absolute!$J$2:$J$46,0))</f>
        <v>1165</v>
      </c>
      <c r="I12">
        <f>INDEX(raw_station_stats_absolute!$I$2:$I$46,MATCH(A12&amp;"|"&amp;C12,raw_station_stats_absolute!$J$2:$J$46,0))</f>
        <v>10</v>
      </c>
      <c r="J12">
        <f>COUNTIFS(raw_eventlog_created_objects!$A$2:$A$826,A12,raw_eventlog_created_objects!$C$2:$C$826,C12,raw_eventlog_created_objects!$G$2:$G$826,1)</f>
        <v>10</v>
      </c>
      <c r="K12" s="7">
        <f t="shared" si="1"/>
        <v>0.51354731137974152</v>
      </c>
      <c r="L12" s="7">
        <f>INDEX(Factory_Stations!$F$2:$F$28,MATCH(D12,Factory_Stations!$C$2:$C$28,0))/100</f>
        <v>0.57771260997067497</v>
      </c>
      <c r="M12" s="19">
        <f t="shared" si="2"/>
        <v>-6.4165298590933446</v>
      </c>
    </row>
    <row r="13" spans="1:13" ht="15" customHeight="1" x14ac:dyDescent="0.25">
      <c r="A13" t="s">
        <v>3</v>
      </c>
      <c r="B13" t="s">
        <v>62</v>
      </c>
      <c r="C13" t="s">
        <v>349</v>
      </c>
      <c r="D13" t="str">
        <f t="shared" si="0"/>
        <v>3|ws-05_S6S8</v>
      </c>
      <c r="E13" s="3">
        <f>INDEX(raw_station_stats_absolute!$C$2:$C$46,MATCH(A13&amp;"|"&amp;C13,raw_station_stats_absolute!$J$2:$J$46,0))</f>
        <v>2399</v>
      </c>
      <c r="F13" s="3">
        <f>INDEX(raw_station_stats_absolute!$D$2:$D$46,MATCH(A13&amp;"|"&amp;C13,raw_station_stats_absolute!$J$2:$J$46,0))</f>
        <v>1823.1</v>
      </c>
      <c r="G13" s="3">
        <f>INDEX(raw_station_stats_absolute!$E$2:$E$46,MATCH(A13&amp;"|"&amp;C13,raw_station_stats_absolute!$J$2:$J$46,0))</f>
        <v>4.5999999999999996</v>
      </c>
      <c r="H13" s="3">
        <f>INDEX(raw_station_stats_absolute!$F$2:$F$46,MATCH(A13&amp;"|"&amp;C13,raw_station_stats_absolute!$J$2:$J$46,0))</f>
        <v>571.4</v>
      </c>
      <c r="I13">
        <f>INDEX(raw_station_stats_absolute!$I$2:$I$46,MATCH(A13&amp;"|"&amp;C13,raw_station_stats_absolute!$J$2:$J$46,0))</f>
        <v>15</v>
      </c>
      <c r="J13">
        <f>COUNTIFS(raw_eventlog_created_objects!$A$2:$A$826,A13,raw_eventlog_created_objects!$C$2:$C$826,C13,raw_eventlog_created_objects!$G$2:$G$826,1)</f>
        <v>39</v>
      </c>
      <c r="K13" s="7">
        <f t="shared" si="1"/>
        <v>0.7599416423509795</v>
      </c>
      <c r="L13" s="7">
        <f>INDEX(Factory_Stations!$F$2:$F$28,MATCH(D13,Factory_Stations!$C$2:$C$28,0))/100</f>
        <v>0.67029744449099293</v>
      </c>
      <c r="M13" s="19">
        <f t="shared" si="2"/>
        <v>8.9644197859986559</v>
      </c>
    </row>
    <row r="14" spans="1:13" ht="15" customHeight="1" x14ac:dyDescent="0.25">
      <c r="A14" t="s">
        <v>4</v>
      </c>
      <c r="B14" t="s">
        <v>62</v>
      </c>
      <c r="C14" t="s">
        <v>354</v>
      </c>
      <c r="D14" t="str">
        <f t="shared" si="0"/>
        <v>3|ws-01_S1S2</v>
      </c>
      <c r="E14" s="3">
        <f>INDEX(raw_station_stats_absolute!$C$2:$C$46,MATCH(A14&amp;"|"&amp;C14,raw_station_stats_absolute!$J$2:$J$46,0))</f>
        <v>2399</v>
      </c>
      <c r="F14" s="3">
        <f>INDEX(raw_station_stats_absolute!$D$2:$D$46,MATCH(A14&amp;"|"&amp;C14,raw_station_stats_absolute!$J$2:$J$46,0))</f>
        <v>1112</v>
      </c>
      <c r="G14" s="3">
        <f>INDEX(raw_station_stats_absolute!$E$2:$E$46,MATCH(A14&amp;"|"&amp;C14,raw_station_stats_absolute!$J$2:$J$46,0))</f>
        <v>4</v>
      </c>
      <c r="H14" s="3">
        <f>INDEX(raw_station_stats_absolute!$F$2:$F$46,MATCH(A14&amp;"|"&amp;C14,raw_station_stats_absolute!$J$2:$J$46,0))</f>
        <v>1283</v>
      </c>
      <c r="I14">
        <f>INDEX(raw_station_stats_absolute!$I$2:$I$46,MATCH(A14&amp;"|"&amp;C14,raw_station_stats_absolute!$J$2:$J$46,0))</f>
        <v>10</v>
      </c>
      <c r="J14">
        <f>COUNTIFS(raw_eventlog_created_objects!$A$2:$A$826,A14,raw_eventlog_created_objects!$C$2:$C$826,C14,raw_eventlog_created_objects!$G$2:$G$826,1)</f>
        <v>30</v>
      </c>
      <c r="K14" s="7">
        <f t="shared" si="1"/>
        <v>0.46352646936223424</v>
      </c>
      <c r="L14" s="7">
        <f>INDEX(Factory_Stations!$F$2:$F$28,MATCH(D14,Factory_Stations!$C$2:$C$28,0))/100</f>
        <v>0.49057394218684502</v>
      </c>
      <c r="M14" s="19">
        <f t="shared" si="2"/>
        <v>-2.7047472824610788</v>
      </c>
    </row>
    <row r="15" spans="1:13" ht="15" customHeight="1" x14ac:dyDescent="0.25">
      <c r="A15" t="s">
        <v>4</v>
      </c>
      <c r="B15" t="s">
        <v>62</v>
      </c>
      <c r="C15" t="s">
        <v>355</v>
      </c>
      <c r="D15" t="str">
        <f t="shared" si="0"/>
        <v>3|ws-02_S3S4</v>
      </c>
      <c r="E15" s="3">
        <f>INDEX(raw_station_stats_absolute!$C$2:$C$46,MATCH(A15&amp;"|"&amp;C15,raw_station_stats_absolute!$J$2:$J$46,0))</f>
        <v>2399</v>
      </c>
      <c r="F15" s="3">
        <f>INDEX(raw_station_stats_absolute!$D$2:$D$46,MATCH(A15&amp;"|"&amp;C15,raw_station_stats_absolute!$J$2:$J$46,0))</f>
        <v>2243.5</v>
      </c>
      <c r="G15" s="3">
        <f>INDEX(raw_station_stats_absolute!$E$2:$E$46,MATCH(A15&amp;"|"&amp;C15,raw_station_stats_absolute!$J$2:$J$46,0))</f>
        <v>4.5</v>
      </c>
      <c r="H15" s="3">
        <f>INDEX(raw_station_stats_absolute!$F$2:$F$46,MATCH(A15&amp;"|"&amp;C15,raw_station_stats_absolute!$J$2:$J$46,0))</f>
        <v>151</v>
      </c>
      <c r="I15">
        <f>INDEX(raw_station_stats_absolute!$I$2:$I$46,MATCH(A15&amp;"|"&amp;C15,raw_station_stats_absolute!$J$2:$J$46,0))</f>
        <v>9</v>
      </c>
      <c r="J15">
        <f>COUNTIFS(raw_eventlog_created_objects!$A$2:$A$826,A15,raw_eventlog_created_objects!$C$2:$C$826,C15,raw_eventlog_created_objects!$G$2:$G$826,1)</f>
        <v>36</v>
      </c>
      <c r="K15" s="7">
        <f t="shared" si="1"/>
        <v>0.93518132555231348</v>
      </c>
      <c r="L15" s="7">
        <f>INDEX(Factory_Stations!$F$2:$F$28,MATCH(D15,Factory_Stations!$C$2:$C$28,0))/100</f>
        <v>0.78550481776288195</v>
      </c>
      <c r="M15" s="19">
        <f t="shared" si="2"/>
        <v>14.967650778943153</v>
      </c>
    </row>
    <row r="16" spans="1:13" ht="15" customHeight="1" x14ac:dyDescent="0.25">
      <c r="A16" t="s">
        <v>4</v>
      </c>
      <c r="B16" t="s">
        <v>62</v>
      </c>
      <c r="C16" t="s">
        <v>356</v>
      </c>
      <c r="D16" t="str">
        <f t="shared" si="0"/>
        <v>3|ws-03_S5</v>
      </c>
      <c r="E16" s="3">
        <f>INDEX(raw_station_stats_absolute!$C$2:$C$46,MATCH(A16&amp;"|"&amp;C16,raw_station_stats_absolute!$J$2:$J$46,0))</f>
        <v>2399</v>
      </c>
      <c r="F16" s="3">
        <f>INDEX(raw_station_stats_absolute!$D$2:$D$46,MATCH(A16&amp;"|"&amp;C16,raw_station_stats_absolute!$J$2:$J$46,0))</f>
        <v>1974.5</v>
      </c>
      <c r="G16" s="3">
        <f>INDEX(raw_station_stats_absolute!$E$2:$E$46,MATCH(A16&amp;"|"&amp;C16,raw_station_stats_absolute!$J$2:$J$46,0))</f>
        <v>1.2</v>
      </c>
      <c r="H16" s="3">
        <f>INDEX(raw_station_stats_absolute!$F$2:$F$46,MATCH(A16&amp;"|"&amp;C16,raw_station_stats_absolute!$J$2:$J$46,0))</f>
        <v>423.3</v>
      </c>
      <c r="I16">
        <f>INDEX(raw_station_stats_absolute!$I$2:$I$46,MATCH(A16&amp;"|"&amp;C16,raw_station_stats_absolute!$J$2:$J$46,0))</f>
        <v>6</v>
      </c>
      <c r="J16">
        <f>COUNTIFS(raw_eventlog_created_objects!$A$2:$A$826,A16,raw_eventlog_created_objects!$C$2:$C$826,C16,raw_eventlog_created_objects!$G$2:$G$826,1)</f>
        <v>0</v>
      </c>
      <c r="K16" s="7">
        <f t="shared" si="1"/>
        <v>0.82305127136306799</v>
      </c>
      <c r="L16" s="7">
        <f>INDEX(Factory_Stations!$F$2:$F$28,MATCH(D16,Factory_Stations!$C$2:$C$28,0))/100</f>
        <v>0.49141181399245903</v>
      </c>
      <c r="M16" s="19">
        <f t="shared" si="2"/>
        <v>33.163945737060899</v>
      </c>
    </row>
    <row r="17" spans="1:13" ht="15" customHeight="1" x14ac:dyDescent="0.25">
      <c r="A17" t="s">
        <v>4</v>
      </c>
      <c r="B17" t="s">
        <v>62</v>
      </c>
      <c r="C17" t="s">
        <v>357</v>
      </c>
      <c r="D17" t="str">
        <f t="shared" si="0"/>
        <v>3|ws-04_S7</v>
      </c>
      <c r="E17" s="3">
        <f>INDEX(raw_station_stats_absolute!$C$2:$C$46,MATCH(A17&amp;"|"&amp;C17,raw_station_stats_absolute!$J$2:$J$46,0))</f>
        <v>2399</v>
      </c>
      <c r="F17" s="3">
        <f>INDEX(raw_station_stats_absolute!$D$2:$D$46,MATCH(A17&amp;"|"&amp;C17,raw_station_stats_absolute!$J$2:$J$46,0))</f>
        <v>751.2</v>
      </c>
      <c r="G17" s="3">
        <f>INDEX(raw_station_stats_absolute!$E$2:$E$46,MATCH(A17&amp;"|"&amp;C17,raw_station_stats_absolute!$J$2:$J$46,0))</f>
        <v>1.2</v>
      </c>
      <c r="H17" s="3">
        <f>INDEX(raw_station_stats_absolute!$F$2:$F$46,MATCH(A17&amp;"|"&amp;C17,raw_station_stats_absolute!$J$2:$J$46,0))</f>
        <v>1646.6</v>
      </c>
      <c r="I17">
        <f>INDEX(raw_station_stats_absolute!$I$2:$I$46,MATCH(A17&amp;"|"&amp;C17,raw_station_stats_absolute!$J$2:$J$46,0))</f>
        <v>6</v>
      </c>
      <c r="J17">
        <f>COUNTIFS(raw_eventlog_created_objects!$A$2:$A$826,A17,raw_eventlog_created_objects!$C$2:$C$826,C17,raw_eventlog_created_objects!$G$2:$G$826,1)</f>
        <v>6</v>
      </c>
      <c r="K17" s="7">
        <f t="shared" si="1"/>
        <v>0.31313047102959568</v>
      </c>
      <c r="L17" s="7">
        <f>INDEX(Factory_Stations!$F$2:$F$28,MATCH(D17,Factory_Stations!$C$2:$C$28,0))/100</f>
        <v>0.57771260997067497</v>
      </c>
      <c r="M17" s="19">
        <f t="shared" si="2"/>
        <v>-26.458213894107928</v>
      </c>
    </row>
    <row r="18" spans="1:13" ht="15" customHeight="1" x14ac:dyDescent="0.25">
      <c r="A18" t="s">
        <v>4</v>
      </c>
      <c r="B18" t="s">
        <v>62</v>
      </c>
      <c r="C18" t="s">
        <v>349</v>
      </c>
      <c r="D18" t="str">
        <f t="shared" si="0"/>
        <v>3|ws-05_S6S8</v>
      </c>
      <c r="E18" s="3">
        <f>INDEX(raw_station_stats_absolute!$C$2:$C$46,MATCH(A18&amp;"|"&amp;C18,raw_station_stats_absolute!$J$2:$J$46,0))</f>
        <v>2399</v>
      </c>
      <c r="F18" s="3">
        <f>INDEX(raw_station_stats_absolute!$D$2:$D$46,MATCH(A18&amp;"|"&amp;C18,raw_station_stats_absolute!$J$2:$J$46,0))</f>
        <v>1363.3</v>
      </c>
      <c r="G18" s="3">
        <f>INDEX(raw_station_stats_absolute!$E$2:$E$46,MATCH(A18&amp;"|"&amp;C18,raw_station_stats_absolute!$J$2:$J$46,0))</f>
        <v>3.3</v>
      </c>
      <c r="H18" s="3">
        <f>INDEX(raw_station_stats_absolute!$F$2:$F$46,MATCH(A18&amp;"|"&amp;C18,raw_station_stats_absolute!$J$2:$J$46,0))</f>
        <v>1032.4000000000001</v>
      </c>
      <c r="I18">
        <f>INDEX(raw_station_stats_absolute!$I$2:$I$46,MATCH(A18&amp;"|"&amp;C18,raw_station_stats_absolute!$J$2:$J$46,0))</f>
        <v>11</v>
      </c>
      <c r="J18">
        <f>COUNTIFS(raw_eventlog_created_objects!$A$2:$A$826,A18,raw_eventlog_created_objects!$C$2:$C$826,C18,raw_eventlog_created_objects!$G$2:$G$826,1)</f>
        <v>28</v>
      </c>
      <c r="K18" s="7">
        <f t="shared" si="1"/>
        <v>0.56827844935389749</v>
      </c>
      <c r="L18" s="7">
        <f>INDEX(Factory_Stations!$F$2:$F$28,MATCH(D18,Factory_Stations!$C$2:$C$28,0))/100</f>
        <v>0.67029744449099293</v>
      </c>
      <c r="M18" s="19">
        <f t="shared" si="2"/>
        <v>-10.201899513709545</v>
      </c>
    </row>
    <row r="19" spans="1:13" ht="15" customHeight="1" x14ac:dyDescent="0.25">
      <c r="A19" t="s">
        <v>5</v>
      </c>
      <c r="B19" t="s">
        <v>65</v>
      </c>
      <c r="C19" t="s">
        <v>359</v>
      </c>
      <c r="D19" t="str">
        <f t="shared" si="0"/>
        <v>4|ws-01_S1toS4</v>
      </c>
      <c r="E19" s="3">
        <f>INDEX(raw_station_stats_absolute!$C$2:$C$46,MATCH(A19&amp;"|"&amp;C19,raw_station_stats_absolute!$J$2:$J$46,0))</f>
        <v>2399</v>
      </c>
      <c r="F19" s="3">
        <f>INDEX(raw_station_stats_absolute!$D$2:$D$46,MATCH(A19&amp;"|"&amp;C19,raw_station_stats_absolute!$J$2:$J$46,0))</f>
        <v>2364</v>
      </c>
      <c r="G19" s="3">
        <f>INDEX(raw_station_stats_absolute!$E$2:$E$46,MATCH(A19&amp;"|"&amp;C19,raw_station_stats_absolute!$J$2:$J$46,0))</f>
        <v>3.8</v>
      </c>
      <c r="H19" s="3">
        <f>INDEX(raw_station_stats_absolute!$F$2:$F$46,MATCH(A19&amp;"|"&amp;C19,raw_station_stats_absolute!$J$2:$J$46,0))</f>
        <v>31.3</v>
      </c>
      <c r="I19">
        <f>INDEX(raw_station_stats_absolute!$I$2:$I$46,MATCH(A19&amp;"|"&amp;C19,raw_station_stats_absolute!$J$2:$J$46,0))</f>
        <v>4</v>
      </c>
      <c r="J19">
        <f>COUNTIFS(raw_eventlog_created_objects!$A$2:$A$826,A19,raw_eventlog_created_objects!$C$2:$C$826,C19,raw_eventlog_created_objects!$G$2:$G$826,1)</f>
        <v>34</v>
      </c>
      <c r="K19" s="7">
        <f t="shared" si="1"/>
        <v>0.98541058774489365</v>
      </c>
      <c r="L19" s="7">
        <f>INDEX(Factory_Stations!$F$2:$F$28,MATCH(D19,Factory_Stations!$C$2:$C$28,0))/100</f>
        <v>0.93173506704591602</v>
      </c>
      <c r="M19" s="19">
        <f t="shared" si="2"/>
        <v>5.367552069897763</v>
      </c>
    </row>
    <row r="20" spans="1:13" ht="15" customHeight="1" x14ac:dyDescent="0.25">
      <c r="A20" t="s">
        <v>5</v>
      </c>
      <c r="B20" t="s">
        <v>65</v>
      </c>
      <c r="C20" t="s">
        <v>360</v>
      </c>
      <c r="D20" t="str">
        <f t="shared" si="0"/>
        <v>4|ws-02_S1toS4</v>
      </c>
      <c r="E20" s="3">
        <f>INDEX(raw_station_stats_absolute!$C$2:$C$46,MATCH(A20&amp;"|"&amp;C20,raw_station_stats_absolute!$J$2:$J$46,0))</f>
        <v>2399</v>
      </c>
      <c r="F20" s="3">
        <f>INDEX(raw_station_stats_absolute!$D$2:$D$46,MATCH(A20&amp;"|"&amp;C20,raw_station_stats_absolute!$J$2:$J$46,0))</f>
        <v>2270.6999999999998</v>
      </c>
      <c r="G20" s="3">
        <f>INDEX(raw_station_stats_absolute!$E$2:$E$46,MATCH(A20&amp;"|"&amp;C20,raw_station_stats_absolute!$J$2:$J$46,0))</f>
        <v>3.7</v>
      </c>
      <c r="H20" s="3">
        <f>INDEX(raw_station_stats_absolute!$F$2:$F$46,MATCH(A20&amp;"|"&amp;C20,raw_station_stats_absolute!$J$2:$J$46,0))</f>
        <v>124.6</v>
      </c>
      <c r="I20">
        <f>INDEX(raw_station_stats_absolute!$I$2:$I$46,MATCH(A20&amp;"|"&amp;C20,raw_station_stats_absolute!$J$2:$J$46,0))</f>
        <v>4</v>
      </c>
      <c r="J20">
        <f>COUNTIFS(raw_eventlog_created_objects!$A$2:$A$826,A20,raw_eventlog_created_objects!$C$2:$C$826,C20,raw_eventlog_created_objects!$G$2:$G$826,1)</f>
        <v>33</v>
      </c>
      <c r="K20" s="7">
        <f t="shared" si="1"/>
        <v>0.9465193830762817</v>
      </c>
      <c r="L20" s="7">
        <f>INDEX(Factory_Stations!$F$2:$F$28,MATCH(D20,Factory_Stations!$C$2:$C$28,0))/100</f>
        <v>0.88988216172287693</v>
      </c>
      <c r="M20" s="19">
        <f t="shared" si="2"/>
        <v>5.6637221353404765</v>
      </c>
    </row>
    <row r="21" spans="1:13" ht="15" customHeight="1" x14ac:dyDescent="0.25">
      <c r="A21" t="s">
        <v>5</v>
      </c>
      <c r="B21" t="s">
        <v>65</v>
      </c>
      <c r="C21" t="s">
        <v>361</v>
      </c>
      <c r="D21" t="str">
        <f t="shared" si="0"/>
        <v>4|ws-03_S5toS8</v>
      </c>
      <c r="E21" s="3">
        <f>INDEX(raw_station_stats_absolute!$C$2:$C$46,MATCH(A21&amp;"|"&amp;C21,raw_station_stats_absolute!$J$2:$J$46,0))</f>
        <v>2399</v>
      </c>
      <c r="F21" s="3">
        <f>INDEX(raw_station_stats_absolute!$D$2:$D$46,MATCH(A21&amp;"|"&amp;C21,raw_station_stats_absolute!$J$2:$J$46,0))</f>
        <v>1826.7</v>
      </c>
      <c r="G21" s="3">
        <f>INDEX(raw_station_stats_absolute!$E$2:$E$46,MATCH(A21&amp;"|"&amp;C21,raw_station_stats_absolute!$J$2:$J$46,0))</f>
        <v>1.5</v>
      </c>
      <c r="H21" s="3">
        <f>INDEX(raw_station_stats_absolute!$F$2:$F$46,MATCH(A21&amp;"|"&amp;C21,raw_station_stats_absolute!$J$2:$J$46,0))</f>
        <v>570.9</v>
      </c>
      <c r="I21">
        <f>INDEX(raw_station_stats_absolute!$I$2:$I$46,MATCH(A21&amp;"|"&amp;C21,raw_station_stats_absolute!$J$2:$J$46,0))</f>
        <v>7</v>
      </c>
      <c r="J21">
        <f>COUNTIFS(raw_eventlog_created_objects!$A$2:$A$826,A21,raw_eventlog_created_objects!$C$2:$C$826,C21,raw_eventlog_created_objects!$G$2:$G$826,1)</f>
        <v>13</v>
      </c>
      <c r="K21" s="7">
        <f t="shared" si="1"/>
        <v>0.7614422676115048</v>
      </c>
      <c r="L21" s="7">
        <f>INDEX(Factory_Stations!$F$2:$F$28,MATCH(D21,Factory_Stations!$C$2:$C$28,0))/100</f>
        <v>0.50629825274278806</v>
      </c>
      <c r="M21" s="19">
        <f t="shared" si="2"/>
        <v>25.514401486871673</v>
      </c>
    </row>
    <row r="22" spans="1:13" ht="15" customHeight="1" x14ac:dyDescent="0.25">
      <c r="A22" t="s">
        <v>5</v>
      </c>
      <c r="B22" t="s">
        <v>65</v>
      </c>
      <c r="C22" t="s">
        <v>362</v>
      </c>
      <c r="D22" t="str">
        <f t="shared" si="0"/>
        <v>4|ws-04_S5toS8</v>
      </c>
      <c r="E22" s="3">
        <f>INDEX(raw_station_stats_absolute!$C$2:$C$46,MATCH(A22&amp;"|"&amp;C22,raw_station_stats_absolute!$J$2:$J$46,0))</f>
        <v>2399</v>
      </c>
      <c r="F22" s="3">
        <f>INDEX(raw_station_stats_absolute!$D$2:$D$46,MATCH(A22&amp;"|"&amp;C22,raw_station_stats_absolute!$J$2:$J$46,0))</f>
        <v>1596</v>
      </c>
      <c r="G22" s="3">
        <f>INDEX(raw_station_stats_absolute!$E$2:$E$46,MATCH(A22&amp;"|"&amp;C22,raw_station_stats_absolute!$J$2:$J$46,0))</f>
        <v>1.4</v>
      </c>
      <c r="H22" s="3">
        <f>INDEX(raw_station_stats_absolute!$F$2:$F$46,MATCH(A22&amp;"|"&amp;C22,raw_station_stats_absolute!$J$2:$J$46,0))</f>
        <v>801.7</v>
      </c>
      <c r="I22">
        <f>INDEX(raw_station_stats_absolute!$I$2:$I$46,MATCH(A22&amp;"|"&amp;C22,raw_station_stats_absolute!$J$2:$J$46,0))</f>
        <v>6</v>
      </c>
      <c r="J22">
        <f>COUNTIFS(raw_eventlog_created_objects!$A$2:$A$826,A22,raw_eventlog_created_objects!$C$2:$C$826,C22,raw_eventlog_created_objects!$G$2:$G$826,1)</f>
        <v>12</v>
      </c>
      <c r="K22" s="7">
        <f t="shared" si="1"/>
        <v>0.66527719883284697</v>
      </c>
      <c r="L22" s="7">
        <f>INDEX(Factory_Stations!$F$2:$F$28,MATCH(D22,Factory_Stations!$C$2:$C$28,0))/100</f>
        <v>0.65826899634295</v>
      </c>
      <c r="M22" s="19">
        <f t="shared" si="2"/>
        <v>0.70082024898969753</v>
      </c>
    </row>
    <row r="23" spans="1:13" ht="15" customHeight="1" x14ac:dyDescent="0.25">
      <c r="A23" t="s">
        <v>5</v>
      </c>
      <c r="B23" t="s">
        <v>65</v>
      </c>
      <c r="C23" t="s">
        <v>363</v>
      </c>
      <c r="D23" t="str">
        <f t="shared" si="0"/>
        <v>4|ws-05_S5toS8</v>
      </c>
      <c r="E23" s="3">
        <f>INDEX(raw_station_stats_absolute!$C$2:$C$46,MATCH(A23&amp;"|"&amp;C23,raw_station_stats_absolute!$J$2:$J$46,0))</f>
        <v>2399</v>
      </c>
      <c r="F23" s="3">
        <f>INDEX(raw_station_stats_absolute!$D$2:$D$46,MATCH(A23&amp;"|"&amp;C23,raw_station_stats_absolute!$J$2:$J$46,0))</f>
        <v>1345.5</v>
      </c>
      <c r="G23" s="3">
        <f>INDEX(raw_station_stats_absolute!$E$2:$E$46,MATCH(A23&amp;"|"&amp;C23,raw_station_stats_absolute!$J$2:$J$46,0))</f>
        <v>1.1000000000000001</v>
      </c>
      <c r="H23" s="3">
        <f>INDEX(raw_station_stats_absolute!$F$2:$F$46,MATCH(A23&amp;"|"&amp;C23,raw_station_stats_absolute!$J$2:$J$46,0))</f>
        <v>1052.4000000000001</v>
      </c>
      <c r="I23">
        <f>INDEX(raw_station_stats_absolute!$I$2:$I$46,MATCH(A23&amp;"|"&amp;C23,raw_station_stats_absolute!$J$2:$J$46,0))</f>
        <v>5</v>
      </c>
      <c r="J23">
        <f>COUNTIFS(raw_eventlog_created_objects!$A$2:$A$826,A23,raw_eventlog_created_objects!$C$2:$C$826,C23,raw_eventlog_created_objects!$G$2:$G$826,1)</f>
        <v>10</v>
      </c>
      <c r="K23" s="7">
        <f t="shared" si="1"/>
        <v>0.56085869112130049</v>
      </c>
      <c r="L23" s="7">
        <f>INDEX(Factory_Stations!$F$2:$F$28,MATCH(D23,Factory_Stations!$C$2:$C$28,0))/100</f>
        <v>0.55424624136529899</v>
      </c>
      <c r="M23" s="19">
        <f t="shared" si="2"/>
        <v>0.66124497560015039</v>
      </c>
    </row>
    <row r="24" spans="1:13" ht="15" customHeight="1" x14ac:dyDescent="0.25">
      <c r="A24" t="s">
        <v>6</v>
      </c>
      <c r="B24" t="s">
        <v>67</v>
      </c>
      <c r="C24" t="s">
        <v>350</v>
      </c>
      <c r="D24" t="str">
        <f t="shared" si="0"/>
        <v>5|ws-01_S1toS8</v>
      </c>
      <c r="E24" s="3">
        <f>INDEX(raw_station_stats_absolute!$C$2:$C$46,MATCH(A24&amp;"|"&amp;C24,raw_station_stats_absolute!$J$2:$J$46,0))</f>
        <v>2399</v>
      </c>
      <c r="F24" s="3">
        <f>INDEX(raw_station_stats_absolute!$D$2:$D$46,MATCH(A24&amp;"|"&amp;C24,raw_station_stats_absolute!$J$2:$J$46,0))</f>
        <v>1513.8</v>
      </c>
      <c r="G24" s="3">
        <f>INDEX(raw_station_stats_absolute!$E$2:$E$46,MATCH(A24&amp;"|"&amp;C24,raw_station_stats_absolute!$J$2:$J$46,0))</f>
        <v>2.2000000000000002</v>
      </c>
      <c r="H24" s="3">
        <f>INDEX(raw_station_stats_absolute!$F$2:$F$46,MATCH(A24&amp;"|"&amp;C24,raw_station_stats_absolute!$J$2:$J$46,0))</f>
        <v>883</v>
      </c>
      <c r="I24">
        <f>INDEX(raw_station_stats_absolute!$I$2:$I$46,MATCH(A24&amp;"|"&amp;C24,raw_station_stats_absolute!$J$2:$J$46,0))</f>
        <v>5</v>
      </c>
      <c r="J24">
        <f>COUNTIFS(raw_eventlog_created_objects!$A$2:$A$826,A24,raw_eventlog_created_objects!$C$2:$C$826,C24,raw_eventlog_created_objects!$G$2:$G$826,1)</f>
        <v>20</v>
      </c>
      <c r="K24" s="7">
        <f t="shared" si="1"/>
        <v>0.63101292205085446</v>
      </c>
      <c r="L24" s="7">
        <f>INDEX(Factory_Stations!$F$2:$F$28,MATCH(D24,Factory_Stations!$C$2:$C$28,0))/100</f>
        <v>0.90866728797763296</v>
      </c>
      <c r="M24" s="19">
        <f t="shared" si="2"/>
        <v>-27.765436592677851</v>
      </c>
    </row>
    <row r="25" spans="1:13" ht="15" customHeight="1" x14ac:dyDescent="0.25">
      <c r="A25" t="s">
        <v>6</v>
      </c>
      <c r="B25" t="s">
        <v>67</v>
      </c>
      <c r="C25" t="s">
        <v>351</v>
      </c>
      <c r="D25" t="str">
        <f t="shared" si="0"/>
        <v>5|ws-02_S1toS8</v>
      </c>
      <c r="E25" s="3">
        <f>INDEX(raw_station_stats_absolute!$C$2:$C$46,MATCH(A25&amp;"|"&amp;C25,raw_station_stats_absolute!$J$2:$J$46,0))</f>
        <v>2399</v>
      </c>
      <c r="F25" s="3">
        <f>INDEX(raw_station_stats_absolute!$D$2:$D$46,MATCH(A25&amp;"|"&amp;C25,raw_station_stats_absolute!$J$2:$J$46,0))</f>
        <v>1421.8</v>
      </c>
      <c r="G25" s="3">
        <f>INDEX(raw_station_stats_absolute!$E$2:$E$46,MATCH(A25&amp;"|"&amp;C25,raw_station_stats_absolute!$J$2:$J$46,0))</f>
        <v>2.2000000000000002</v>
      </c>
      <c r="H25" s="3">
        <f>INDEX(raw_station_stats_absolute!$F$2:$F$46,MATCH(A25&amp;"|"&amp;C25,raw_station_stats_absolute!$J$2:$J$46,0))</f>
        <v>975</v>
      </c>
      <c r="I25">
        <f>INDEX(raw_station_stats_absolute!$I$2:$I$46,MATCH(A25&amp;"|"&amp;C25,raw_station_stats_absolute!$J$2:$J$46,0))</f>
        <v>5</v>
      </c>
      <c r="J25">
        <f>COUNTIFS(raw_eventlog_created_objects!$A$2:$A$826,A25,raw_eventlog_created_objects!$C$2:$C$826,C25,raw_eventlog_created_objects!$G$2:$G$826,1)</f>
        <v>20</v>
      </c>
      <c r="K25" s="7">
        <f t="shared" si="1"/>
        <v>0.59266360983743227</v>
      </c>
      <c r="L25" s="7">
        <f>INDEX(Factory_Stations!$F$2:$F$28,MATCH(D25,Factory_Stations!$C$2:$C$28,0))/100</f>
        <v>0.55964585274930101</v>
      </c>
      <c r="M25" s="19">
        <f t="shared" si="2"/>
        <v>3.3017757088131261</v>
      </c>
    </row>
    <row r="26" spans="1:13" ht="15" customHeight="1" x14ac:dyDescent="0.25">
      <c r="A26" t="s">
        <v>6</v>
      </c>
      <c r="B26" t="s">
        <v>67</v>
      </c>
      <c r="C26" t="s">
        <v>352</v>
      </c>
      <c r="D26" t="str">
        <f t="shared" si="0"/>
        <v>5|ws-03_S1toS8</v>
      </c>
      <c r="E26" s="3">
        <f>INDEX(raw_station_stats_absolute!$C$2:$C$46,MATCH(A26&amp;"|"&amp;C26,raw_station_stats_absolute!$J$2:$J$46,0))</f>
        <v>2399</v>
      </c>
      <c r="F26" s="3">
        <f>INDEX(raw_station_stats_absolute!$D$2:$D$46,MATCH(A26&amp;"|"&amp;C26,raw_station_stats_absolute!$J$2:$J$46,0))</f>
        <v>1513.8</v>
      </c>
      <c r="G26" s="3">
        <f>INDEX(raw_station_stats_absolute!$E$2:$E$46,MATCH(A26&amp;"|"&amp;C26,raw_station_stats_absolute!$J$2:$J$46,0))</f>
        <v>2.2000000000000002</v>
      </c>
      <c r="H26" s="3">
        <f>INDEX(raw_station_stats_absolute!$F$2:$F$46,MATCH(A26&amp;"|"&amp;C26,raw_station_stats_absolute!$J$2:$J$46,0))</f>
        <v>883</v>
      </c>
      <c r="I26">
        <f>INDEX(raw_station_stats_absolute!$I$2:$I$46,MATCH(A26&amp;"|"&amp;C26,raw_station_stats_absolute!$J$2:$J$46,0))</f>
        <v>5</v>
      </c>
      <c r="J26">
        <f>COUNTIFS(raw_eventlog_created_objects!$A$2:$A$826,A26,raw_eventlog_created_objects!$C$2:$C$826,C26,raw_eventlog_created_objects!$G$2:$G$826,1)</f>
        <v>20</v>
      </c>
      <c r="K26" s="7">
        <f t="shared" si="1"/>
        <v>0.63101292205085446</v>
      </c>
      <c r="L26" s="7">
        <f>INDEX(Factory_Stations!$F$2:$F$28,MATCH(D26,Factory_Stations!$C$2:$C$28,0))/100</f>
        <v>0.69245107176141696</v>
      </c>
      <c r="M26" s="19">
        <f t="shared" si="2"/>
        <v>-6.1438149710562495</v>
      </c>
    </row>
    <row r="27" spans="1:13" ht="15" customHeight="1" x14ac:dyDescent="0.25">
      <c r="A27" t="s">
        <v>6</v>
      </c>
      <c r="B27" t="s">
        <v>67</v>
      </c>
      <c r="C27" t="s">
        <v>353</v>
      </c>
      <c r="D27" t="str">
        <f t="shared" si="0"/>
        <v>5|ws-04_S1toS8</v>
      </c>
      <c r="E27" s="3">
        <f>INDEX(raw_station_stats_absolute!$C$2:$C$46,MATCH(A27&amp;"|"&amp;C27,raw_station_stats_absolute!$J$2:$J$46,0))</f>
        <v>2399</v>
      </c>
      <c r="F27" s="3">
        <f>INDEX(raw_station_stats_absolute!$D$2:$D$46,MATCH(A27&amp;"|"&amp;C27,raw_station_stats_absolute!$J$2:$J$46,0))</f>
        <v>1995</v>
      </c>
      <c r="G27" s="3">
        <f>INDEX(raw_station_stats_absolute!$E$2:$E$46,MATCH(A27&amp;"|"&amp;C27,raw_station_stats_absolute!$J$2:$J$46,0))</f>
        <v>2.8</v>
      </c>
      <c r="H27" s="3">
        <f>INDEX(raw_station_stats_absolute!$F$2:$F$46,MATCH(A27&amp;"|"&amp;C27,raw_station_stats_absolute!$J$2:$J$46,0))</f>
        <v>401.2</v>
      </c>
      <c r="I27">
        <f>INDEX(raw_station_stats_absolute!$I$2:$I$46,MATCH(A27&amp;"|"&amp;C27,raw_station_stats_absolute!$J$2:$J$46,0))</f>
        <v>8</v>
      </c>
      <c r="J27">
        <f>COUNTIFS(raw_eventlog_created_objects!$A$2:$A$826,A27,raw_eventlog_created_objects!$C$2:$C$826,C27,raw_eventlog_created_objects!$G$2:$G$826,1)</f>
        <v>26</v>
      </c>
      <c r="K27" s="7">
        <f t="shared" si="1"/>
        <v>0.83159649854105877</v>
      </c>
      <c r="L27" s="7">
        <f>INDEX(Factory_Stations!$F$2:$F$28,MATCH(D27,Factory_Stations!$C$2:$C$28,0))/100</f>
        <v>0.53821062441752099</v>
      </c>
      <c r="M27" s="19">
        <f t="shared" si="2"/>
        <v>29.338587412353778</v>
      </c>
    </row>
    <row r="28" spans="1:13" ht="15" customHeight="1" x14ac:dyDescent="0.25">
      <c r="A28" t="s">
        <v>6</v>
      </c>
      <c r="B28" t="s">
        <v>67</v>
      </c>
      <c r="C28" t="s">
        <v>364</v>
      </c>
      <c r="D28" t="str">
        <f t="shared" si="0"/>
        <v>5|ws-05_S1toS8</v>
      </c>
      <c r="E28" s="3">
        <f>INDEX(raw_station_stats_absolute!$C$2:$C$46,MATCH(A28&amp;"|"&amp;C28,raw_station_stats_absolute!$J$2:$J$46,0))</f>
        <v>2399</v>
      </c>
      <c r="F28" s="3">
        <f>INDEX(raw_station_stats_absolute!$D$2:$D$46,MATCH(A28&amp;"|"&amp;C28,raw_station_stats_absolute!$J$2:$J$46,0))</f>
        <v>1446.8</v>
      </c>
      <c r="G28" s="3">
        <f>INDEX(raw_station_stats_absolute!$E$2:$E$46,MATCH(A28&amp;"|"&amp;C28,raw_station_stats_absolute!$J$2:$J$46,0))</f>
        <v>2.2999999999999998</v>
      </c>
      <c r="H28" s="3">
        <f>INDEX(raw_station_stats_absolute!$F$2:$F$46,MATCH(A28&amp;"|"&amp;C28,raw_station_stats_absolute!$J$2:$J$46,0))</f>
        <v>949.9</v>
      </c>
      <c r="I28">
        <f>INDEX(raw_station_stats_absolute!$I$2:$I$46,MATCH(A28&amp;"|"&amp;C28,raw_station_stats_absolute!$J$2:$J$46,0))</f>
        <v>5</v>
      </c>
      <c r="J28">
        <f>COUNTIFS(raw_eventlog_created_objects!$A$2:$A$826,A28,raw_eventlog_created_objects!$C$2:$C$826,C28,raw_eventlog_created_objects!$G$2:$G$826,1)</f>
        <v>21</v>
      </c>
      <c r="K28" s="7">
        <f t="shared" si="1"/>
        <v>0.60308461859107965</v>
      </c>
      <c r="L28" s="7">
        <f>INDEX(Factory_Stations!$F$2:$F$28,MATCH(D28,Factory_Stations!$C$2:$C$28,0))/100</f>
        <v>0.77586206896551702</v>
      </c>
      <c r="M28" s="19">
        <f t="shared" si="2"/>
        <v>-17.277745037443736</v>
      </c>
    </row>
    <row r="29" spans="1:13" ht="15" customHeight="1" x14ac:dyDescent="0.25">
      <c r="A29" t="s">
        <v>7</v>
      </c>
      <c r="B29" t="s">
        <v>69</v>
      </c>
      <c r="C29" t="s">
        <v>354</v>
      </c>
      <c r="D29" t="str">
        <f t="shared" si="0"/>
        <v>6|ws-01_S1S2</v>
      </c>
      <c r="E29" s="3">
        <f>INDEX(raw_station_stats_absolute!$C$2:$C$46,MATCH(A29&amp;"|"&amp;C29,raw_station_stats_absolute!$J$2:$J$46,0))</f>
        <v>2399</v>
      </c>
      <c r="F29" s="3">
        <f>INDEX(raw_station_stats_absolute!$D$2:$D$46,MATCH(A29&amp;"|"&amp;C29,raw_station_stats_absolute!$J$2:$J$46,0))</f>
        <v>831.4</v>
      </c>
      <c r="G29" s="3">
        <f>INDEX(raw_station_stats_absolute!$E$2:$E$46,MATCH(A29&amp;"|"&amp;C29,raw_station_stats_absolute!$J$2:$J$46,0))</f>
        <v>2.5</v>
      </c>
      <c r="H29" s="3">
        <f>INDEX(raw_station_stats_absolute!$F$2:$F$46,MATCH(A29&amp;"|"&amp;C29,raw_station_stats_absolute!$J$2:$J$46,0))</f>
        <v>1565.1</v>
      </c>
      <c r="I29">
        <f>INDEX(raw_station_stats_absolute!$I$2:$I$46,MATCH(A29&amp;"|"&amp;C29,raw_station_stats_absolute!$J$2:$J$46,0))</f>
        <v>7</v>
      </c>
      <c r="J29">
        <f>COUNTIFS(raw_eventlog_created_objects!$A$2:$A$826,A29,raw_eventlog_created_objects!$C$2:$C$826,C29,raw_eventlog_created_objects!$G$2:$G$826,1)</f>
        <v>18</v>
      </c>
      <c r="K29" s="7">
        <f t="shared" si="1"/>
        <v>0.34656106711129636</v>
      </c>
      <c r="L29" s="7">
        <f>INDEX(Factory_Stations!$F$2:$F$28,MATCH(D29,Factory_Stations!$C$2:$C$28,0))/100</f>
        <v>0.412328196584756</v>
      </c>
      <c r="M29" s="19">
        <f t="shared" si="2"/>
        <v>-6.576712947345964</v>
      </c>
    </row>
    <row r="30" spans="1:13" ht="15" customHeight="1" x14ac:dyDescent="0.25">
      <c r="A30" t="s">
        <v>7</v>
      </c>
      <c r="B30" t="s">
        <v>69</v>
      </c>
      <c r="C30" t="s">
        <v>355</v>
      </c>
      <c r="D30" t="str">
        <f t="shared" si="0"/>
        <v>6|ws-02_S3S4</v>
      </c>
      <c r="E30" s="3">
        <f>INDEX(raw_station_stats_absolute!$C$2:$C$46,MATCH(A30&amp;"|"&amp;C30,raw_station_stats_absolute!$J$2:$J$46,0))</f>
        <v>2399</v>
      </c>
      <c r="F30" s="3">
        <f>INDEX(raw_station_stats_absolute!$D$2:$D$46,MATCH(A30&amp;"|"&amp;C30,raw_station_stats_absolute!$J$2:$J$46,0))</f>
        <v>2362.9</v>
      </c>
      <c r="G30" s="3">
        <f>INDEX(raw_station_stats_absolute!$E$2:$E$46,MATCH(A30&amp;"|"&amp;C30,raw_station_stats_absolute!$J$2:$J$46,0))</f>
        <v>4.0999999999999996</v>
      </c>
      <c r="H30" s="3">
        <f>INDEX(raw_station_stats_absolute!$F$2:$F$46,MATCH(A30&amp;"|"&amp;C30,raw_station_stats_absolute!$J$2:$J$46,0))</f>
        <v>32</v>
      </c>
      <c r="I30">
        <f>INDEX(raw_station_stats_absolute!$I$2:$I$46,MATCH(A30&amp;"|"&amp;C30,raw_station_stats_absolute!$J$2:$J$46,0))</f>
        <v>9</v>
      </c>
      <c r="J30">
        <f>COUNTIFS(raw_eventlog_created_objects!$A$2:$A$826,A30,raw_eventlog_created_objects!$C$2:$C$826,C30,raw_eventlog_created_objects!$G$2:$G$826,1)</f>
        <v>32</v>
      </c>
      <c r="K30" s="7">
        <f t="shared" si="1"/>
        <v>0.98495206335973329</v>
      </c>
      <c r="L30" s="7">
        <f>INDEX(Factory_Stations!$F$2:$F$28,MATCH(D30,Factory_Stations!$C$2:$C$28,0))/100</f>
        <v>0.83673469387755106</v>
      </c>
      <c r="M30" s="19">
        <f t="shared" si="2"/>
        <v>14.821736948218224</v>
      </c>
    </row>
    <row r="31" spans="1:13" ht="15" customHeight="1" x14ac:dyDescent="0.25">
      <c r="A31" t="s">
        <v>7</v>
      </c>
      <c r="B31" t="s">
        <v>69</v>
      </c>
      <c r="C31" t="s">
        <v>356</v>
      </c>
      <c r="D31" t="str">
        <f t="shared" si="0"/>
        <v>6|ws-03_S5</v>
      </c>
      <c r="E31" s="3">
        <f>INDEX(raw_station_stats_absolute!$C$2:$C$46,MATCH(A31&amp;"|"&amp;C31,raw_station_stats_absolute!$J$2:$J$46,0))</f>
        <v>2399</v>
      </c>
      <c r="F31" s="3">
        <f>INDEX(raw_station_stats_absolute!$D$2:$D$46,MATCH(A31&amp;"|"&amp;C31,raw_station_stats_absolute!$J$2:$J$46,0))</f>
        <v>350.6</v>
      </c>
      <c r="G31" s="3">
        <f>INDEX(raw_station_stats_absolute!$E$2:$E$46,MATCH(A31&amp;"|"&amp;C31,raw_station_stats_absolute!$J$2:$J$46,0))</f>
        <v>0.4</v>
      </c>
      <c r="H31" s="3">
        <f>INDEX(raw_station_stats_absolute!$F$2:$F$46,MATCH(A31&amp;"|"&amp;C31,raw_station_stats_absolute!$J$2:$J$46,0))</f>
        <v>2048</v>
      </c>
      <c r="I31">
        <f>INDEX(raw_station_stats_absolute!$I$2:$I$46,MATCH(A31&amp;"|"&amp;C31,raw_station_stats_absolute!$J$2:$J$46,0))</f>
        <v>2</v>
      </c>
      <c r="J31">
        <f>COUNTIFS(raw_eventlog_created_objects!$A$2:$A$826,A31,raw_eventlog_created_objects!$C$2:$C$826,C31,raw_eventlog_created_objects!$G$2:$G$826,1)</f>
        <v>0</v>
      </c>
      <c r="K31" s="7">
        <f t="shared" si="1"/>
        <v>0.14614422676115049</v>
      </c>
      <c r="L31" s="7">
        <f>INDEX(Factory_Stations!$F$2:$F$28,MATCH(D31,Factory_Stations!$C$2:$C$28,0))/100</f>
        <v>0.206164098292378</v>
      </c>
      <c r="M31" s="19">
        <f t="shared" si="2"/>
        <v>-6.0019871531227507</v>
      </c>
    </row>
    <row r="32" spans="1:13" ht="15" customHeight="1" x14ac:dyDescent="0.25">
      <c r="A32" t="s">
        <v>7</v>
      </c>
      <c r="B32" t="s">
        <v>69</v>
      </c>
      <c r="C32" t="s">
        <v>357</v>
      </c>
      <c r="D32" t="str">
        <f t="shared" si="0"/>
        <v>6|ws-04_S7</v>
      </c>
      <c r="E32" s="3">
        <f>INDEX(raw_station_stats_absolute!$C$2:$C$46,MATCH(A32&amp;"|"&amp;C32,raw_station_stats_absolute!$J$2:$J$46,0))</f>
        <v>2399</v>
      </c>
      <c r="F32" s="3">
        <f>INDEX(raw_station_stats_absolute!$D$2:$D$46,MATCH(A32&amp;"|"&amp;C32,raw_station_stats_absolute!$J$2:$J$46,0))</f>
        <v>588.79999999999995</v>
      </c>
      <c r="G32" s="3">
        <f>INDEX(raw_station_stats_absolute!$E$2:$E$46,MATCH(A32&amp;"|"&amp;C32,raw_station_stats_absolute!$J$2:$J$46,0))</f>
        <v>0.8</v>
      </c>
      <c r="H32" s="3">
        <f>INDEX(raw_station_stats_absolute!$F$2:$F$46,MATCH(A32&amp;"|"&amp;C32,raw_station_stats_absolute!$J$2:$J$46,0))</f>
        <v>1809.4</v>
      </c>
      <c r="I32">
        <f>INDEX(raw_station_stats_absolute!$I$2:$I$46,MATCH(A32&amp;"|"&amp;C32,raw_station_stats_absolute!$J$2:$J$46,0))</f>
        <v>4</v>
      </c>
      <c r="J32">
        <f>COUNTIFS(raw_eventlog_created_objects!$A$2:$A$826,A32,raw_eventlog_created_objects!$C$2:$C$826,C32,raw_eventlog_created_objects!$G$2:$G$826,1)</f>
        <v>4</v>
      </c>
      <c r="K32" s="7">
        <f t="shared" si="1"/>
        <v>0.24543559816590244</v>
      </c>
      <c r="L32" s="7">
        <f>INDEX(Factory_Stations!$F$2:$F$28,MATCH(D32,Factory_Stations!$C$2:$C$28,0))/100</f>
        <v>0.54310703873386101</v>
      </c>
      <c r="M32" s="19">
        <f t="shared" si="2"/>
        <v>-29.767144056795857</v>
      </c>
    </row>
    <row r="33" spans="1:13" ht="15" customHeight="1" x14ac:dyDescent="0.25">
      <c r="A33" t="s">
        <v>7</v>
      </c>
      <c r="B33" t="s">
        <v>69</v>
      </c>
      <c r="C33" t="s">
        <v>349</v>
      </c>
      <c r="D33" t="str">
        <f t="shared" si="0"/>
        <v>6|ws-05_S6S8</v>
      </c>
      <c r="E33" s="3">
        <f>INDEX(raw_station_stats_absolute!$C$2:$C$46,MATCH(A33&amp;"|"&amp;C33,raw_station_stats_absolute!$J$2:$J$46,0))</f>
        <v>2399</v>
      </c>
      <c r="F33" s="3">
        <f>INDEX(raw_station_stats_absolute!$D$2:$D$46,MATCH(A33&amp;"|"&amp;C33,raw_station_stats_absolute!$J$2:$J$46,0))</f>
        <v>1574.1</v>
      </c>
      <c r="G33" s="3">
        <f>INDEX(raw_station_stats_absolute!$E$2:$E$46,MATCH(A33&amp;"|"&amp;C33,raw_station_stats_absolute!$J$2:$J$46,0))</f>
        <v>2.8</v>
      </c>
      <c r="H33" s="3">
        <f>INDEX(raw_station_stats_absolute!$F$2:$F$46,MATCH(A33&amp;"|"&amp;C33,raw_station_stats_absolute!$J$2:$J$46,0))</f>
        <v>822.1</v>
      </c>
      <c r="I33">
        <f>INDEX(raw_station_stats_absolute!$I$2:$I$46,MATCH(A33&amp;"|"&amp;C33,raw_station_stats_absolute!$J$2:$J$46,0))</f>
        <v>7</v>
      </c>
      <c r="J33">
        <f>COUNTIFS(raw_eventlog_created_objects!$A$2:$A$826,A33,raw_eventlog_created_objects!$C$2:$C$826,C33,raw_eventlog_created_objects!$G$2:$G$826,1)</f>
        <v>23</v>
      </c>
      <c r="K33" s="7">
        <f t="shared" si="1"/>
        <v>0.65614839516465195</v>
      </c>
      <c r="L33" s="7">
        <f>INDEX(Factory_Stations!$F$2:$F$28,MATCH(D33,Factory_Stations!$C$2:$C$28,0))/100</f>
        <v>0.66805497709287809</v>
      </c>
      <c r="M33" s="19">
        <f t="shared" si="2"/>
        <v>-1.1906581928226134</v>
      </c>
    </row>
    <row r="34" spans="1:13" ht="15" customHeight="1" x14ac:dyDescent="0.25">
      <c r="A34" t="s">
        <v>8</v>
      </c>
      <c r="B34" t="s">
        <v>69</v>
      </c>
      <c r="C34" t="s">
        <v>354</v>
      </c>
      <c r="D34" t="str">
        <f t="shared" si="0"/>
        <v>6|ws-01_S1S2</v>
      </c>
      <c r="E34" s="3">
        <f>INDEX(raw_station_stats_absolute!$C$2:$C$46,MATCH(A34&amp;"|"&amp;C34,raw_station_stats_absolute!$J$2:$J$46,0))</f>
        <v>2399</v>
      </c>
      <c r="F34" s="3">
        <f>INDEX(raw_station_stats_absolute!$D$2:$D$46,MATCH(A34&amp;"|"&amp;C34,raw_station_stats_absolute!$J$2:$J$46,0))</f>
        <v>831.4</v>
      </c>
      <c r="G34" s="3">
        <f>INDEX(raw_station_stats_absolute!$E$2:$E$46,MATCH(A34&amp;"|"&amp;C34,raw_station_stats_absolute!$J$2:$J$46,0))</f>
        <v>2.5</v>
      </c>
      <c r="H34" s="3">
        <f>INDEX(raw_station_stats_absolute!$F$2:$F$46,MATCH(A34&amp;"|"&amp;C34,raw_station_stats_absolute!$J$2:$J$46,0))</f>
        <v>1565.1</v>
      </c>
      <c r="I34">
        <f>INDEX(raw_station_stats_absolute!$I$2:$I$46,MATCH(A34&amp;"|"&amp;C34,raw_station_stats_absolute!$J$2:$J$46,0))</f>
        <v>7</v>
      </c>
      <c r="J34">
        <f>COUNTIFS(raw_eventlog_created_objects!$A$2:$A$826,A34,raw_eventlog_created_objects!$C$2:$C$826,C34,raw_eventlog_created_objects!$G$2:$G$826,1)</f>
        <v>18</v>
      </c>
      <c r="K34" s="7">
        <f t="shared" si="1"/>
        <v>0.34656106711129636</v>
      </c>
      <c r="L34" s="7">
        <f>INDEX(Factory_Stations!$F$2:$F$28,MATCH(D34,Factory_Stations!$C$2:$C$28,0))/100</f>
        <v>0.412328196584756</v>
      </c>
      <c r="M34" s="19">
        <f t="shared" si="2"/>
        <v>-6.576712947345964</v>
      </c>
    </row>
    <row r="35" spans="1:13" ht="15" customHeight="1" x14ac:dyDescent="0.25">
      <c r="A35" t="s">
        <v>8</v>
      </c>
      <c r="B35" t="s">
        <v>69</v>
      </c>
      <c r="C35" t="s">
        <v>355</v>
      </c>
      <c r="D35" t="str">
        <f t="shared" si="0"/>
        <v>6|ws-02_S3S4</v>
      </c>
      <c r="E35" s="3">
        <f>INDEX(raw_station_stats_absolute!$C$2:$C$46,MATCH(A35&amp;"|"&amp;C35,raw_station_stats_absolute!$J$2:$J$46,0))</f>
        <v>2399</v>
      </c>
      <c r="F35" s="3">
        <f>INDEX(raw_station_stats_absolute!$D$2:$D$46,MATCH(A35&amp;"|"&amp;C35,raw_station_stats_absolute!$J$2:$J$46,0))</f>
        <v>2002.1</v>
      </c>
      <c r="G35" s="3">
        <f>INDEX(raw_station_stats_absolute!$E$2:$E$46,MATCH(A35&amp;"|"&amp;C35,raw_station_stats_absolute!$J$2:$J$46,0))</f>
        <v>4.4000000000000004</v>
      </c>
      <c r="H35" s="3">
        <f>INDEX(raw_station_stats_absolute!$F$2:$F$46,MATCH(A35&amp;"|"&amp;C35,raw_station_stats_absolute!$J$2:$J$46,0))</f>
        <v>392.5</v>
      </c>
      <c r="I35">
        <f>INDEX(raw_station_stats_absolute!$I$2:$I$46,MATCH(A35&amp;"|"&amp;C35,raw_station_stats_absolute!$J$2:$J$46,0))</f>
        <v>10</v>
      </c>
      <c r="J35">
        <f>COUNTIFS(raw_eventlog_created_objects!$A$2:$A$826,A35,raw_eventlog_created_objects!$C$2:$C$826,C35,raw_eventlog_created_objects!$G$2:$G$826,1)</f>
        <v>34</v>
      </c>
      <c r="K35" s="7">
        <f t="shared" si="1"/>
        <v>0.83455606502709456</v>
      </c>
      <c r="L35" s="7">
        <f>INDEX(Factory_Stations!$F$2:$F$28,MATCH(D35,Factory_Stations!$C$2:$C$28,0))/100</f>
        <v>0.83673469387755106</v>
      </c>
      <c r="M35" s="19">
        <f t="shared" si="2"/>
        <v>-0.21786288504564988</v>
      </c>
    </row>
    <row r="36" spans="1:13" ht="15" customHeight="1" x14ac:dyDescent="0.25">
      <c r="A36" t="s">
        <v>8</v>
      </c>
      <c r="B36" t="s">
        <v>69</v>
      </c>
      <c r="C36" t="s">
        <v>356</v>
      </c>
      <c r="D36" t="str">
        <f t="shared" si="0"/>
        <v>6|ws-03_S5</v>
      </c>
      <c r="E36" s="3">
        <f>INDEX(raw_station_stats_absolute!$C$2:$C$46,MATCH(A36&amp;"|"&amp;C36,raw_station_stats_absolute!$J$2:$J$46,0))</f>
        <v>2399</v>
      </c>
      <c r="F36" s="3">
        <f>INDEX(raw_station_stats_absolute!$D$2:$D$46,MATCH(A36&amp;"|"&amp;C36,raw_station_stats_absolute!$J$2:$J$46,0))</f>
        <v>525.9</v>
      </c>
      <c r="G36" s="3">
        <f>INDEX(raw_station_stats_absolute!$E$2:$E$46,MATCH(A36&amp;"|"&amp;C36,raw_station_stats_absolute!$J$2:$J$46,0))</f>
        <v>0.6</v>
      </c>
      <c r="H36" s="3">
        <f>INDEX(raw_station_stats_absolute!$F$2:$F$46,MATCH(A36&amp;"|"&amp;C36,raw_station_stats_absolute!$J$2:$J$46,0))</f>
        <v>1872.5</v>
      </c>
      <c r="I36">
        <f>INDEX(raw_station_stats_absolute!$I$2:$I$46,MATCH(A36&amp;"|"&amp;C36,raw_station_stats_absolute!$J$2:$J$46,0))</f>
        <v>3</v>
      </c>
      <c r="J36">
        <f>COUNTIFS(raw_eventlog_created_objects!$A$2:$A$826,A36,raw_eventlog_created_objects!$C$2:$C$826,C36,raw_eventlog_created_objects!$G$2:$G$826,1)</f>
        <v>0</v>
      </c>
      <c r="K36" s="7">
        <f t="shared" si="1"/>
        <v>0.2192163401417257</v>
      </c>
      <c r="L36" s="7">
        <f>INDEX(Factory_Stations!$F$2:$F$28,MATCH(D36,Factory_Stations!$C$2:$C$28,0))/100</f>
        <v>0.206164098292378</v>
      </c>
      <c r="M36" s="19">
        <f t="shared" si="2"/>
        <v>1.3052241849347697</v>
      </c>
    </row>
    <row r="37" spans="1:13" ht="15" customHeight="1" x14ac:dyDescent="0.25">
      <c r="A37" t="s">
        <v>8</v>
      </c>
      <c r="B37" t="s">
        <v>69</v>
      </c>
      <c r="C37" t="s">
        <v>357</v>
      </c>
      <c r="D37" t="str">
        <f t="shared" si="0"/>
        <v>6|ws-04_S7</v>
      </c>
      <c r="E37" s="3">
        <f>INDEX(raw_station_stats_absolute!$C$2:$C$46,MATCH(A37&amp;"|"&amp;C37,raw_station_stats_absolute!$J$2:$J$46,0))</f>
        <v>2399</v>
      </c>
      <c r="F37" s="3">
        <f>INDEX(raw_station_stats_absolute!$D$2:$D$46,MATCH(A37&amp;"|"&amp;C37,raw_station_stats_absolute!$J$2:$J$46,0))</f>
        <v>883.2</v>
      </c>
      <c r="G37" s="3">
        <f>INDEX(raw_station_stats_absolute!$E$2:$E$46,MATCH(A37&amp;"|"&amp;C37,raw_station_stats_absolute!$J$2:$J$46,0))</f>
        <v>1.2</v>
      </c>
      <c r="H37" s="3">
        <f>INDEX(raw_station_stats_absolute!$F$2:$F$46,MATCH(A37&amp;"|"&amp;C37,raw_station_stats_absolute!$J$2:$J$46,0))</f>
        <v>1514.6</v>
      </c>
      <c r="I37">
        <f>INDEX(raw_station_stats_absolute!$I$2:$I$46,MATCH(A37&amp;"|"&amp;C37,raw_station_stats_absolute!$J$2:$J$46,0))</f>
        <v>6</v>
      </c>
      <c r="J37">
        <f>COUNTIFS(raw_eventlog_created_objects!$A$2:$A$826,A37,raw_eventlog_created_objects!$C$2:$C$826,C37,raw_eventlog_created_objects!$G$2:$G$826,1)</f>
        <v>6</v>
      </c>
      <c r="K37" s="7">
        <f t="shared" si="1"/>
        <v>0.36815339724885371</v>
      </c>
      <c r="L37" s="7">
        <f>INDEX(Factory_Stations!$F$2:$F$28,MATCH(D37,Factory_Stations!$C$2:$C$28,0))/100</f>
        <v>0.54310703873386101</v>
      </c>
      <c r="M37" s="19">
        <f t="shared" si="2"/>
        <v>-17.49536414850073</v>
      </c>
    </row>
    <row r="38" spans="1:13" ht="15" customHeight="1" x14ac:dyDescent="0.25">
      <c r="A38" t="s">
        <v>8</v>
      </c>
      <c r="B38" t="s">
        <v>69</v>
      </c>
      <c r="C38" t="s">
        <v>349</v>
      </c>
      <c r="D38" t="str">
        <f t="shared" si="0"/>
        <v>6|ws-05_S6S8</v>
      </c>
      <c r="E38" s="3">
        <f>INDEX(raw_station_stats_absolute!$C$2:$C$46,MATCH(A38&amp;"|"&amp;C38,raw_station_stats_absolute!$J$2:$J$46,0))</f>
        <v>2399</v>
      </c>
      <c r="F38" s="3">
        <f>INDEX(raw_station_stats_absolute!$D$2:$D$46,MATCH(A38&amp;"|"&amp;C38,raw_station_stats_absolute!$J$2:$J$46,0))</f>
        <v>1903.3</v>
      </c>
      <c r="G38" s="3">
        <f>INDEX(raw_station_stats_absolute!$E$2:$E$46,MATCH(A38&amp;"|"&amp;C38,raw_station_stats_absolute!$J$2:$J$46,0))</f>
        <v>3.6</v>
      </c>
      <c r="H38" s="3">
        <f>INDEX(raw_station_stats_absolute!$F$2:$F$46,MATCH(A38&amp;"|"&amp;C38,raw_station_stats_absolute!$J$2:$J$46,0))</f>
        <v>492.1</v>
      </c>
      <c r="I38">
        <f>INDEX(raw_station_stats_absolute!$I$2:$I$46,MATCH(A38&amp;"|"&amp;C38,raw_station_stats_absolute!$J$2:$J$46,0))</f>
        <v>10</v>
      </c>
      <c r="J38">
        <f>COUNTIFS(raw_eventlog_created_objects!$A$2:$A$826,A38,raw_eventlog_created_objects!$C$2:$C$826,C38,raw_eventlog_created_objects!$G$2:$G$826,1)</f>
        <v>29</v>
      </c>
      <c r="K38" s="7">
        <f t="shared" si="1"/>
        <v>0.79337223843268023</v>
      </c>
      <c r="L38" s="7">
        <f>INDEX(Factory_Stations!$F$2:$F$28,MATCH(D38,Factory_Stations!$C$2:$C$28,0))/100</f>
        <v>0.66805497709287809</v>
      </c>
      <c r="M38" s="19">
        <f t="shared" si="2"/>
        <v>12.531726133980214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4E9A6A"/>
  </sheetPr>
  <dimension ref="A1:I83"/>
  <sheetViews>
    <sheetView tabSelected="1" zoomScaleNormal="100" workbookViewId="0">
      <pane ySplit="1" topLeftCell="A2" activePane="bottomLeft" state="frozen"/>
      <selection pane="bottomLeft" activeCell="J1" sqref="J1:J1048576"/>
    </sheetView>
  </sheetViews>
  <sheetFormatPr baseColWidth="10" defaultColWidth="9.140625" defaultRowHeight="15" x14ac:dyDescent="0.25"/>
  <cols>
    <col min="1" max="5" width="12" customWidth="1"/>
    <col min="6" max="6" width="17" customWidth="1"/>
    <col min="7" max="8" width="15" customWidth="1"/>
    <col min="9" max="9" width="12" customWidth="1"/>
  </cols>
  <sheetData>
    <row r="1" spans="1:9" ht="15" customHeight="1" x14ac:dyDescent="0.25">
      <c r="A1" s="15" t="s">
        <v>55</v>
      </c>
      <c r="B1" s="15" t="s">
        <v>10</v>
      </c>
      <c r="C1" s="15" t="s">
        <v>1369</v>
      </c>
      <c r="D1" s="15" t="s">
        <v>1370</v>
      </c>
      <c r="E1" s="15" t="s">
        <v>81</v>
      </c>
      <c r="F1" s="15" t="s">
        <v>53</v>
      </c>
      <c r="G1" s="15" t="s">
        <v>1373</v>
      </c>
      <c r="H1" s="15" t="s">
        <v>54</v>
      </c>
      <c r="I1" s="15" t="s">
        <v>1437</v>
      </c>
    </row>
    <row r="2" spans="1:9" ht="15" customHeight="1" x14ac:dyDescent="0.25">
      <c r="A2" t="s">
        <v>1</v>
      </c>
      <c r="B2">
        <v>1</v>
      </c>
      <c r="C2" t="s">
        <v>1374</v>
      </c>
      <c r="D2" t="s">
        <v>1375</v>
      </c>
      <c r="E2" t="s">
        <v>1375</v>
      </c>
      <c r="F2">
        <f>COUNTIFS(raw_outputtable!$A$2:$A$816,A2,raw_outputtable!$I$2:$I$816,E2)</f>
        <v>16</v>
      </c>
      <c r="G2">
        <f>INDEX(Factory_Components!$G$2:$G$62,MATCH(B2&amp;"|"&amp;C2&amp;"|"&amp;E2,Factory_Components!$I$2:$I$62,0))</f>
        <v>8</v>
      </c>
      <c r="H2">
        <f>INDEX(Factory_Components!$H$2:$H$62,MATCH(B2&amp;"|"&amp;C2&amp;"|"&amp;E2,Factory_Components!$I$2:$I$62,0))</f>
        <v>16</v>
      </c>
      <c r="I2" s="10">
        <f t="shared" ref="I2:I33" si="0">IF(H2=0,"",(F2-H2)/H2)</f>
        <v>0</v>
      </c>
    </row>
    <row r="3" spans="1:9" ht="15" customHeight="1" x14ac:dyDescent="0.25">
      <c r="A3" t="s">
        <v>1</v>
      </c>
      <c r="B3">
        <v>1</v>
      </c>
      <c r="C3" t="s">
        <v>1374</v>
      </c>
      <c r="D3" t="s">
        <v>1378</v>
      </c>
      <c r="E3" t="s">
        <v>1378</v>
      </c>
      <c r="F3">
        <f>COUNTIFS(raw_outputtable!$A$2:$A$816,A3,raw_outputtable!$I$2:$I$816,E3)</f>
        <v>20</v>
      </c>
      <c r="G3">
        <f>INDEX(Factory_Components!$G$2:$G$62,MATCH(B3&amp;"|"&amp;C3&amp;"|"&amp;E3,Factory_Components!$I$2:$I$62,0))</f>
        <v>10</v>
      </c>
      <c r="H3">
        <f>INDEX(Factory_Components!$H$2:$H$62,MATCH(B3&amp;"|"&amp;C3&amp;"|"&amp;E3,Factory_Components!$I$2:$I$62,0))</f>
        <v>20</v>
      </c>
      <c r="I3" s="10">
        <f t="shared" si="0"/>
        <v>0</v>
      </c>
    </row>
    <row r="4" spans="1:9" ht="15" customHeight="1" x14ac:dyDescent="0.25">
      <c r="A4" t="s">
        <v>1</v>
      </c>
      <c r="B4">
        <v>1</v>
      </c>
      <c r="C4" t="s">
        <v>1374</v>
      </c>
      <c r="D4" t="s">
        <v>1380</v>
      </c>
      <c r="E4" t="s">
        <v>1380</v>
      </c>
      <c r="F4">
        <f>COUNTIFS(raw_outputtable!$A$2:$A$816,A4,raw_outputtable!$I$2:$I$816,E4)</f>
        <v>8</v>
      </c>
      <c r="G4">
        <f>INDEX(Factory_Components!$G$2:$G$62,MATCH(B4&amp;"|"&amp;C4&amp;"|"&amp;E4,Factory_Components!$I$2:$I$62,0))</f>
        <v>4</v>
      </c>
      <c r="H4">
        <f>INDEX(Factory_Components!$H$2:$H$62,MATCH(B4&amp;"|"&amp;C4&amp;"|"&amp;E4,Factory_Components!$I$2:$I$62,0))</f>
        <v>8</v>
      </c>
      <c r="I4" s="10">
        <f t="shared" si="0"/>
        <v>0</v>
      </c>
    </row>
    <row r="5" spans="1:9" ht="15" customHeight="1" x14ac:dyDescent="0.25">
      <c r="A5" t="s">
        <v>1</v>
      </c>
      <c r="B5">
        <v>1</v>
      </c>
      <c r="C5" t="s">
        <v>1374</v>
      </c>
      <c r="D5" t="s">
        <v>1382</v>
      </c>
      <c r="E5" t="s">
        <v>1382</v>
      </c>
      <c r="F5">
        <f>COUNTIFS(raw_outputtable!$A$2:$A$816,A5,raw_outputtable!$I$2:$I$816,E5)</f>
        <v>2</v>
      </c>
      <c r="G5">
        <f>INDEX(Factory_Components!$G$2:$G$62,MATCH(B5&amp;"|"&amp;C5&amp;"|"&amp;E5,Factory_Components!$I$2:$I$62,0))</f>
        <v>2</v>
      </c>
      <c r="H5">
        <f>INDEX(Factory_Components!$H$2:$H$62,MATCH(B5&amp;"|"&amp;C5&amp;"|"&amp;E5,Factory_Components!$I$2:$I$62,0))</f>
        <v>2</v>
      </c>
      <c r="I5" s="10">
        <f t="shared" si="0"/>
        <v>0</v>
      </c>
    </row>
    <row r="6" spans="1:9" ht="15" customHeight="1" x14ac:dyDescent="0.25">
      <c r="A6" t="s">
        <v>1</v>
      </c>
      <c r="B6">
        <v>1</v>
      </c>
      <c r="C6" t="s">
        <v>1374</v>
      </c>
      <c r="D6" t="s">
        <v>1384</v>
      </c>
      <c r="E6" t="s">
        <v>1385</v>
      </c>
      <c r="F6">
        <f>COUNTIFS(raw_outputtable!$A$2:$A$816,A6,raw_outputtable!$I$2:$I$816,E6)</f>
        <v>6</v>
      </c>
      <c r="G6">
        <f>INDEX(Factory_Components!$G$2:$G$62,MATCH(B6&amp;"|"&amp;C6&amp;"|"&amp;E6,Factory_Components!$I$2:$I$62,0))</f>
        <v>6</v>
      </c>
      <c r="H6">
        <f>INDEX(Factory_Components!$H$2:$H$62,MATCH(B6&amp;"|"&amp;C6&amp;"|"&amp;E6,Factory_Components!$I$2:$I$62,0))</f>
        <v>6</v>
      </c>
      <c r="I6" s="10">
        <f t="shared" si="0"/>
        <v>0</v>
      </c>
    </row>
    <row r="7" spans="1:9" ht="15" customHeight="1" x14ac:dyDescent="0.25">
      <c r="A7" t="s">
        <v>1</v>
      </c>
      <c r="B7">
        <v>1</v>
      </c>
      <c r="C7" t="s">
        <v>1374</v>
      </c>
      <c r="D7" t="s">
        <v>1387</v>
      </c>
      <c r="E7" t="s">
        <v>1387</v>
      </c>
      <c r="F7">
        <f>COUNTIFS(raw_outputtable!$A$2:$A$816,A7,raw_outputtable!$I$2:$I$816,E7)</f>
        <v>14</v>
      </c>
      <c r="G7">
        <f>INDEX(Factory_Components!$G$2:$G$62,MATCH(B7&amp;"|"&amp;C7&amp;"|"&amp;E7,Factory_Components!$I$2:$I$62,0))</f>
        <v>8</v>
      </c>
      <c r="H7">
        <f>INDEX(Factory_Components!$H$2:$H$62,MATCH(B7&amp;"|"&amp;C7&amp;"|"&amp;E7,Factory_Components!$I$2:$I$62,0))</f>
        <v>16</v>
      </c>
      <c r="I7" s="10">
        <f t="shared" si="0"/>
        <v>-0.125</v>
      </c>
    </row>
    <row r="8" spans="1:9" ht="15" customHeight="1" x14ac:dyDescent="0.25">
      <c r="A8" t="s">
        <v>1</v>
      </c>
      <c r="B8">
        <v>1</v>
      </c>
      <c r="C8" t="s">
        <v>1374</v>
      </c>
      <c r="D8" t="s">
        <v>1389</v>
      </c>
      <c r="E8" t="s">
        <v>1389</v>
      </c>
      <c r="F8">
        <f>COUNTIFS(raw_outputtable!$A$2:$A$816,A8,raw_outputtable!$I$2:$I$816,E8)</f>
        <v>3</v>
      </c>
      <c r="G8">
        <f>INDEX(Factory_Components!$G$2:$G$62,MATCH(B8&amp;"|"&amp;C8&amp;"|"&amp;E8,Factory_Components!$I$2:$I$62,0))</f>
        <v>2</v>
      </c>
      <c r="H8">
        <f>INDEX(Factory_Components!$H$2:$H$62,MATCH(B8&amp;"|"&amp;C8&amp;"|"&amp;E8,Factory_Components!$I$2:$I$62,0))</f>
        <v>4</v>
      </c>
      <c r="I8" s="10">
        <f t="shared" si="0"/>
        <v>-0.25</v>
      </c>
    </row>
    <row r="9" spans="1:9" ht="15" customHeight="1" x14ac:dyDescent="0.25">
      <c r="A9" t="s">
        <v>1</v>
      </c>
      <c r="B9">
        <v>1</v>
      </c>
      <c r="C9" t="s">
        <v>1391</v>
      </c>
      <c r="D9" t="s">
        <v>1392</v>
      </c>
      <c r="E9" t="s">
        <v>1393</v>
      </c>
      <c r="F9">
        <f>COUNTIFS(raw_outputtable!$A$2:$A$816,A9,raw_outputtable!$I$2:$I$816,E9)</f>
        <v>6</v>
      </c>
      <c r="G9">
        <f>INDEX(Factory_Components!$G$2:$G$62,MATCH(B9&amp;"|"&amp;C9&amp;"|"&amp;E9,Factory_Components!$I$2:$I$62,0))</f>
        <v>6</v>
      </c>
      <c r="H9">
        <f>INDEX(Factory_Components!$H$2:$H$62,MATCH(B9&amp;"|"&amp;C9&amp;"|"&amp;E9,Factory_Components!$I$2:$I$62,0))</f>
        <v>6</v>
      </c>
      <c r="I9" s="10">
        <f t="shared" si="0"/>
        <v>0</v>
      </c>
    </row>
    <row r="10" spans="1:9" ht="15" customHeight="1" x14ac:dyDescent="0.25">
      <c r="A10" t="s">
        <v>1</v>
      </c>
      <c r="B10">
        <v>1</v>
      </c>
      <c r="C10" t="s">
        <v>1391</v>
      </c>
      <c r="D10" t="s">
        <v>1395</v>
      </c>
      <c r="E10" t="s">
        <v>1396</v>
      </c>
      <c r="F10">
        <f>COUNTIFS(raw_outputtable!$A$2:$A$816,A10,raw_outputtable!$I$2:$I$816,E10)</f>
        <v>2</v>
      </c>
      <c r="G10">
        <f>INDEX(Factory_Components!$G$2:$G$62,MATCH(B10&amp;"|"&amp;C10&amp;"|"&amp;E10,Factory_Components!$I$2:$I$62,0))</f>
        <v>2</v>
      </c>
      <c r="H10">
        <f>INDEX(Factory_Components!$H$2:$H$62,MATCH(B10&amp;"|"&amp;C10&amp;"|"&amp;E10,Factory_Components!$I$2:$I$62,0))</f>
        <v>2</v>
      </c>
      <c r="I10" s="10">
        <f t="shared" si="0"/>
        <v>0</v>
      </c>
    </row>
    <row r="11" spans="1:9" ht="15" customHeight="1" x14ac:dyDescent="0.25">
      <c r="A11" t="s">
        <v>1</v>
      </c>
      <c r="B11">
        <v>1</v>
      </c>
      <c r="C11" t="s">
        <v>1391</v>
      </c>
      <c r="D11" t="s">
        <v>1398</v>
      </c>
      <c r="E11" t="s">
        <v>1399</v>
      </c>
      <c r="F11">
        <f>COUNTIFS(raw_outputtable!$A$2:$A$816,A11,raw_outputtable!$I$2:$I$816,E11)</f>
        <v>1</v>
      </c>
      <c r="G11">
        <f>INDEX(Factory_Components!$G$2:$G$62,MATCH(B11&amp;"|"&amp;C11&amp;"|"&amp;E11,Factory_Components!$I$2:$I$62,0))</f>
        <v>2</v>
      </c>
      <c r="H11">
        <f>INDEX(Factory_Components!$H$2:$H$62,MATCH(B11&amp;"|"&amp;C11&amp;"|"&amp;E11,Factory_Components!$I$2:$I$62,0))</f>
        <v>2</v>
      </c>
      <c r="I11" s="10">
        <f t="shared" si="0"/>
        <v>-0.5</v>
      </c>
    </row>
    <row r="12" spans="1:9" ht="15" customHeight="1" x14ac:dyDescent="0.25">
      <c r="A12" t="s">
        <v>2</v>
      </c>
      <c r="B12">
        <v>2</v>
      </c>
      <c r="C12" t="s">
        <v>1374</v>
      </c>
      <c r="D12" t="s">
        <v>1375</v>
      </c>
      <c r="E12" t="s">
        <v>1375</v>
      </c>
      <c r="F12">
        <f>COUNTIFS(raw_outputtable!$A$2:$A$816,A12,raw_outputtable!$I$2:$I$816,E12)</f>
        <v>19</v>
      </c>
      <c r="G12">
        <f>INDEX(Factory_Components!$G$2:$G$62,MATCH(B12&amp;"|"&amp;C12&amp;"|"&amp;E12,Factory_Components!$I$2:$I$62,0))</f>
        <v>10</v>
      </c>
      <c r="H12">
        <f>INDEX(Factory_Components!$H$2:$H$62,MATCH(B12&amp;"|"&amp;C12&amp;"|"&amp;E12,Factory_Components!$I$2:$I$62,0))</f>
        <v>20</v>
      </c>
      <c r="I12" s="10">
        <f t="shared" si="0"/>
        <v>-0.05</v>
      </c>
    </row>
    <row r="13" spans="1:9" ht="15" customHeight="1" x14ac:dyDescent="0.25">
      <c r="A13" t="s">
        <v>2</v>
      </c>
      <c r="B13">
        <v>2</v>
      </c>
      <c r="C13" t="s">
        <v>1374</v>
      </c>
      <c r="D13" t="s">
        <v>1382</v>
      </c>
      <c r="E13" t="s">
        <v>1382</v>
      </c>
      <c r="F13">
        <f>COUNTIFS(raw_outputtable!$A$2:$A$816,A13,raw_outputtable!$I$2:$I$816,E13)</f>
        <v>8</v>
      </c>
      <c r="G13">
        <f>INDEX(Factory_Components!$G$2:$G$62,MATCH(B13&amp;"|"&amp;C13&amp;"|"&amp;E13,Factory_Components!$I$2:$I$62,0))</f>
        <v>10</v>
      </c>
      <c r="H13">
        <f>INDEX(Factory_Components!$H$2:$H$62,MATCH(B13&amp;"|"&amp;C13&amp;"|"&amp;E13,Factory_Components!$I$2:$I$62,0))</f>
        <v>10</v>
      </c>
      <c r="I13" s="10">
        <f t="shared" si="0"/>
        <v>-0.2</v>
      </c>
    </row>
    <row r="14" spans="1:9" ht="15" customHeight="1" x14ac:dyDescent="0.25">
      <c r="A14" t="s">
        <v>2</v>
      </c>
      <c r="B14">
        <v>2</v>
      </c>
      <c r="C14" t="s">
        <v>1374</v>
      </c>
      <c r="D14" t="s">
        <v>1378</v>
      </c>
      <c r="E14" t="s">
        <v>1378</v>
      </c>
      <c r="F14">
        <f>COUNTIFS(raw_outputtable!$A$2:$A$816,A14,raw_outputtable!$I$2:$I$816,E14)</f>
        <v>16</v>
      </c>
      <c r="G14">
        <f>INDEX(Factory_Components!$G$2:$G$62,MATCH(B14&amp;"|"&amp;C14&amp;"|"&amp;E14,Factory_Components!$I$2:$I$62,0))</f>
        <v>8</v>
      </c>
      <c r="H14">
        <f>INDEX(Factory_Components!$H$2:$H$62,MATCH(B14&amp;"|"&amp;C14&amp;"|"&amp;E14,Factory_Components!$I$2:$I$62,0))</f>
        <v>16</v>
      </c>
      <c r="I14" s="10">
        <f t="shared" si="0"/>
        <v>0</v>
      </c>
    </row>
    <row r="15" spans="1:9" ht="15" customHeight="1" x14ac:dyDescent="0.25">
      <c r="A15" t="s">
        <v>2</v>
      </c>
      <c r="B15">
        <v>2</v>
      </c>
      <c r="C15" t="s">
        <v>1374</v>
      </c>
      <c r="D15" t="s">
        <v>1380</v>
      </c>
      <c r="E15" t="s">
        <v>1380</v>
      </c>
      <c r="F15">
        <f>COUNTIFS(raw_outputtable!$A$2:$A$816,A15,raw_outputtable!$I$2:$I$816,E15)</f>
        <v>16</v>
      </c>
      <c r="G15">
        <f>INDEX(Factory_Components!$G$2:$G$62,MATCH(B15&amp;"|"&amp;C15&amp;"|"&amp;E15,Factory_Components!$I$2:$I$62,0))</f>
        <v>8</v>
      </c>
      <c r="H15">
        <f>INDEX(Factory_Components!$H$2:$H$62,MATCH(B15&amp;"|"&amp;C15&amp;"|"&amp;E15,Factory_Components!$I$2:$I$62,0))</f>
        <v>16</v>
      </c>
      <c r="I15" s="10">
        <f t="shared" si="0"/>
        <v>0</v>
      </c>
    </row>
    <row r="16" spans="1:9" ht="15" customHeight="1" x14ac:dyDescent="0.25">
      <c r="A16" t="s">
        <v>2</v>
      </c>
      <c r="B16">
        <v>2</v>
      </c>
      <c r="C16" t="s">
        <v>1374</v>
      </c>
      <c r="D16" t="s">
        <v>1389</v>
      </c>
      <c r="E16" t="s">
        <v>1389</v>
      </c>
      <c r="F16">
        <f>COUNTIFS(raw_outputtable!$A$2:$A$816,A16,raw_outputtable!$I$2:$I$816,E16)</f>
        <v>16</v>
      </c>
      <c r="G16">
        <f>INDEX(Factory_Components!$G$2:$G$62,MATCH(B16&amp;"|"&amp;C16&amp;"|"&amp;E16,Factory_Components!$I$2:$I$62,0))</f>
        <v>8</v>
      </c>
      <c r="H16">
        <f>INDEX(Factory_Components!$H$2:$H$62,MATCH(B16&amp;"|"&amp;C16&amp;"|"&amp;E16,Factory_Components!$I$2:$I$62,0))</f>
        <v>16</v>
      </c>
      <c r="I16" s="10">
        <f t="shared" si="0"/>
        <v>0</v>
      </c>
    </row>
    <row r="17" spans="1:9" ht="15" customHeight="1" x14ac:dyDescent="0.25">
      <c r="A17" t="s">
        <v>2</v>
      </c>
      <c r="B17">
        <v>2</v>
      </c>
      <c r="C17" t="s">
        <v>1374</v>
      </c>
      <c r="D17" t="s">
        <v>1401</v>
      </c>
      <c r="E17" t="s">
        <v>1401</v>
      </c>
      <c r="F17">
        <f>COUNTIFS(raw_outputtable!$A$2:$A$816,A17,raw_outputtable!$I$2:$I$816,E17)</f>
        <v>8</v>
      </c>
      <c r="G17">
        <f>INDEX(Factory_Components!$G$2:$G$62,MATCH(B17&amp;"|"&amp;C17&amp;"|"&amp;E17,Factory_Components!$I$2:$I$62,0))</f>
        <v>8</v>
      </c>
      <c r="H17">
        <f>INDEX(Factory_Components!$H$2:$H$62,MATCH(B17&amp;"|"&amp;C17&amp;"|"&amp;E17,Factory_Components!$I$2:$I$62,0))</f>
        <v>8</v>
      </c>
      <c r="I17" s="10">
        <f t="shared" si="0"/>
        <v>0</v>
      </c>
    </row>
    <row r="18" spans="1:9" ht="15" customHeight="1" x14ac:dyDescent="0.25">
      <c r="A18" t="s">
        <v>2</v>
      </c>
      <c r="B18">
        <v>2</v>
      </c>
      <c r="C18" t="s">
        <v>1374</v>
      </c>
      <c r="D18" t="s">
        <v>1385</v>
      </c>
      <c r="E18" t="s">
        <v>1385</v>
      </c>
      <c r="F18">
        <f>COUNTIFS(raw_outputtable!$A$2:$A$816,A18,raw_outputtable!$I$2:$I$816,E18)</f>
        <v>8</v>
      </c>
      <c r="G18">
        <f>INDEX(Factory_Components!$G$2:$G$62,MATCH(B18&amp;"|"&amp;C18&amp;"|"&amp;E18,Factory_Components!$I$2:$I$62,0))</f>
        <v>8</v>
      </c>
      <c r="H18">
        <f>INDEX(Factory_Components!$H$2:$H$62,MATCH(B18&amp;"|"&amp;C18&amp;"|"&amp;E18,Factory_Components!$I$2:$I$62,0))</f>
        <v>8</v>
      </c>
      <c r="I18" s="10">
        <f t="shared" si="0"/>
        <v>0</v>
      </c>
    </row>
    <row r="19" spans="1:9" ht="15" customHeight="1" x14ac:dyDescent="0.25">
      <c r="A19" t="s">
        <v>2</v>
      </c>
      <c r="B19">
        <v>2</v>
      </c>
      <c r="C19" t="s">
        <v>1374</v>
      </c>
      <c r="D19" t="s">
        <v>1387</v>
      </c>
      <c r="E19" t="s">
        <v>1387</v>
      </c>
      <c r="F19">
        <f>COUNTIFS(raw_outputtable!$A$2:$A$816,A19,raw_outputtable!$I$2:$I$816,E19)</f>
        <v>15</v>
      </c>
      <c r="G19">
        <f>INDEX(Factory_Components!$G$2:$G$62,MATCH(B19&amp;"|"&amp;C19&amp;"|"&amp;E19,Factory_Components!$I$2:$I$62,0))</f>
        <v>8</v>
      </c>
      <c r="H19">
        <f>INDEX(Factory_Components!$H$2:$H$62,MATCH(B19&amp;"|"&amp;C19&amp;"|"&amp;E19,Factory_Components!$I$2:$I$62,0))</f>
        <v>16</v>
      </c>
      <c r="I19" s="10">
        <f t="shared" si="0"/>
        <v>-6.25E-2</v>
      </c>
    </row>
    <row r="20" spans="1:9" ht="15" customHeight="1" x14ac:dyDescent="0.25">
      <c r="A20" t="s">
        <v>2</v>
      </c>
      <c r="B20">
        <v>2</v>
      </c>
      <c r="C20" t="s">
        <v>1391</v>
      </c>
      <c r="D20" t="s">
        <v>1404</v>
      </c>
      <c r="E20" t="s">
        <v>1405</v>
      </c>
      <c r="F20">
        <f>COUNTIFS(raw_outputtable!$A$2:$A$816,A20,raw_outputtable!$I$2:$I$816,E20)</f>
        <v>7</v>
      </c>
      <c r="G20">
        <f>INDEX(Factory_Components!$G$2:$G$62,MATCH(B20&amp;"|"&amp;C20&amp;"|"&amp;E20,Factory_Components!$I$2:$I$62,0))</f>
        <v>8</v>
      </c>
      <c r="H20">
        <f>INDEX(Factory_Components!$H$2:$H$62,MATCH(B20&amp;"|"&amp;C20&amp;"|"&amp;E20,Factory_Components!$I$2:$I$62,0))</f>
        <v>8</v>
      </c>
      <c r="I20" s="10">
        <f t="shared" si="0"/>
        <v>-0.125</v>
      </c>
    </row>
    <row r="21" spans="1:9" ht="15" customHeight="1" x14ac:dyDescent="0.25">
      <c r="A21" t="s">
        <v>3</v>
      </c>
      <c r="B21">
        <v>3</v>
      </c>
      <c r="C21" t="s">
        <v>1374</v>
      </c>
      <c r="D21" t="s">
        <v>1375</v>
      </c>
      <c r="E21" t="s">
        <v>1375</v>
      </c>
      <c r="F21">
        <f>COUNTIFS(raw_outputtable!$A$2:$A$816,A21,raw_outputtable!$I$2:$I$816,E21)</f>
        <v>20</v>
      </c>
      <c r="G21">
        <f>INDEX(Factory_Components!$G$2:$G$62,MATCH(B21&amp;"|"&amp;C21&amp;"|"&amp;E21,Factory_Components!$I$2:$I$62,0))</f>
        <v>10</v>
      </c>
      <c r="H21">
        <f>INDEX(Factory_Components!$H$2:$H$62,MATCH(B21&amp;"|"&amp;C21&amp;"|"&amp;E21,Factory_Components!$I$2:$I$62,0))</f>
        <v>20</v>
      </c>
      <c r="I21" s="10">
        <f t="shared" si="0"/>
        <v>0</v>
      </c>
    </row>
    <row r="22" spans="1:9" ht="15" customHeight="1" x14ac:dyDescent="0.25">
      <c r="A22" t="s">
        <v>3</v>
      </c>
      <c r="B22">
        <v>3</v>
      </c>
      <c r="C22" t="s">
        <v>1374</v>
      </c>
      <c r="D22" t="s">
        <v>1382</v>
      </c>
      <c r="E22" t="s">
        <v>1382</v>
      </c>
      <c r="F22">
        <f>COUNTIFS(raw_outputtable!$A$2:$A$816,A22,raw_outputtable!$I$2:$I$816,E22)</f>
        <v>10</v>
      </c>
      <c r="G22">
        <f>INDEX(Factory_Components!$G$2:$G$62,MATCH(B22&amp;"|"&amp;C22&amp;"|"&amp;E22,Factory_Components!$I$2:$I$62,0))</f>
        <v>10</v>
      </c>
      <c r="H22">
        <f>INDEX(Factory_Components!$H$2:$H$62,MATCH(B22&amp;"|"&amp;C22&amp;"|"&amp;E22,Factory_Components!$I$2:$I$62,0))</f>
        <v>10</v>
      </c>
      <c r="I22" s="10">
        <f t="shared" si="0"/>
        <v>0</v>
      </c>
    </row>
    <row r="23" spans="1:9" ht="15" customHeight="1" x14ac:dyDescent="0.25">
      <c r="A23" t="s">
        <v>3</v>
      </c>
      <c r="B23">
        <v>3</v>
      </c>
      <c r="C23" t="s">
        <v>1374</v>
      </c>
      <c r="D23" t="s">
        <v>1378</v>
      </c>
      <c r="E23" t="s">
        <v>1378</v>
      </c>
      <c r="F23">
        <f>COUNTIFS(raw_outputtable!$A$2:$A$816,A23,raw_outputtable!$I$2:$I$816,E23)</f>
        <v>20</v>
      </c>
      <c r="G23">
        <f>INDEX(Factory_Components!$G$2:$G$62,MATCH(B23&amp;"|"&amp;C23&amp;"|"&amp;E23,Factory_Components!$I$2:$I$62,0))</f>
        <v>10</v>
      </c>
      <c r="H23">
        <f>INDEX(Factory_Components!$H$2:$H$62,MATCH(B23&amp;"|"&amp;C23&amp;"|"&amp;E23,Factory_Components!$I$2:$I$62,0))</f>
        <v>20</v>
      </c>
      <c r="I23" s="10">
        <f t="shared" si="0"/>
        <v>0</v>
      </c>
    </row>
    <row r="24" spans="1:9" ht="15" customHeight="1" x14ac:dyDescent="0.25">
      <c r="A24" t="s">
        <v>3</v>
      </c>
      <c r="B24">
        <v>3</v>
      </c>
      <c r="C24" t="s">
        <v>1374</v>
      </c>
      <c r="D24" t="s">
        <v>1380</v>
      </c>
      <c r="E24" t="s">
        <v>1380</v>
      </c>
      <c r="F24">
        <f>COUNTIFS(raw_outputtable!$A$2:$A$816,A24,raw_outputtable!$I$2:$I$816,E24)</f>
        <v>20</v>
      </c>
      <c r="G24">
        <f>INDEX(Factory_Components!$G$2:$G$62,MATCH(B24&amp;"|"&amp;C24&amp;"|"&amp;E24,Factory_Components!$I$2:$I$62,0))</f>
        <v>10</v>
      </c>
      <c r="H24">
        <f>INDEX(Factory_Components!$H$2:$H$62,MATCH(B24&amp;"|"&amp;C24&amp;"|"&amp;E24,Factory_Components!$I$2:$I$62,0))</f>
        <v>20</v>
      </c>
      <c r="I24" s="10">
        <f t="shared" si="0"/>
        <v>0</v>
      </c>
    </row>
    <row r="25" spans="1:9" ht="15" customHeight="1" x14ac:dyDescent="0.25">
      <c r="A25" t="s">
        <v>3</v>
      </c>
      <c r="B25">
        <v>3</v>
      </c>
      <c r="C25" t="s">
        <v>1374</v>
      </c>
      <c r="D25" t="s">
        <v>1389</v>
      </c>
      <c r="E25" t="s">
        <v>1389</v>
      </c>
      <c r="F25">
        <f>COUNTIFS(raw_outputtable!$A$2:$A$816,A25,raw_outputtable!$I$2:$I$816,E25)</f>
        <v>16</v>
      </c>
      <c r="G25">
        <f>INDEX(Factory_Components!$G$2:$G$62,MATCH(B25&amp;"|"&amp;C25&amp;"|"&amp;E25,Factory_Components!$I$2:$I$62,0))</f>
        <v>9</v>
      </c>
      <c r="H25">
        <f>INDEX(Factory_Components!$H$2:$H$62,MATCH(B25&amp;"|"&amp;C25&amp;"|"&amp;E25,Factory_Components!$I$2:$I$62,0))</f>
        <v>18</v>
      </c>
      <c r="I25" s="10">
        <f t="shared" si="0"/>
        <v>-0.1111111111111111</v>
      </c>
    </row>
    <row r="26" spans="1:9" ht="15" customHeight="1" x14ac:dyDescent="0.25">
      <c r="A26" t="s">
        <v>3</v>
      </c>
      <c r="B26">
        <v>3</v>
      </c>
      <c r="C26" t="s">
        <v>1374</v>
      </c>
      <c r="D26" t="s">
        <v>1401</v>
      </c>
      <c r="E26" t="s">
        <v>1401</v>
      </c>
      <c r="F26">
        <f>COUNTIFS(raw_outputtable!$A$2:$A$816,A26,raw_outputtable!$I$2:$I$816,E26)</f>
        <v>8</v>
      </c>
      <c r="G26">
        <f>INDEX(Factory_Components!$G$2:$G$62,MATCH(B26&amp;"|"&amp;C26&amp;"|"&amp;E26,Factory_Components!$I$2:$I$62,0))</f>
        <v>10</v>
      </c>
      <c r="H26">
        <f>INDEX(Factory_Components!$H$2:$H$62,MATCH(B26&amp;"|"&amp;C26&amp;"|"&amp;E26,Factory_Components!$I$2:$I$62,0))</f>
        <v>10</v>
      </c>
      <c r="I26" s="10">
        <f t="shared" si="0"/>
        <v>-0.2</v>
      </c>
    </row>
    <row r="27" spans="1:9" ht="15" customHeight="1" x14ac:dyDescent="0.25">
      <c r="A27" t="s">
        <v>3</v>
      </c>
      <c r="B27">
        <v>3</v>
      </c>
      <c r="C27" t="s">
        <v>1374</v>
      </c>
      <c r="D27" t="s">
        <v>1385</v>
      </c>
      <c r="E27" t="s">
        <v>1385</v>
      </c>
      <c r="F27">
        <f>COUNTIFS(raw_outputtable!$A$2:$A$816,A27,raw_outputtable!$I$2:$I$816,E27)</f>
        <v>10</v>
      </c>
      <c r="G27">
        <f>INDEX(Factory_Components!$G$2:$G$62,MATCH(B27&amp;"|"&amp;C27&amp;"|"&amp;E27,Factory_Components!$I$2:$I$62,0))</f>
        <v>10</v>
      </c>
      <c r="H27">
        <f>INDEX(Factory_Components!$H$2:$H$62,MATCH(B27&amp;"|"&amp;C27&amp;"|"&amp;E27,Factory_Components!$I$2:$I$62,0))</f>
        <v>10</v>
      </c>
      <c r="I27" s="10">
        <f t="shared" si="0"/>
        <v>0</v>
      </c>
    </row>
    <row r="28" spans="1:9" ht="15" customHeight="1" x14ac:dyDescent="0.25">
      <c r="A28" t="s">
        <v>3</v>
      </c>
      <c r="B28">
        <v>3</v>
      </c>
      <c r="C28" t="s">
        <v>1374</v>
      </c>
      <c r="D28" t="s">
        <v>1387</v>
      </c>
      <c r="E28" t="s">
        <v>1387</v>
      </c>
      <c r="F28">
        <f>COUNTIFS(raw_outputtable!$A$2:$A$816,A28,raw_outputtable!$I$2:$I$816,E28)</f>
        <v>14</v>
      </c>
      <c r="G28">
        <f>INDEX(Factory_Components!$G$2:$G$62,MATCH(B28&amp;"|"&amp;C28&amp;"|"&amp;E28,Factory_Components!$I$2:$I$62,0))</f>
        <v>5</v>
      </c>
      <c r="H28">
        <f>INDEX(Factory_Components!$H$2:$H$62,MATCH(B28&amp;"|"&amp;C28&amp;"|"&amp;E28,Factory_Components!$I$2:$I$62,0))</f>
        <v>10</v>
      </c>
      <c r="I28" s="10">
        <f t="shared" si="0"/>
        <v>0.4</v>
      </c>
    </row>
    <row r="29" spans="1:9" ht="15" customHeight="1" x14ac:dyDescent="0.25">
      <c r="A29" t="s">
        <v>3</v>
      </c>
      <c r="B29">
        <v>3</v>
      </c>
      <c r="C29" t="s">
        <v>1391</v>
      </c>
      <c r="D29" t="s">
        <v>1404</v>
      </c>
      <c r="E29" t="s">
        <v>1405</v>
      </c>
      <c r="F29">
        <f>COUNTIFS(raw_outputtable!$A$2:$A$816,A29,raw_outputtable!$I$2:$I$816,E29)</f>
        <v>7</v>
      </c>
      <c r="G29">
        <f>INDEX(Factory_Components!$G$2:$G$62,MATCH(B29&amp;"|"&amp;C29&amp;"|"&amp;E29,Factory_Components!$I$2:$I$62,0))</f>
        <v>5</v>
      </c>
      <c r="H29">
        <f>INDEX(Factory_Components!$H$2:$H$62,MATCH(B29&amp;"|"&amp;C29&amp;"|"&amp;E29,Factory_Components!$I$2:$I$62,0))</f>
        <v>5</v>
      </c>
      <c r="I29" s="10">
        <f t="shared" si="0"/>
        <v>0.4</v>
      </c>
    </row>
    <row r="30" spans="1:9" ht="15" customHeight="1" x14ac:dyDescent="0.25">
      <c r="A30" t="s">
        <v>4</v>
      </c>
      <c r="B30">
        <v>3</v>
      </c>
      <c r="C30" t="s">
        <v>1374</v>
      </c>
      <c r="D30" t="s">
        <v>1375</v>
      </c>
      <c r="E30" t="s">
        <v>1375</v>
      </c>
      <c r="F30">
        <f>COUNTIFS(raw_outputtable!$A$2:$A$816,A30,raw_outputtable!$I$2:$I$816,E30)</f>
        <v>20</v>
      </c>
      <c r="G30">
        <f>INDEX(Factory_Components!$G$2:$G$62,MATCH(B30&amp;"|"&amp;C30&amp;"|"&amp;E30,Factory_Components!$I$2:$I$62,0))</f>
        <v>10</v>
      </c>
      <c r="H30">
        <f>INDEX(Factory_Components!$H$2:$H$62,MATCH(B30&amp;"|"&amp;C30&amp;"|"&amp;E30,Factory_Components!$I$2:$I$62,0))</f>
        <v>20</v>
      </c>
      <c r="I30" s="10">
        <f t="shared" si="0"/>
        <v>0</v>
      </c>
    </row>
    <row r="31" spans="1:9" ht="15" customHeight="1" x14ac:dyDescent="0.25">
      <c r="A31" t="s">
        <v>4</v>
      </c>
      <c r="B31">
        <v>3</v>
      </c>
      <c r="C31" t="s">
        <v>1374</v>
      </c>
      <c r="D31" t="s">
        <v>1382</v>
      </c>
      <c r="E31" t="s">
        <v>1382</v>
      </c>
      <c r="F31">
        <f>COUNTIFS(raw_outputtable!$A$2:$A$816,A31,raw_outputtable!$I$2:$I$816,E31)</f>
        <v>10</v>
      </c>
      <c r="G31">
        <f>INDEX(Factory_Components!$G$2:$G$62,MATCH(B31&amp;"|"&amp;C31&amp;"|"&amp;E31,Factory_Components!$I$2:$I$62,0))</f>
        <v>10</v>
      </c>
      <c r="H31">
        <f>INDEX(Factory_Components!$H$2:$H$62,MATCH(B31&amp;"|"&amp;C31&amp;"|"&amp;E31,Factory_Components!$I$2:$I$62,0))</f>
        <v>10</v>
      </c>
      <c r="I31" s="10">
        <f t="shared" si="0"/>
        <v>0</v>
      </c>
    </row>
    <row r="32" spans="1:9" ht="15" customHeight="1" x14ac:dyDescent="0.25">
      <c r="A32" t="s">
        <v>4</v>
      </c>
      <c r="B32">
        <v>3</v>
      </c>
      <c r="C32" t="s">
        <v>1374</v>
      </c>
      <c r="D32" t="s">
        <v>1378</v>
      </c>
      <c r="E32" t="s">
        <v>1378</v>
      </c>
      <c r="F32">
        <f>COUNTIFS(raw_outputtable!$A$2:$A$816,A32,raw_outputtable!$I$2:$I$816,E32)</f>
        <v>18</v>
      </c>
      <c r="G32">
        <f>INDEX(Factory_Components!$G$2:$G$62,MATCH(B32&amp;"|"&amp;C32&amp;"|"&amp;E32,Factory_Components!$I$2:$I$62,0))</f>
        <v>10</v>
      </c>
      <c r="H32">
        <f>INDEX(Factory_Components!$H$2:$H$62,MATCH(B32&amp;"|"&amp;C32&amp;"|"&amp;E32,Factory_Components!$I$2:$I$62,0))</f>
        <v>20</v>
      </c>
      <c r="I32" s="10">
        <f t="shared" si="0"/>
        <v>-0.1</v>
      </c>
    </row>
    <row r="33" spans="1:9" ht="15" customHeight="1" x14ac:dyDescent="0.25">
      <c r="A33" t="s">
        <v>4</v>
      </c>
      <c r="B33">
        <v>3</v>
      </c>
      <c r="C33" t="s">
        <v>1374</v>
      </c>
      <c r="D33" t="s">
        <v>1380</v>
      </c>
      <c r="E33" t="s">
        <v>1380</v>
      </c>
      <c r="F33">
        <f>COUNTIFS(raw_outputtable!$A$2:$A$816,A33,raw_outputtable!$I$2:$I$816,E33)</f>
        <v>18</v>
      </c>
      <c r="G33">
        <f>INDEX(Factory_Components!$G$2:$G$62,MATCH(B33&amp;"|"&amp;C33&amp;"|"&amp;E33,Factory_Components!$I$2:$I$62,0))</f>
        <v>10</v>
      </c>
      <c r="H33">
        <f>INDEX(Factory_Components!$H$2:$H$62,MATCH(B33&amp;"|"&amp;C33&amp;"|"&amp;E33,Factory_Components!$I$2:$I$62,0))</f>
        <v>20</v>
      </c>
      <c r="I33" s="10">
        <f t="shared" si="0"/>
        <v>-0.1</v>
      </c>
    </row>
    <row r="34" spans="1:9" ht="15" customHeight="1" x14ac:dyDescent="0.25">
      <c r="A34" t="s">
        <v>4</v>
      </c>
      <c r="B34">
        <v>3</v>
      </c>
      <c r="C34" t="s">
        <v>1374</v>
      </c>
      <c r="D34" t="s">
        <v>1389</v>
      </c>
      <c r="E34" t="s">
        <v>1389</v>
      </c>
      <c r="F34">
        <f>COUNTIFS(raw_outputtable!$A$2:$A$816,A34,raw_outputtable!$I$2:$I$816,E34)</f>
        <v>11</v>
      </c>
      <c r="G34">
        <f>INDEX(Factory_Components!$G$2:$G$62,MATCH(B34&amp;"|"&amp;C34&amp;"|"&amp;E34,Factory_Components!$I$2:$I$62,0))</f>
        <v>9</v>
      </c>
      <c r="H34">
        <f>INDEX(Factory_Components!$H$2:$H$62,MATCH(B34&amp;"|"&amp;C34&amp;"|"&amp;E34,Factory_Components!$I$2:$I$62,0))</f>
        <v>18</v>
      </c>
      <c r="I34" s="10">
        <f t="shared" ref="I34:I65" si="1">IF(H34=0,"",(F34-H34)/H34)</f>
        <v>-0.3888888888888889</v>
      </c>
    </row>
    <row r="35" spans="1:9" ht="15" customHeight="1" x14ac:dyDescent="0.25">
      <c r="A35" t="s">
        <v>4</v>
      </c>
      <c r="B35">
        <v>3</v>
      </c>
      <c r="C35" t="s">
        <v>1374</v>
      </c>
      <c r="D35" t="s">
        <v>1401</v>
      </c>
      <c r="E35" t="s">
        <v>1401</v>
      </c>
      <c r="F35">
        <f>COUNTIFS(raw_outputtable!$A$2:$A$816,A35,raw_outputtable!$I$2:$I$816,E35)</f>
        <v>5</v>
      </c>
      <c r="G35">
        <f>INDEX(Factory_Components!$G$2:$G$62,MATCH(B35&amp;"|"&amp;C35&amp;"|"&amp;E35,Factory_Components!$I$2:$I$62,0))</f>
        <v>10</v>
      </c>
      <c r="H35">
        <f>INDEX(Factory_Components!$H$2:$H$62,MATCH(B35&amp;"|"&amp;C35&amp;"|"&amp;E35,Factory_Components!$I$2:$I$62,0))</f>
        <v>10</v>
      </c>
      <c r="I35" s="10">
        <f t="shared" si="1"/>
        <v>-0.5</v>
      </c>
    </row>
    <row r="36" spans="1:9" ht="15" customHeight="1" x14ac:dyDescent="0.25">
      <c r="A36" t="s">
        <v>4</v>
      </c>
      <c r="B36">
        <v>3</v>
      </c>
      <c r="C36" t="s">
        <v>1374</v>
      </c>
      <c r="D36" t="s">
        <v>1385</v>
      </c>
      <c r="E36" t="s">
        <v>1385</v>
      </c>
      <c r="F36">
        <f>COUNTIFS(raw_outputtable!$A$2:$A$816,A36,raw_outputtable!$I$2:$I$816,E36)</f>
        <v>5</v>
      </c>
      <c r="G36">
        <f>INDEX(Factory_Components!$G$2:$G$62,MATCH(B36&amp;"|"&amp;C36&amp;"|"&amp;E36,Factory_Components!$I$2:$I$62,0))</f>
        <v>10</v>
      </c>
      <c r="H36">
        <f>INDEX(Factory_Components!$H$2:$H$62,MATCH(B36&amp;"|"&amp;C36&amp;"|"&amp;E36,Factory_Components!$I$2:$I$62,0))</f>
        <v>10</v>
      </c>
      <c r="I36" s="10">
        <f t="shared" si="1"/>
        <v>-0.5</v>
      </c>
    </row>
    <row r="37" spans="1:9" ht="15" customHeight="1" x14ac:dyDescent="0.25">
      <c r="A37" t="s">
        <v>4</v>
      </c>
      <c r="B37">
        <v>3</v>
      </c>
      <c r="C37" t="s">
        <v>1374</v>
      </c>
      <c r="D37" t="s">
        <v>1387</v>
      </c>
      <c r="E37" t="s">
        <v>1387</v>
      </c>
      <c r="F37">
        <f>COUNTIFS(raw_outputtable!$A$2:$A$816,A37,raw_outputtable!$I$2:$I$816,E37)</f>
        <v>10</v>
      </c>
      <c r="G37">
        <f>INDEX(Factory_Components!$G$2:$G$62,MATCH(B37&amp;"|"&amp;C37&amp;"|"&amp;E37,Factory_Components!$I$2:$I$62,0))</f>
        <v>5</v>
      </c>
      <c r="H37">
        <f>INDEX(Factory_Components!$H$2:$H$62,MATCH(B37&amp;"|"&amp;C37&amp;"|"&amp;E37,Factory_Components!$I$2:$I$62,0))</f>
        <v>10</v>
      </c>
      <c r="I37" s="10">
        <f t="shared" si="1"/>
        <v>0</v>
      </c>
    </row>
    <row r="38" spans="1:9" ht="15" customHeight="1" x14ac:dyDescent="0.25">
      <c r="A38" t="s">
        <v>4</v>
      </c>
      <c r="B38">
        <v>3</v>
      </c>
      <c r="C38" t="s">
        <v>1391</v>
      </c>
      <c r="D38" t="s">
        <v>1404</v>
      </c>
      <c r="E38" t="s">
        <v>1405</v>
      </c>
      <c r="F38">
        <f>COUNTIFS(raw_outputtable!$A$2:$A$816,A38,raw_outputtable!$I$2:$I$816,E38)</f>
        <v>5</v>
      </c>
      <c r="G38">
        <f>INDEX(Factory_Components!$G$2:$G$62,MATCH(B38&amp;"|"&amp;C38&amp;"|"&amp;E38,Factory_Components!$I$2:$I$62,0))</f>
        <v>5</v>
      </c>
      <c r="H38">
        <f>INDEX(Factory_Components!$H$2:$H$62,MATCH(B38&amp;"|"&amp;C38&amp;"|"&amp;E38,Factory_Components!$I$2:$I$62,0))</f>
        <v>5</v>
      </c>
      <c r="I38" s="10">
        <f t="shared" si="1"/>
        <v>0</v>
      </c>
    </row>
    <row r="39" spans="1:9" ht="15" customHeight="1" x14ac:dyDescent="0.25">
      <c r="A39" t="s">
        <v>5</v>
      </c>
      <c r="B39">
        <v>4</v>
      </c>
      <c r="C39" t="s">
        <v>1374</v>
      </c>
      <c r="D39" t="s">
        <v>1375</v>
      </c>
      <c r="E39" t="s">
        <v>1375</v>
      </c>
      <c r="F39">
        <f>COUNTIFS(raw_outputtable!$A$2:$A$816,A39,raw_outputtable!$I$2:$I$816,E39)</f>
        <v>20</v>
      </c>
      <c r="G39">
        <f>INDEX(Factory_Components!$G$2:$G$62,MATCH(B39&amp;"|"&amp;C39&amp;"|"&amp;E39,Factory_Components!$I$2:$I$62,0))</f>
        <v>10</v>
      </c>
      <c r="H39">
        <f>INDEX(Factory_Components!$H$2:$H$62,MATCH(B39&amp;"|"&amp;C39&amp;"|"&amp;E39,Factory_Components!$I$2:$I$62,0))</f>
        <v>20</v>
      </c>
      <c r="I39" s="10">
        <f t="shared" si="1"/>
        <v>0</v>
      </c>
    </row>
    <row r="40" spans="1:9" ht="15" customHeight="1" x14ac:dyDescent="0.25">
      <c r="A40" t="s">
        <v>5</v>
      </c>
      <c r="B40">
        <v>4</v>
      </c>
      <c r="C40" t="s">
        <v>1374</v>
      </c>
      <c r="D40" t="s">
        <v>1382</v>
      </c>
      <c r="E40" t="s">
        <v>1382</v>
      </c>
      <c r="F40">
        <f>COUNTIFS(raw_outputtable!$A$2:$A$816,A40,raw_outputtable!$I$2:$I$816,E40)</f>
        <v>10</v>
      </c>
      <c r="G40">
        <f>INDEX(Factory_Components!$G$2:$G$62,MATCH(B40&amp;"|"&amp;C40&amp;"|"&amp;E40,Factory_Components!$I$2:$I$62,0))</f>
        <v>10</v>
      </c>
      <c r="H40">
        <f>INDEX(Factory_Components!$H$2:$H$62,MATCH(B40&amp;"|"&amp;C40&amp;"|"&amp;E40,Factory_Components!$I$2:$I$62,0))</f>
        <v>10</v>
      </c>
      <c r="I40" s="10">
        <f t="shared" si="1"/>
        <v>0</v>
      </c>
    </row>
    <row r="41" spans="1:9" ht="15" customHeight="1" x14ac:dyDescent="0.25">
      <c r="A41" t="s">
        <v>5</v>
      </c>
      <c r="B41">
        <v>4</v>
      </c>
      <c r="C41" t="s">
        <v>1374</v>
      </c>
      <c r="D41" t="s">
        <v>1378</v>
      </c>
      <c r="E41" t="s">
        <v>1378</v>
      </c>
      <c r="F41">
        <f>COUNTIFS(raw_outputtable!$A$2:$A$816,A41,raw_outputtable!$I$2:$I$816,E41)</f>
        <v>19</v>
      </c>
      <c r="G41">
        <f>INDEX(Factory_Components!$G$2:$G$62,MATCH(B41&amp;"|"&amp;C41&amp;"|"&amp;E41,Factory_Components!$I$2:$I$62,0))</f>
        <v>9</v>
      </c>
      <c r="H41">
        <f>INDEX(Factory_Components!$H$2:$H$62,MATCH(B41&amp;"|"&amp;C41&amp;"|"&amp;E41,Factory_Components!$I$2:$I$62,0))</f>
        <v>18</v>
      </c>
      <c r="I41" s="10">
        <f t="shared" si="1"/>
        <v>5.5555555555555552E-2</v>
      </c>
    </row>
    <row r="42" spans="1:9" ht="15" customHeight="1" x14ac:dyDescent="0.25">
      <c r="A42" t="s">
        <v>5</v>
      </c>
      <c r="B42">
        <v>4</v>
      </c>
      <c r="C42" t="s">
        <v>1374</v>
      </c>
      <c r="D42" t="s">
        <v>1380</v>
      </c>
      <c r="E42" t="s">
        <v>1380</v>
      </c>
      <c r="F42">
        <f>COUNTIFS(raw_outputtable!$A$2:$A$816,A42,raw_outputtable!$I$2:$I$816,E42)</f>
        <v>16</v>
      </c>
      <c r="G42">
        <f>INDEX(Factory_Components!$G$2:$G$62,MATCH(B42&amp;"|"&amp;C42&amp;"|"&amp;E42,Factory_Components!$I$2:$I$62,0))</f>
        <v>8</v>
      </c>
      <c r="H42">
        <f>INDEX(Factory_Components!$H$2:$H$62,MATCH(B42&amp;"|"&amp;C42&amp;"|"&amp;E42,Factory_Components!$I$2:$I$62,0))</f>
        <v>16</v>
      </c>
      <c r="I42" s="10">
        <f t="shared" si="1"/>
        <v>0</v>
      </c>
    </row>
    <row r="43" spans="1:9" ht="15" customHeight="1" x14ac:dyDescent="0.25">
      <c r="A43" t="s">
        <v>5</v>
      </c>
      <c r="B43">
        <v>4</v>
      </c>
      <c r="C43" t="s">
        <v>1374</v>
      </c>
      <c r="D43" t="s">
        <v>1389</v>
      </c>
      <c r="E43" t="s">
        <v>1389</v>
      </c>
      <c r="F43">
        <f>COUNTIFS(raw_outputtable!$A$2:$A$816,A43,raw_outputtable!$I$2:$I$816,E43)</f>
        <v>13</v>
      </c>
      <c r="G43">
        <f>INDEX(Factory_Components!$G$2:$G$62,MATCH(B43&amp;"|"&amp;C43&amp;"|"&amp;E43,Factory_Components!$I$2:$I$62,0))</f>
        <v>7</v>
      </c>
      <c r="H43">
        <f>INDEX(Factory_Components!$H$2:$H$62,MATCH(B43&amp;"|"&amp;C43&amp;"|"&amp;E43,Factory_Components!$I$2:$I$62,0))</f>
        <v>14</v>
      </c>
      <c r="I43" s="10">
        <f t="shared" si="1"/>
        <v>-7.1428571428571425E-2</v>
      </c>
    </row>
    <row r="44" spans="1:9" ht="15" customHeight="1" x14ac:dyDescent="0.25">
      <c r="A44" t="s">
        <v>5</v>
      </c>
      <c r="B44">
        <v>4</v>
      </c>
      <c r="C44" t="s">
        <v>1374</v>
      </c>
      <c r="D44" t="s">
        <v>1385</v>
      </c>
      <c r="E44" t="s">
        <v>1385</v>
      </c>
      <c r="F44">
        <f>COUNTIFS(raw_outputtable!$A$2:$A$816,A44,raw_outputtable!$I$2:$I$816,E44)</f>
        <v>6</v>
      </c>
      <c r="G44">
        <f>INDEX(Factory_Components!$G$2:$G$62,MATCH(B44&amp;"|"&amp;C44&amp;"|"&amp;E44,Factory_Components!$I$2:$I$62,0))</f>
        <v>6</v>
      </c>
      <c r="H44">
        <f>INDEX(Factory_Components!$H$2:$H$62,MATCH(B44&amp;"|"&amp;C44&amp;"|"&amp;E44,Factory_Components!$I$2:$I$62,0))</f>
        <v>6</v>
      </c>
      <c r="I44" s="10">
        <f t="shared" si="1"/>
        <v>0</v>
      </c>
    </row>
    <row r="45" spans="1:9" ht="15" customHeight="1" x14ac:dyDescent="0.25">
      <c r="A45" t="s">
        <v>5</v>
      </c>
      <c r="B45">
        <v>4</v>
      </c>
      <c r="C45" t="s">
        <v>1374</v>
      </c>
      <c r="D45" t="s">
        <v>1387</v>
      </c>
      <c r="E45" t="s">
        <v>1387</v>
      </c>
      <c r="F45">
        <f>COUNTIFS(raw_outputtable!$A$2:$A$816,A45,raw_outputtable!$I$2:$I$816,E45)</f>
        <v>10</v>
      </c>
      <c r="G45">
        <f>INDEX(Factory_Components!$G$2:$G$62,MATCH(B45&amp;"|"&amp;C45&amp;"|"&amp;E45,Factory_Components!$I$2:$I$62,0))</f>
        <v>6</v>
      </c>
      <c r="H45">
        <f>INDEX(Factory_Components!$H$2:$H$62,MATCH(B45&amp;"|"&amp;C45&amp;"|"&amp;E45,Factory_Components!$I$2:$I$62,0))</f>
        <v>12</v>
      </c>
      <c r="I45" s="10">
        <f t="shared" si="1"/>
        <v>-0.16666666666666666</v>
      </c>
    </row>
    <row r="46" spans="1:9" ht="15" customHeight="1" x14ac:dyDescent="0.25">
      <c r="A46" t="s">
        <v>5</v>
      </c>
      <c r="B46">
        <v>4</v>
      </c>
      <c r="C46" t="s">
        <v>1374</v>
      </c>
      <c r="D46" t="s">
        <v>1401</v>
      </c>
      <c r="E46" t="s">
        <v>1401</v>
      </c>
      <c r="F46">
        <f>COUNTIFS(raw_outputtable!$A$2:$A$816,A46,raw_outputtable!$I$2:$I$816,E46)</f>
        <v>6</v>
      </c>
      <c r="G46">
        <f>INDEX(Factory_Components!$G$2:$G$62,MATCH(B46&amp;"|"&amp;C46&amp;"|"&amp;E46,Factory_Components!$I$2:$I$62,0))</f>
        <v>7</v>
      </c>
      <c r="H46">
        <f>INDEX(Factory_Components!$H$2:$H$62,MATCH(B46&amp;"|"&amp;C46&amp;"|"&amp;E46,Factory_Components!$I$2:$I$62,0))</f>
        <v>7</v>
      </c>
      <c r="I46" s="10">
        <f t="shared" si="1"/>
        <v>-0.14285714285714285</v>
      </c>
    </row>
    <row r="47" spans="1:9" ht="15" customHeight="1" x14ac:dyDescent="0.25">
      <c r="A47" t="s">
        <v>5</v>
      </c>
      <c r="B47">
        <v>4</v>
      </c>
      <c r="C47" t="s">
        <v>1391</v>
      </c>
      <c r="D47" t="s">
        <v>1404</v>
      </c>
      <c r="E47" t="s">
        <v>1405</v>
      </c>
      <c r="F47">
        <f>COUNTIFS(raw_outputtable!$A$2:$A$816,A47,raw_outputtable!$I$2:$I$816,E47)</f>
        <v>5</v>
      </c>
      <c r="G47">
        <f>INDEX(Factory_Components!$G$2:$G$62,MATCH(B47&amp;"|"&amp;C47&amp;"|"&amp;E47,Factory_Components!$I$2:$I$62,0))</f>
        <v>6</v>
      </c>
      <c r="H47">
        <f>INDEX(Factory_Components!$H$2:$H$62,MATCH(B47&amp;"|"&amp;C47&amp;"|"&amp;E47,Factory_Components!$I$2:$I$62,0))</f>
        <v>6</v>
      </c>
      <c r="I47" s="10">
        <f t="shared" si="1"/>
        <v>-0.16666666666666666</v>
      </c>
    </row>
    <row r="48" spans="1:9" ht="15" customHeight="1" x14ac:dyDescent="0.25">
      <c r="A48" t="s">
        <v>6</v>
      </c>
      <c r="B48">
        <v>5</v>
      </c>
      <c r="C48" t="s">
        <v>1374</v>
      </c>
      <c r="D48" t="s">
        <v>1375</v>
      </c>
      <c r="E48" t="s">
        <v>1375</v>
      </c>
      <c r="F48">
        <f>COUNTIFS(raw_outputtable!$A$2:$A$816,A48,raw_outputtable!$I$2:$I$816,E48)</f>
        <v>18</v>
      </c>
      <c r="G48">
        <f>INDEX(Factory_Components!$G$2:$G$62,MATCH(B48&amp;"|"&amp;C48&amp;"|"&amp;E48,Factory_Components!$I$2:$I$62,0))</f>
        <v>9</v>
      </c>
      <c r="H48">
        <f>INDEX(Factory_Components!$H$2:$H$62,MATCH(B48&amp;"|"&amp;C48&amp;"|"&amp;E48,Factory_Components!$I$2:$I$62,0))</f>
        <v>18</v>
      </c>
      <c r="I48" s="10">
        <f t="shared" si="1"/>
        <v>0</v>
      </c>
    </row>
    <row r="49" spans="1:9" ht="15" customHeight="1" x14ac:dyDescent="0.25">
      <c r="A49" t="s">
        <v>6</v>
      </c>
      <c r="B49">
        <v>5</v>
      </c>
      <c r="C49" t="s">
        <v>1374</v>
      </c>
      <c r="D49" t="s">
        <v>1382</v>
      </c>
      <c r="E49" t="s">
        <v>1382</v>
      </c>
      <c r="F49">
        <f>COUNTIFS(raw_outputtable!$A$2:$A$816,A49,raw_outputtable!$I$2:$I$816,E49)</f>
        <v>7</v>
      </c>
      <c r="G49">
        <f>INDEX(Factory_Components!$G$2:$G$62,MATCH(B49&amp;"|"&amp;C49&amp;"|"&amp;E49,Factory_Components!$I$2:$I$62,0))</f>
        <v>7</v>
      </c>
      <c r="H49">
        <f>INDEX(Factory_Components!$H$2:$H$62,MATCH(B49&amp;"|"&amp;C49&amp;"|"&amp;E49,Factory_Components!$I$2:$I$62,0))</f>
        <v>7</v>
      </c>
      <c r="I49" s="10">
        <f t="shared" si="1"/>
        <v>0</v>
      </c>
    </row>
    <row r="50" spans="1:9" ht="15" customHeight="1" x14ac:dyDescent="0.25">
      <c r="A50" t="s">
        <v>6</v>
      </c>
      <c r="B50">
        <v>5</v>
      </c>
      <c r="C50" t="s">
        <v>1374</v>
      </c>
      <c r="D50" t="s">
        <v>1378</v>
      </c>
      <c r="E50" t="s">
        <v>1378</v>
      </c>
      <c r="F50">
        <f>COUNTIFS(raw_outputtable!$A$2:$A$816,A50,raw_outputtable!$I$2:$I$816,E50)</f>
        <v>20</v>
      </c>
      <c r="G50">
        <f>INDEX(Factory_Components!$G$2:$G$62,MATCH(B50&amp;"|"&amp;C50&amp;"|"&amp;E50,Factory_Components!$I$2:$I$62,0))</f>
        <v>10</v>
      </c>
      <c r="H50">
        <f>INDEX(Factory_Components!$H$2:$H$62,MATCH(B50&amp;"|"&amp;C50&amp;"|"&amp;E50,Factory_Components!$I$2:$I$62,0))</f>
        <v>20</v>
      </c>
      <c r="I50" s="10">
        <f t="shared" si="1"/>
        <v>0</v>
      </c>
    </row>
    <row r="51" spans="1:9" ht="15" customHeight="1" x14ac:dyDescent="0.25">
      <c r="A51" t="s">
        <v>6</v>
      </c>
      <c r="B51">
        <v>5</v>
      </c>
      <c r="C51" t="s">
        <v>1374</v>
      </c>
      <c r="D51" t="s">
        <v>1380</v>
      </c>
      <c r="E51" t="s">
        <v>1380</v>
      </c>
      <c r="F51">
        <f>COUNTIFS(raw_outputtable!$A$2:$A$816,A51,raw_outputtable!$I$2:$I$816,E51)</f>
        <v>16</v>
      </c>
      <c r="G51">
        <f>INDEX(Factory_Components!$G$2:$G$62,MATCH(B51&amp;"|"&amp;C51&amp;"|"&amp;E51,Factory_Components!$I$2:$I$62,0))</f>
        <v>8</v>
      </c>
      <c r="H51">
        <f>INDEX(Factory_Components!$H$2:$H$62,MATCH(B51&amp;"|"&amp;C51&amp;"|"&amp;E51,Factory_Components!$I$2:$I$62,0))</f>
        <v>16</v>
      </c>
      <c r="I51" s="10">
        <f t="shared" si="1"/>
        <v>0</v>
      </c>
    </row>
    <row r="52" spans="1:9" ht="15" customHeight="1" x14ac:dyDescent="0.25">
      <c r="A52" t="s">
        <v>6</v>
      </c>
      <c r="B52">
        <v>5</v>
      </c>
      <c r="C52" t="s">
        <v>1374</v>
      </c>
      <c r="D52" t="s">
        <v>1389</v>
      </c>
      <c r="E52" t="s">
        <v>1389</v>
      </c>
      <c r="F52">
        <f>COUNTIFS(raw_outputtable!$A$2:$A$816,A52,raw_outputtable!$I$2:$I$816,E52)</f>
        <v>14</v>
      </c>
      <c r="G52">
        <f>INDEX(Factory_Components!$G$2:$G$62,MATCH(B52&amp;"|"&amp;C52&amp;"|"&amp;E52,Factory_Components!$I$2:$I$62,0))</f>
        <v>7</v>
      </c>
      <c r="H52">
        <f>INDEX(Factory_Components!$H$2:$H$62,MATCH(B52&amp;"|"&amp;C52&amp;"|"&amp;E52,Factory_Components!$I$2:$I$62,0))</f>
        <v>14</v>
      </c>
      <c r="I52" s="10">
        <f t="shared" si="1"/>
        <v>0</v>
      </c>
    </row>
    <row r="53" spans="1:9" ht="15" customHeight="1" x14ac:dyDescent="0.25">
      <c r="A53" t="s">
        <v>6</v>
      </c>
      <c r="B53">
        <v>5</v>
      </c>
      <c r="C53" t="s">
        <v>1374</v>
      </c>
      <c r="D53" t="s">
        <v>1406</v>
      </c>
      <c r="E53" t="s">
        <v>1385</v>
      </c>
      <c r="F53">
        <f>COUNTIFS(raw_outputtable!$A$2:$A$816,A53,raw_outputtable!$I$2:$I$816,E53)</f>
        <v>8</v>
      </c>
      <c r="G53">
        <f>INDEX(Factory_Components!$G$2:$G$62,MATCH(B53&amp;"|"&amp;C53&amp;"|"&amp;E53,Factory_Components!$I$2:$I$62,0))</f>
        <v>8</v>
      </c>
      <c r="H53">
        <f>INDEX(Factory_Components!$H$2:$H$62,MATCH(B53&amp;"|"&amp;C53&amp;"|"&amp;E53,Factory_Components!$I$2:$I$62,0))</f>
        <v>8</v>
      </c>
      <c r="I53" s="10">
        <f t="shared" si="1"/>
        <v>0</v>
      </c>
    </row>
    <row r="54" spans="1:9" ht="15" customHeight="1" x14ac:dyDescent="0.25">
      <c r="A54" t="s">
        <v>6</v>
      </c>
      <c r="B54">
        <v>5</v>
      </c>
      <c r="C54" t="s">
        <v>1374</v>
      </c>
      <c r="D54" t="s">
        <v>1387</v>
      </c>
      <c r="E54" t="s">
        <v>1387</v>
      </c>
      <c r="F54">
        <f>COUNTIFS(raw_outputtable!$A$2:$A$816,A54,raw_outputtable!$I$2:$I$816,E54)</f>
        <v>18</v>
      </c>
      <c r="G54">
        <f>INDEX(Factory_Components!$G$2:$G$62,MATCH(B54&amp;"|"&amp;C54&amp;"|"&amp;E54,Factory_Components!$I$2:$I$62,0))</f>
        <v>9</v>
      </c>
      <c r="H54">
        <f>INDEX(Factory_Components!$H$2:$H$62,MATCH(B54&amp;"|"&amp;C54&amp;"|"&amp;E54,Factory_Components!$I$2:$I$62,0))</f>
        <v>18</v>
      </c>
      <c r="I54" s="10">
        <f t="shared" si="1"/>
        <v>0</v>
      </c>
    </row>
    <row r="55" spans="1:9" ht="15" customHeight="1" x14ac:dyDescent="0.25">
      <c r="A55" t="s">
        <v>6</v>
      </c>
      <c r="B55">
        <v>5</v>
      </c>
      <c r="C55" t="s">
        <v>1374</v>
      </c>
      <c r="D55" t="s">
        <v>1401</v>
      </c>
      <c r="E55" t="s">
        <v>1401</v>
      </c>
      <c r="F55">
        <f>COUNTIFS(raw_outputtable!$A$2:$A$816,A55,raw_outputtable!$I$2:$I$816,E55)</f>
        <v>6</v>
      </c>
      <c r="G55">
        <f>INDEX(Factory_Components!$G$2:$G$62,MATCH(B55&amp;"|"&amp;C55&amp;"|"&amp;E55,Factory_Components!$I$2:$I$62,0))</f>
        <v>6</v>
      </c>
      <c r="H55">
        <f>INDEX(Factory_Components!$H$2:$H$62,MATCH(B55&amp;"|"&amp;C55&amp;"|"&amp;E55,Factory_Components!$I$2:$I$62,0))</f>
        <v>6</v>
      </c>
      <c r="I55" s="10">
        <f t="shared" si="1"/>
        <v>0</v>
      </c>
    </row>
    <row r="56" spans="1:9" ht="15" customHeight="1" x14ac:dyDescent="0.25">
      <c r="A56" t="s">
        <v>6</v>
      </c>
      <c r="B56">
        <v>5</v>
      </c>
      <c r="C56" t="s">
        <v>1391</v>
      </c>
      <c r="D56" t="s">
        <v>1404</v>
      </c>
      <c r="E56" t="s">
        <v>1405</v>
      </c>
      <c r="F56">
        <f>COUNTIFS(raw_outputtable!$A$2:$A$816,A56,raw_outputtable!$I$2:$I$816,E56)</f>
        <v>6</v>
      </c>
      <c r="G56">
        <f>INDEX(Factory_Components!$G$2:$G$62,MATCH(B56&amp;"|"&amp;C56&amp;"|"&amp;E56,Factory_Components!$I$2:$I$62,0))</f>
        <v>6</v>
      </c>
      <c r="H56">
        <f>INDEX(Factory_Components!$H$2:$H$62,MATCH(B56&amp;"|"&amp;C56&amp;"|"&amp;E56,Factory_Components!$I$2:$I$62,0))</f>
        <v>6</v>
      </c>
      <c r="I56" s="10">
        <f t="shared" si="1"/>
        <v>0</v>
      </c>
    </row>
    <row r="57" spans="1:9" ht="15" customHeight="1" x14ac:dyDescent="0.25">
      <c r="A57" t="s">
        <v>6</v>
      </c>
      <c r="B57">
        <v>5</v>
      </c>
      <c r="C57" t="s">
        <v>1391</v>
      </c>
      <c r="D57" t="s">
        <v>1392</v>
      </c>
      <c r="E57" t="s">
        <v>1393</v>
      </c>
      <c r="F57">
        <f>COUNTIFS(raw_outputtable!$A$2:$A$816,A57,raw_outputtable!$I$2:$I$816,E57)</f>
        <v>2</v>
      </c>
      <c r="G57">
        <f>INDEX(Factory_Components!$G$2:$G$62,MATCH(B57&amp;"|"&amp;C57&amp;"|"&amp;E57,Factory_Components!$I$2:$I$62,0))</f>
        <v>2</v>
      </c>
      <c r="H57">
        <f>INDEX(Factory_Components!$H$2:$H$62,MATCH(B57&amp;"|"&amp;C57&amp;"|"&amp;E57,Factory_Components!$I$2:$I$62,0))</f>
        <v>2</v>
      </c>
      <c r="I57" s="10">
        <f t="shared" si="1"/>
        <v>0</v>
      </c>
    </row>
    <row r="58" spans="1:9" ht="15" customHeight="1" x14ac:dyDescent="0.25">
      <c r="A58" t="s">
        <v>6</v>
      </c>
      <c r="B58">
        <v>5</v>
      </c>
      <c r="C58" t="s">
        <v>1391</v>
      </c>
      <c r="D58" t="s">
        <v>1395</v>
      </c>
      <c r="E58" t="s">
        <v>1396</v>
      </c>
      <c r="F58">
        <f>COUNTIFS(raw_outputtable!$A$2:$A$816,A58,raw_outputtable!$I$2:$I$816,E58)</f>
        <v>1</v>
      </c>
      <c r="G58">
        <f>INDEX(Factory_Components!$G$2:$G$62,MATCH(B58&amp;"|"&amp;C58&amp;"|"&amp;E58,Factory_Components!$I$2:$I$62,0))</f>
        <v>1</v>
      </c>
      <c r="H58">
        <f>INDEX(Factory_Components!$H$2:$H$62,MATCH(B58&amp;"|"&amp;C58&amp;"|"&amp;E58,Factory_Components!$I$2:$I$62,0))</f>
        <v>1</v>
      </c>
      <c r="I58" s="10">
        <f t="shared" si="1"/>
        <v>0</v>
      </c>
    </row>
    <row r="59" spans="1:9" ht="15" customHeight="1" x14ac:dyDescent="0.25">
      <c r="A59" t="s">
        <v>6</v>
      </c>
      <c r="B59">
        <v>5</v>
      </c>
      <c r="C59" t="s">
        <v>1391</v>
      </c>
      <c r="D59" t="s">
        <v>1398</v>
      </c>
      <c r="E59" t="s">
        <v>1399</v>
      </c>
      <c r="F59">
        <f>COUNTIFS(raw_outputtable!$A$2:$A$816,A59,raw_outputtable!$I$2:$I$816,E59)</f>
        <v>1</v>
      </c>
      <c r="G59">
        <f>INDEX(Factory_Components!$G$2:$G$62,MATCH(B59&amp;"|"&amp;C59&amp;"|"&amp;E59,Factory_Components!$I$2:$I$62,0))</f>
        <v>1</v>
      </c>
      <c r="H59">
        <f>INDEX(Factory_Components!$H$2:$H$62,MATCH(B59&amp;"|"&amp;C59&amp;"|"&amp;E59,Factory_Components!$I$2:$I$62,0))</f>
        <v>1</v>
      </c>
      <c r="I59" s="10">
        <f t="shared" si="1"/>
        <v>0</v>
      </c>
    </row>
    <row r="60" spans="1:9" ht="15" customHeight="1" x14ac:dyDescent="0.25">
      <c r="A60" t="s">
        <v>7</v>
      </c>
      <c r="B60">
        <v>6</v>
      </c>
      <c r="C60" t="s">
        <v>1374</v>
      </c>
      <c r="D60" t="s">
        <v>1375</v>
      </c>
      <c r="E60" t="s">
        <v>1375</v>
      </c>
      <c r="F60">
        <f>COUNTIFS(raw_outputtable!$A$2:$A$816,A60,raw_outputtable!$I$2:$I$816,E60)</f>
        <v>14</v>
      </c>
      <c r="G60">
        <f>INDEX(Factory_Components!$G$2:$G$62,MATCH(B60&amp;"|"&amp;C60&amp;"|"&amp;E60,Factory_Components!$I$2:$I$62,0))</f>
        <v>7</v>
      </c>
      <c r="H60">
        <f>INDEX(Factory_Components!$H$2:$H$62,MATCH(B60&amp;"|"&amp;C60&amp;"|"&amp;E60,Factory_Components!$I$2:$I$62,0))</f>
        <v>14</v>
      </c>
      <c r="I60" s="10">
        <f t="shared" si="1"/>
        <v>0</v>
      </c>
    </row>
    <row r="61" spans="1:9" ht="15" customHeight="1" x14ac:dyDescent="0.25">
      <c r="A61" t="s">
        <v>7</v>
      </c>
      <c r="B61">
        <v>6</v>
      </c>
      <c r="C61" t="s">
        <v>1374</v>
      </c>
      <c r="D61" t="s">
        <v>1382</v>
      </c>
      <c r="E61" t="s">
        <v>1382</v>
      </c>
      <c r="F61">
        <f>COUNTIFS(raw_outputtable!$A$2:$A$816,A61,raw_outputtable!$I$2:$I$816,E61)</f>
        <v>4</v>
      </c>
      <c r="G61">
        <f>INDEX(Factory_Components!$G$2:$G$62,MATCH(B61&amp;"|"&amp;C61&amp;"|"&amp;E61,Factory_Components!$I$2:$I$62,0))</f>
        <v>4</v>
      </c>
      <c r="H61">
        <f>INDEX(Factory_Components!$H$2:$H$62,MATCH(B61&amp;"|"&amp;C61&amp;"|"&amp;E61,Factory_Components!$I$2:$I$62,0))</f>
        <v>4</v>
      </c>
      <c r="I61" s="10">
        <f t="shared" si="1"/>
        <v>0</v>
      </c>
    </row>
    <row r="62" spans="1:9" ht="15" customHeight="1" x14ac:dyDescent="0.25">
      <c r="A62" t="s">
        <v>7</v>
      </c>
      <c r="B62">
        <v>6</v>
      </c>
      <c r="C62" t="s">
        <v>1374</v>
      </c>
      <c r="D62" t="s">
        <v>1378</v>
      </c>
      <c r="E62" t="s">
        <v>1378</v>
      </c>
      <c r="F62">
        <f>COUNTIFS(raw_outputtable!$A$2:$A$816,A62,raw_outputtable!$I$2:$I$816,E62)</f>
        <v>18</v>
      </c>
      <c r="G62">
        <f>INDEX(Factory_Components!$G$2:$G$62,MATCH(B62&amp;"|"&amp;C62&amp;"|"&amp;E62,Factory_Components!$I$2:$I$62,0))</f>
        <v>10</v>
      </c>
      <c r="H62">
        <f>INDEX(Factory_Components!$H$2:$H$62,MATCH(B62&amp;"|"&amp;C62&amp;"|"&amp;E62,Factory_Components!$I$2:$I$62,0))</f>
        <v>20</v>
      </c>
      <c r="I62" s="10">
        <f t="shared" si="1"/>
        <v>-0.1</v>
      </c>
    </row>
    <row r="63" spans="1:9" ht="15" customHeight="1" x14ac:dyDescent="0.25">
      <c r="A63" t="s">
        <v>7</v>
      </c>
      <c r="B63">
        <v>6</v>
      </c>
      <c r="C63" t="s">
        <v>1374</v>
      </c>
      <c r="D63" t="s">
        <v>1380</v>
      </c>
      <c r="E63" t="s">
        <v>1380</v>
      </c>
      <c r="F63">
        <f>COUNTIFS(raw_outputtable!$A$2:$A$816,A63,raw_outputtable!$I$2:$I$816,E63)</f>
        <v>13</v>
      </c>
      <c r="G63">
        <f>INDEX(Factory_Components!$G$2:$G$62,MATCH(B63&amp;"|"&amp;C63&amp;"|"&amp;E63,Factory_Components!$I$2:$I$62,0))</f>
        <v>7</v>
      </c>
      <c r="H63">
        <f>INDEX(Factory_Components!$H$2:$H$62,MATCH(B63&amp;"|"&amp;C63&amp;"|"&amp;E63,Factory_Components!$I$2:$I$62,0))</f>
        <v>14</v>
      </c>
      <c r="I63" s="10">
        <f t="shared" si="1"/>
        <v>-7.1428571428571425E-2</v>
      </c>
    </row>
    <row r="64" spans="1:9" ht="15" customHeight="1" x14ac:dyDescent="0.25">
      <c r="A64" t="s">
        <v>7</v>
      </c>
      <c r="B64">
        <v>6</v>
      </c>
      <c r="C64" t="s">
        <v>1374</v>
      </c>
      <c r="D64" t="s">
        <v>1389</v>
      </c>
      <c r="E64" t="s">
        <v>1389</v>
      </c>
      <c r="F64">
        <f>COUNTIFS(raw_outputtable!$A$2:$A$816,A64,raw_outputtable!$I$2:$I$816,E64)</f>
        <v>10</v>
      </c>
      <c r="G64">
        <f>INDEX(Factory_Components!$G$2:$G$62,MATCH(B64&amp;"|"&amp;C64&amp;"|"&amp;E64,Factory_Components!$I$2:$I$62,0))</f>
        <v>6</v>
      </c>
      <c r="H64">
        <f>INDEX(Factory_Components!$H$2:$H$62,MATCH(B64&amp;"|"&amp;C64&amp;"|"&amp;E64,Factory_Components!$I$2:$I$62,0))</f>
        <v>12</v>
      </c>
      <c r="I64" s="10">
        <f t="shared" si="1"/>
        <v>-0.16666666666666666</v>
      </c>
    </row>
    <row r="65" spans="1:9" ht="15" customHeight="1" x14ac:dyDescent="0.25">
      <c r="A65" t="s">
        <v>7</v>
      </c>
      <c r="B65">
        <v>6</v>
      </c>
      <c r="C65" t="s">
        <v>1374</v>
      </c>
      <c r="D65" t="s">
        <v>1406</v>
      </c>
      <c r="E65" t="s">
        <v>1385</v>
      </c>
      <c r="F65">
        <f>COUNTIFS(raw_outputtable!$A$2:$A$816,A65,raw_outputtable!$I$2:$I$816,E65)</f>
        <v>4</v>
      </c>
      <c r="G65">
        <f>INDEX(Factory_Components!$G$2:$G$62,MATCH(B65&amp;"|"&amp;C65&amp;"|"&amp;E65,Factory_Components!$I$2:$I$62,0))</f>
        <v>6</v>
      </c>
      <c r="H65">
        <f>INDEX(Factory_Components!$H$2:$H$62,MATCH(B65&amp;"|"&amp;C65&amp;"|"&amp;E65,Factory_Components!$I$2:$I$62,0))</f>
        <v>6</v>
      </c>
      <c r="I65" s="10">
        <f t="shared" si="1"/>
        <v>-0.33333333333333331</v>
      </c>
    </row>
    <row r="66" spans="1:9" ht="15" customHeight="1" x14ac:dyDescent="0.25">
      <c r="A66" t="s">
        <v>7</v>
      </c>
      <c r="B66">
        <v>6</v>
      </c>
      <c r="C66" t="s">
        <v>1374</v>
      </c>
      <c r="D66" t="s">
        <v>1387</v>
      </c>
      <c r="E66" t="s">
        <v>1387</v>
      </c>
      <c r="F66">
        <f>COUNTIFS(raw_outputtable!$A$2:$A$816,A66,raw_outputtable!$I$2:$I$816,E66)</f>
        <v>11</v>
      </c>
      <c r="G66">
        <f>INDEX(Factory_Components!$G$2:$G$62,MATCH(B66&amp;"|"&amp;C66&amp;"|"&amp;E66,Factory_Components!$I$2:$I$62,0))</f>
        <v>7</v>
      </c>
      <c r="H66">
        <f>INDEX(Factory_Components!$H$2:$H$62,MATCH(B66&amp;"|"&amp;C66&amp;"|"&amp;E66,Factory_Components!$I$2:$I$62,0))</f>
        <v>14</v>
      </c>
      <c r="I66" s="10">
        <f t="shared" ref="I66:I83" si="2">IF(H66=0,"",(F66-H66)/H66)</f>
        <v>-0.21428571428571427</v>
      </c>
    </row>
    <row r="67" spans="1:9" ht="15" customHeight="1" x14ac:dyDescent="0.25">
      <c r="A67" t="s">
        <v>7</v>
      </c>
      <c r="B67">
        <v>6</v>
      </c>
      <c r="C67" t="s">
        <v>1374</v>
      </c>
      <c r="D67" t="s">
        <v>1401</v>
      </c>
      <c r="E67" t="s">
        <v>1401</v>
      </c>
      <c r="F67">
        <f>COUNTIFS(raw_outputtable!$A$2:$A$816,A67,raw_outputtable!$I$2:$I$816,E67)</f>
        <v>2</v>
      </c>
      <c r="G67">
        <f>INDEX(Factory_Components!$G$2:$G$62,MATCH(B67&amp;"|"&amp;C67&amp;"|"&amp;E67,Factory_Components!$I$2:$I$62,0))</f>
        <v>3</v>
      </c>
      <c r="H67">
        <f>INDEX(Factory_Components!$H$2:$H$62,MATCH(B67&amp;"|"&amp;C67&amp;"|"&amp;E67,Factory_Components!$I$2:$I$62,0))</f>
        <v>3</v>
      </c>
      <c r="I67" s="10">
        <f t="shared" si="2"/>
        <v>-0.33333333333333331</v>
      </c>
    </row>
    <row r="68" spans="1:9" ht="15" customHeight="1" x14ac:dyDescent="0.25">
      <c r="A68" t="s">
        <v>7</v>
      </c>
      <c r="B68">
        <v>6</v>
      </c>
      <c r="C68" t="s">
        <v>1391</v>
      </c>
      <c r="D68" t="s">
        <v>1404</v>
      </c>
      <c r="E68" t="s">
        <v>1405</v>
      </c>
      <c r="F68">
        <f>COUNTIFS(raw_outputtable!$A$2:$A$816,A68,raw_outputtable!$I$2:$I$816,E68)</f>
        <v>1</v>
      </c>
      <c r="G68">
        <f>INDEX(Factory_Components!$G$2:$G$62,MATCH(B68&amp;"|"&amp;C68&amp;"|"&amp;E68,Factory_Components!$I$2:$I$62,0))</f>
        <v>3</v>
      </c>
      <c r="H68">
        <f>INDEX(Factory_Components!$H$2:$H$62,MATCH(B68&amp;"|"&amp;C68&amp;"|"&amp;E68,Factory_Components!$I$2:$I$62,0))</f>
        <v>3</v>
      </c>
      <c r="I68" s="10">
        <f t="shared" si="2"/>
        <v>-0.66666666666666663</v>
      </c>
    </row>
    <row r="69" spans="1:9" ht="15" customHeight="1" x14ac:dyDescent="0.25">
      <c r="A69" t="s">
        <v>7</v>
      </c>
      <c r="B69">
        <v>6</v>
      </c>
      <c r="C69" t="s">
        <v>1391</v>
      </c>
      <c r="D69" t="s">
        <v>1392</v>
      </c>
      <c r="E69" t="s">
        <v>1393</v>
      </c>
      <c r="F69">
        <f>COUNTIFS(raw_outputtable!$A$2:$A$816,A69,raw_outputtable!$I$2:$I$816,E69)</f>
        <v>2</v>
      </c>
      <c r="G69">
        <f>INDEX(Factory_Components!$G$2:$G$62,MATCH(B69&amp;"|"&amp;C69&amp;"|"&amp;E69,Factory_Components!$I$2:$I$62,0))</f>
        <v>3</v>
      </c>
      <c r="H69">
        <f>INDEX(Factory_Components!$H$2:$H$62,MATCH(B69&amp;"|"&amp;C69&amp;"|"&amp;E69,Factory_Components!$I$2:$I$62,0))</f>
        <v>3</v>
      </c>
      <c r="I69" s="10">
        <f t="shared" si="2"/>
        <v>-0.33333333333333331</v>
      </c>
    </row>
    <row r="70" spans="1:9" ht="15" customHeight="1" x14ac:dyDescent="0.25">
      <c r="A70" t="s">
        <v>7</v>
      </c>
      <c r="B70">
        <v>6</v>
      </c>
      <c r="C70" t="s">
        <v>1391</v>
      </c>
      <c r="D70" t="s">
        <v>1395</v>
      </c>
      <c r="E70" t="s">
        <v>1396</v>
      </c>
      <c r="F70">
        <f>COUNTIFS(raw_outputtable!$A$2:$A$816,A70,raw_outputtable!$I$2:$I$816,E70)</f>
        <v>1</v>
      </c>
      <c r="G70">
        <f>INDEX(Factory_Components!$G$2:$G$62,MATCH(B70&amp;"|"&amp;C70&amp;"|"&amp;E70,Factory_Components!$I$2:$I$62,0))</f>
        <v>1</v>
      </c>
      <c r="H70">
        <f>INDEX(Factory_Components!$H$2:$H$62,MATCH(B70&amp;"|"&amp;C70&amp;"|"&amp;E70,Factory_Components!$I$2:$I$62,0))</f>
        <v>1</v>
      </c>
      <c r="I70" s="10">
        <f t="shared" si="2"/>
        <v>0</v>
      </c>
    </row>
    <row r="71" spans="1:9" ht="15" customHeight="1" x14ac:dyDescent="0.25">
      <c r="A71" t="s">
        <v>7</v>
      </c>
      <c r="B71">
        <v>6</v>
      </c>
      <c r="C71" t="s">
        <v>1391</v>
      </c>
      <c r="D71" t="s">
        <v>1398</v>
      </c>
      <c r="E71" t="s">
        <v>1399</v>
      </c>
      <c r="F71">
        <f>COUNTIFS(raw_outputtable!$A$2:$A$816,A71,raw_outputtable!$I$2:$I$816,E71)</f>
        <v>2</v>
      </c>
      <c r="G71">
        <f>INDEX(Factory_Components!$G$2:$G$62,MATCH(B71&amp;"|"&amp;C71&amp;"|"&amp;E71,Factory_Components!$I$2:$I$62,0))</f>
        <v>3</v>
      </c>
      <c r="H71">
        <f>INDEX(Factory_Components!$H$2:$H$62,MATCH(B71&amp;"|"&amp;C71&amp;"|"&amp;E71,Factory_Components!$I$2:$I$62,0))</f>
        <v>3</v>
      </c>
      <c r="I71" s="10">
        <f t="shared" si="2"/>
        <v>-0.33333333333333331</v>
      </c>
    </row>
    <row r="72" spans="1:9" ht="15" customHeight="1" x14ac:dyDescent="0.25">
      <c r="A72" t="s">
        <v>8</v>
      </c>
      <c r="B72">
        <v>6</v>
      </c>
      <c r="C72" t="s">
        <v>1374</v>
      </c>
      <c r="D72" t="s">
        <v>1375</v>
      </c>
      <c r="E72" t="s">
        <v>1375</v>
      </c>
      <c r="F72">
        <f>COUNTIFS(raw_outputtable!$A$2:$A$816,A72,raw_outputtable!$I$2:$I$816,E72)</f>
        <v>14</v>
      </c>
      <c r="G72">
        <f>INDEX(Factory_Components!$G$2:$G$62,MATCH(B72&amp;"|"&amp;C72&amp;"|"&amp;E72,Factory_Components!$I$2:$I$62,0))</f>
        <v>7</v>
      </c>
      <c r="H72">
        <f>INDEX(Factory_Components!$H$2:$H$62,MATCH(B72&amp;"|"&amp;C72&amp;"|"&amp;E72,Factory_Components!$I$2:$I$62,0))</f>
        <v>14</v>
      </c>
      <c r="I72" s="10">
        <f t="shared" si="2"/>
        <v>0</v>
      </c>
    </row>
    <row r="73" spans="1:9" ht="15" customHeight="1" x14ac:dyDescent="0.25">
      <c r="A73" t="s">
        <v>8</v>
      </c>
      <c r="B73">
        <v>6</v>
      </c>
      <c r="C73" t="s">
        <v>1374</v>
      </c>
      <c r="D73" t="s">
        <v>1382</v>
      </c>
      <c r="E73" t="s">
        <v>1382</v>
      </c>
      <c r="F73">
        <f>COUNTIFS(raw_outputtable!$A$2:$A$816,A73,raw_outputtable!$I$2:$I$816,E73)</f>
        <v>4</v>
      </c>
      <c r="G73">
        <f>INDEX(Factory_Components!$G$2:$G$62,MATCH(B73&amp;"|"&amp;C73&amp;"|"&amp;E73,Factory_Components!$I$2:$I$62,0))</f>
        <v>4</v>
      </c>
      <c r="H73">
        <f>INDEX(Factory_Components!$H$2:$H$62,MATCH(B73&amp;"|"&amp;C73&amp;"|"&amp;E73,Factory_Components!$I$2:$I$62,0))</f>
        <v>4</v>
      </c>
      <c r="I73" s="10">
        <f t="shared" si="2"/>
        <v>0</v>
      </c>
    </row>
    <row r="74" spans="1:9" ht="15" customHeight="1" x14ac:dyDescent="0.25">
      <c r="A74" t="s">
        <v>8</v>
      </c>
      <c r="B74">
        <v>6</v>
      </c>
      <c r="C74" t="s">
        <v>1374</v>
      </c>
      <c r="D74" t="s">
        <v>1378</v>
      </c>
      <c r="E74" t="s">
        <v>1378</v>
      </c>
      <c r="F74">
        <f>COUNTIFS(raw_outputtable!$A$2:$A$816,A74,raw_outputtable!$I$2:$I$816,E74)</f>
        <v>20</v>
      </c>
      <c r="G74">
        <f>INDEX(Factory_Components!$G$2:$G$62,MATCH(B74&amp;"|"&amp;C74&amp;"|"&amp;E74,Factory_Components!$I$2:$I$62,0))</f>
        <v>10</v>
      </c>
      <c r="H74">
        <f>INDEX(Factory_Components!$H$2:$H$62,MATCH(B74&amp;"|"&amp;C74&amp;"|"&amp;E74,Factory_Components!$I$2:$I$62,0))</f>
        <v>20</v>
      </c>
      <c r="I74" s="10">
        <f t="shared" si="2"/>
        <v>0</v>
      </c>
    </row>
    <row r="75" spans="1:9" ht="15" customHeight="1" x14ac:dyDescent="0.25">
      <c r="A75" t="s">
        <v>8</v>
      </c>
      <c r="B75">
        <v>6</v>
      </c>
      <c r="C75" t="s">
        <v>1374</v>
      </c>
      <c r="D75" t="s">
        <v>1380</v>
      </c>
      <c r="E75" t="s">
        <v>1380</v>
      </c>
      <c r="F75">
        <f>COUNTIFS(raw_outputtable!$A$2:$A$816,A75,raw_outputtable!$I$2:$I$816,E75)</f>
        <v>14</v>
      </c>
      <c r="G75">
        <f>INDEX(Factory_Components!$G$2:$G$62,MATCH(B75&amp;"|"&amp;C75&amp;"|"&amp;E75,Factory_Components!$I$2:$I$62,0))</f>
        <v>7</v>
      </c>
      <c r="H75">
        <f>INDEX(Factory_Components!$H$2:$H$62,MATCH(B75&amp;"|"&amp;C75&amp;"|"&amp;E75,Factory_Components!$I$2:$I$62,0))</f>
        <v>14</v>
      </c>
      <c r="I75" s="10">
        <f t="shared" si="2"/>
        <v>0</v>
      </c>
    </row>
    <row r="76" spans="1:9" ht="15" customHeight="1" x14ac:dyDescent="0.25">
      <c r="A76" t="s">
        <v>8</v>
      </c>
      <c r="B76">
        <v>6</v>
      </c>
      <c r="C76" t="s">
        <v>1374</v>
      </c>
      <c r="D76" t="s">
        <v>1389</v>
      </c>
      <c r="E76" t="s">
        <v>1389</v>
      </c>
      <c r="F76">
        <f>COUNTIFS(raw_outputtable!$A$2:$A$816,A76,raw_outputtable!$I$2:$I$816,E76)</f>
        <v>11</v>
      </c>
      <c r="G76">
        <f>INDEX(Factory_Components!$G$2:$G$62,MATCH(B76&amp;"|"&amp;C76&amp;"|"&amp;E76,Factory_Components!$I$2:$I$62,0))</f>
        <v>6</v>
      </c>
      <c r="H76">
        <f>INDEX(Factory_Components!$H$2:$H$62,MATCH(B76&amp;"|"&amp;C76&amp;"|"&amp;E76,Factory_Components!$I$2:$I$62,0))</f>
        <v>12</v>
      </c>
      <c r="I76" s="10">
        <f t="shared" si="2"/>
        <v>-8.3333333333333329E-2</v>
      </c>
    </row>
    <row r="77" spans="1:9" ht="15" customHeight="1" x14ac:dyDescent="0.25">
      <c r="A77" t="s">
        <v>8</v>
      </c>
      <c r="B77">
        <v>6</v>
      </c>
      <c r="C77" t="s">
        <v>1374</v>
      </c>
      <c r="D77" t="s">
        <v>1406</v>
      </c>
      <c r="E77" t="s">
        <v>1385</v>
      </c>
      <c r="F77">
        <f>COUNTIFS(raw_outputtable!$A$2:$A$816,A77,raw_outputtable!$I$2:$I$816,E77)</f>
        <v>6</v>
      </c>
      <c r="G77">
        <f>INDEX(Factory_Components!$G$2:$G$62,MATCH(B77&amp;"|"&amp;C77&amp;"|"&amp;E77,Factory_Components!$I$2:$I$62,0))</f>
        <v>6</v>
      </c>
      <c r="H77">
        <f>INDEX(Factory_Components!$H$2:$H$62,MATCH(B77&amp;"|"&amp;C77&amp;"|"&amp;E77,Factory_Components!$I$2:$I$62,0))</f>
        <v>6</v>
      </c>
      <c r="I77" s="10">
        <f t="shared" si="2"/>
        <v>0</v>
      </c>
    </row>
    <row r="78" spans="1:9" ht="15" customHeight="1" x14ac:dyDescent="0.25">
      <c r="A78" t="s">
        <v>8</v>
      </c>
      <c r="B78">
        <v>6</v>
      </c>
      <c r="C78" t="s">
        <v>1374</v>
      </c>
      <c r="D78" t="s">
        <v>1387</v>
      </c>
      <c r="E78" t="s">
        <v>1387</v>
      </c>
      <c r="F78">
        <f>COUNTIFS(raw_outputtable!$A$2:$A$816,A78,raw_outputtable!$I$2:$I$816,E78)</f>
        <v>14</v>
      </c>
      <c r="G78">
        <f>INDEX(Factory_Components!$G$2:$G$62,MATCH(B78&amp;"|"&amp;C78&amp;"|"&amp;E78,Factory_Components!$I$2:$I$62,0))</f>
        <v>7</v>
      </c>
      <c r="H78">
        <f>INDEX(Factory_Components!$H$2:$H$62,MATCH(B78&amp;"|"&amp;C78&amp;"|"&amp;E78,Factory_Components!$I$2:$I$62,0))</f>
        <v>14</v>
      </c>
      <c r="I78" s="10">
        <f t="shared" si="2"/>
        <v>0</v>
      </c>
    </row>
    <row r="79" spans="1:9" ht="15" customHeight="1" x14ac:dyDescent="0.25">
      <c r="A79" t="s">
        <v>8</v>
      </c>
      <c r="B79">
        <v>6</v>
      </c>
      <c r="C79" t="s">
        <v>1374</v>
      </c>
      <c r="D79" t="s">
        <v>1401</v>
      </c>
      <c r="E79" t="s">
        <v>1401</v>
      </c>
      <c r="F79">
        <f>COUNTIFS(raw_outputtable!$A$2:$A$816,A79,raw_outputtable!$I$2:$I$816,E79)</f>
        <v>2</v>
      </c>
      <c r="G79">
        <f>INDEX(Factory_Components!$G$2:$G$62,MATCH(B79&amp;"|"&amp;C79&amp;"|"&amp;E79,Factory_Components!$I$2:$I$62,0))</f>
        <v>3</v>
      </c>
      <c r="H79">
        <f>INDEX(Factory_Components!$H$2:$H$62,MATCH(B79&amp;"|"&amp;C79&amp;"|"&amp;E79,Factory_Components!$I$2:$I$62,0))</f>
        <v>3</v>
      </c>
      <c r="I79" s="10">
        <f t="shared" si="2"/>
        <v>-0.33333333333333331</v>
      </c>
    </row>
    <row r="80" spans="1:9" ht="15" customHeight="1" x14ac:dyDescent="0.25">
      <c r="A80" t="s">
        <v>8</v>
      </c>
      <c r="B80">
        <v>6</v>
      </c>
      <c r="C80" t="s">
        <v>1391</v>
      </c>
      <c r="D80" t="s">
        <v>1404</v>
      </c>
      <c r="E80" t="s">
        <v>1405</v>
      </c>
      <c r="F80">
        <f>COUNTIFS(raw_outputtable!$A$2:$A$816,A80,raw_outputtable!$I$2:$I$816,E80)</f>
        <v>2</v>
      </c>
      <c r="G80">
        <f>INDEX(Factory_Components!$G$2:$G$62,MATCH(B80&amp;"|"&amp;C80&amp;"|"&amp;E80,Factory_Components!$I$2:$I$62,0))</f>
        <v>3</v>
      </c>
      <c r="H80">
        <f>INDEX(Factory_Components!$H$2:$H$62,MATCH(B80&amp;"|"&amp;C80&amp;"|"&amp;E80,Factory_Components!$I$2:$I$62,0))</f>
        <v>3</v>
      </c>
      <c r="I80" s="10">
        <f t="shared" si="2"/>
        <v>-0.33333333333333331</v>
      </c>
    </row>
    <row r="81" spans="1:9" ht="15" customHeight="1" x14ac:dyDescent="0.25">
      <c r="A81" t="s">
        <v>8</v>
      </c>
      <c r="B81">
        <v>6</v>
      </c>
      <c r="C81" t="s">
        <v>1391</v>
      </c>
      <c r="D81" t="s">
        <v>1392</v>
      </c>
      <c r="E81" t="s">
        <v>1393</v>
      </c>
      <c r="F81">
        <f>COUNTIFS(raw_outputtable!$A$2:$A$816,A81,raw_outputtable!$I$2:$I$816,E81)</f>
        <v>2</v>
      </c>
      <c r="G81">
        <f>INDEX(Factory_Components!$G$2:$G$62,MATCH(B81&amp;"|"&amp;C81&amp;"|"&amp;E81,Factory_Components!$I$2:$I$62,0))</f>
        <v>3</v>
      </c>
      <c r="H81">
        <f>INDEX(Factory_Components!$H$2:$H$62,MATCH(B81&amp;"|"&amp;C81&amp;"|"&amp;E81,Factory_Components!$I$2:$I$62,0))</f>
        <v>3</v>
      </c>
      <c r="I81" s="10">
        <f t="shared" si="2"/>
        <v>-0.33333333333333331</v>
      </c>
    </row>
    <row r="82" spans="1:9" ht="15" customHeight="1" x14ac:dyDescent="0.25">
      <c r="A82" t="s">
        <v>8</v>
      </c>
      <c r="B82">
        <v>6</v>
      </c>
      <c r="C82" t="s">
        <v>1391</v>
      </c>
      <c r="D82" t="s">
        <v>1395</v>
      </c>
      <c r="E82" t="s">
        <v>1396</v>
      </c>
      <c r="F82">
        <f>COUNTIFS(raw_outputtable!$A$2:$A$816,A82,raw_outputtable!$I$2:$I$816,E82)</f>
        <v>1</v>
      </c>
      <c r="G82">
        <f>INDEX(Factory_Components!$G$2:$G$62,MATCH(B82&amp;"|"&amp;C82&amp;"|"&amp;E82,Factory_Components!$I$2:$I$62,0))</f>
        <v>1</v>
      </c>
      <c r="H82">
        <f>INDEX(Factory_Components!$H$2:$H$62,MATCH(B82&amp;"|"&amp;C82&amp;"|"&amp;E82,Factory_Components!$I$2:$I$62,0))</f>
        <v>1</v>
      </c>
      <c r="I82" s="10">
        <f t="shared" si="2"/>
        <v>0</v>
      </c>
    </row>
    <row r="83" spans="1:9" ht="15" customHeight="1" x14ac:dyDescent="0.25">
      <c r="A83" t="s">
        <v>8</v>
      </c>
      <c r="B83">
        <v>6</v>
      </c>
      <c r="C83" t="s">
        <v>1391</v>
      </c>
      <c r="D83" t="s">
        <v>1398</v>
      </c>
      <c r="E83" t="s">
        <v>1399</v>
      </c>
      <c r="F83">
        <f>COUNTIFS(raw_outputtable!$A$2:$A$816,A83,raw_outputtable!$I$2:$I$816,E83)</f>
        <v>3</v>
      </c>
      <c r="G83">
        <f>INDEX(Factory_Components!$G$2:$G$62,MATCH(B83&amp;"|"&amp;C83&amp;"|"&amp;E83,Factory_Components!$I$2:$I$62,0))</f>
        <v>3</v>
      </c>
      <c r="H83">
        <f>INDEX(Factory_Components!$H$2:$H$62,MATCH(B83&amp;"|"&amp;C83&amp;"|"&amp;E83,Factory_Components!$I$2:$I$62,0))</f>
        <v>3</v>
      </c>
      <c r="I83" s="10">
        <f t="shared" si="2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Summary</vt:lpstr>
      <vt:lpstr>Final_Values</vt:lpstr>
      <vt:lpstr>Runs</vt:lpstr>
      <vt:lpstr>Scenarios</vt:lpstr>
      <vt:lpstr>raw_outputtable</vt:lpstr>
      <vt:lpstr>raw_casetable</vt:lpstr>
      <vt:lpstr>raw_comp_PTA</vt:lpstr>
      <vt:lpstr>raw_comp_PTA_stations</vt:lpstr>
      <vt:lpstr>raw_station_stats_absolute</vt:lpstr>
      <vt:lpstr>raw_eventlog_created_objects</vt:lpstr>
      <vt:lpstr>Factory_PO</vt:lpstr>
      <vt:lpstr>Factory_Stations</vt:lpstr>
      <vt:lpstr>Factory_Components</vt:lpstr>
      <vt:lpstr>Calc_LeadTime</vt:lpstr>
      <vt:lpstr>Calc_Stations</vt:lpstr>
      <vt:lpstr>Calc_Components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Patrick Jordan</cp:lastModifiedBy>
  <cp:revision>0</cp:revision>
  <dcterms:created xsi:type="dcterms:W3CDTF">2026-09-26T17:15:13Z</dcterms:created>
  <dcterms:modified xsi:type="dcterms:W3CDTF">2026-10-10T11:44:26Z</dcterms:modified>
  <dc:language>en-US</dc:language>
</cp:coreProperties>
</file>